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showInkAnnotation="0"/>
  <mc:AlternateContent xmlns:mc="http://schemas.openxmlformats.org/markup-compatibility/2006">
    <mc:Choice Requires="x15">
      <x15ac:absPath xmlns:x15ac="http://schemas.microsoft.com/office/spreadsheetml/2010/11/ac" url="H:\Moj disk\CONCORDIA CONSULTING\TROŠKOVNICI\TROŠKOVNICI\"/>
    </mc:Choice>
  </mc:AlternateContent>
  <xr:revisionPtr revIDLastSave="0" documentId="13_ncr:1_{3ECEFB8D-B6AC-406F-B1AD-301206F4A7FF}" xr6:coauthVersionLast="47" xr6:coauthVersionMax="47" xr10:uidLastSave="{00000000-0000-0000-0000-000000000000}"/>
  <bookViews>
    <workbookView xWindow="2964" yWindow="2964" windowWidth="17280" windowHeight="8880" tabRatio="903" firstSheet="1" activeTab="4" xr2:uid="{00000000-000D-0000-FFFF-FFFF00000000}"/>
  </bookViews>
  <sheets>
    <sheet name="NASLOVNICA" sheetId="41" r:id="rId1"/>
    <sheet name="SVEUKUPNA REKAPITULACIJA" sheetId="42" r:id="rId2"/>
    <sheet name="OTU" sheetId="28" r:id="rId3"/>
    <sheet name="1_NASLOV" sheetId="40" r:id="rId4"/>
    <sheet name="1_Građevinsko Obrtnički" sheetId="30" r:id="rId5"/>
    <sheet name="2_NASLOV" sheetId="43" r:id="rId6"/>
    <sheet name="VIK-1" sheetId="44" r:id="rId7"/>
    <sheet name="VIK-2" sheetId="45" r:id="rId8"/>
    <sheet name="VIK-REK" sheetId="46" r:id="rId9"/>
    <sheet name="3_NASLOV" sheetId="34" r:id="rId10"/>
    <sheet name="3_STROJARSTVO" sheetId="35" r:id="rId11"/>
    <sheet name="4_NASLOV" sheetId="37" r:id="rId12"/>
    <sheet name="4_ELEKTROINSTALACIJE" sheetId="36" r:id="rId13"/>
    <sheet name="5_NASLOV" sheetId="38" r:id="rId14"/>
    <sheet name="5_VATRODOJAVA" sheetId="39" r:id="rId15"/>
  </sheets>
  <definedNames>
    <definedName name="__xlnm.Print_Area_1" localSheetId="5">#REF!</definedName>
    <definedName name="__xlnm.Print_Area_1" localSheetId="6">#REF!</definedName>
    <definedName name="__xlnm.Print_Area_1" localSheetId="7">#REF!</definedName>
    <definedName name="__xlnm.Print_Area_1" localSheetId="8">#REF!</definedName>
    <definedName name="__xlnm.Print_Area_1">#REF!</definedName>
    <definedName name="__xlnm.Print_Area_2" localSheetId="5">#REF!</definedName>
    <definedName name="__xlnm.Print_Area_2" localSheetId="6">#REF!</definedName>
    <definedName name="__xlnm.Print_Area_2" localSheetId="7">#REF!</definedName>
    <definedName name="__xlnm.Print_Area_2" localSheetId="8">#REF!</definedName>
    <definedName name="__xlnm.Print_Area_2">#REF!</definedName>
    <definedName name="__xlnm.Print_Area_3" localSheetId="5">#REF!</definedName>
    <definedName name="__xlnm.Print_Area_3" localSheetId="6">#REF!</definedName>
    <definedName name="__xlnm.Print_Area_3" localSheetId="7">#REF!</definedName>
    <definedName name="__xlnm.Print_Area_3" localSheetId="8">#REF!</definedName>
    <definedName name="__xlnm.Print_Area_3">#REF!</definedName>
    <definedName name="__xlnm.Print_Area_4">#REF!</definedName>
    <definedName name="__xlnm.Print_Area_5">#REF!</definedName>
    <definedName name="__xlnm.Print_Area_6">#REF!</definedName>
    <definedName name="__xlnm.Print_Titles_1">#REF!</definedName>
    <definedName name="__xlnm.Print_Titles_2">#REF!</definedName>
    <definedName name="__xlnm.Print_Titles_3">#REF!</definedName>
    <definedName name="__xlnm.Print_Titles_4">#REF!</definedName>
    <definedName name="__xlnm.Print_Titles_5">#REF!</definedName>
    <definedName name="_xlnm.Print_Titles" localSheetId="10">'3_STROJARSTVO'!$2:$2</definedName>
    <definedName name="_xlnm.Print_Titles" localSheetId="12">'4_ELEKTROINSTALACIJE'!$98:$98</definedName>
    <definedName name="_xlnm.Print_Titles" localSheetId="11">'4_NASLOV'!#REF!</definedName>
    <definedName name="_xlnm.Print_Titles" localSheetId="13">'5_NASLOV'!#REF!</definedName>
    <definedName name="_xlnm.Print_Titles" localSheetId="14">'5_VATRODOJAVA'!$98:$98</definedName>
    <definedName name="_xlnm.Print_Titles" localSheetId="6">'VIK-1'!$6:$7</definedName>
    <definedName name="_xlnm.Print_Titles" localSheetId="7">'VIK-2'!$5:$5</definedName>
    <definedName name="_xlnm.Print_Titles" localSheetId="8">'VIK-REK'!#REF!</definedName>
    <definedName name="NOVO">#REF!</definedName>
    <definedName name="_xlnm.Print_Area" localSheetId="4">'1_Građevinsko Obrtnički'!$A$1:$G$1213</definedName>
    <definedName name="_xlnm.Print_Area" localSheetId="5">'2_NASLOV'!$A$1:$B$53</definedName>
    <definedName name="_xlnm.Print_Area" localSheetId="9">'3_NASLOV'!$A$1:$B$47</definedName>
    <definedName name="_xlnm.Print_Area" localSheetId="10">'3_STROJARSTVO'!$A$2:$F$850</definedName>
    <definedName name="_xlnm.Print_Area" localSheetId="12">'4_ELEKTROINSTALACIJE'!$A$1:$F$801</definedName>
    <definedName name="_xlnm.Print_Area" localSheetId="11">'4_NASLOV'!$A$1:$F$73</definedName>
    <definedName name="_xlnm.Print_Area" localSheetId="13">'5_NASLOV'!$A$1:$F$61</definedName>
    <definedName name="_xlnm.Print_Area" localSheetId="14">'5_VATRODOJAVA'!$A$1:$F$179</definedName>
    <definedName name="_xlnm.Print_Area" localSheetId="2">OTU!$A$1:$B$786</definedName>
    <definedName name="_xlnm.Print_Area" localSheetId="1">'SVEUKUPNA REKAPITULACIJA'!$A$1:$G$39</definedName>
    <definedName name="_xlnm.Print_Area" localSheetId="6">'VIK-1'!$A$1:$F$220</definedName>
    <definedName name="_xlnm.Print_Area" localSheetId="7">'VIK-2'!$A$1:$G$131</definedName>
    <definedName name="_xlnm.Print_Area" localSheetId="8">'VIK-REK'!$A$1:$G$44</definedName>
    <definedName name="Print_Area_MI" localSheetId="5">#REF!</definedName>
    <definedName name="Print_Area_MI" localSheetId="6">#REF!</definedName>
    <definedName name="Print_Area_MI" localSheetId="7">#REF!</definedName>
    <definedName name="Print_Area_MI" localSheetId="8">#REF!</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9" i="30" l="1"/>
  <c r="G428" i="30"/>
  <c r="F63" i="44"/>
  <c r="G177" i="30" l="1"/>
  <c r="G61" i="30" l="1"/>
  <c r="G20" i="30"/>
  <c r="G925" i="30"/>
  <c r="G921" i="30"/>
  <c r="G904" i="30"/>
  <c r="G902" i="30"/>
  <c r="G892" i="30"/>
  <c r="G881" i="30"/>
  <c r="G826" i="30"/>
  <c r="G825" i="30"/>
  <c r="G824" i="30"/>
  <c r="G817" i="30"/>
  <c r="G788" i="30"/>
  <c r="G787" i="30"/>
  <c r="G772" i="30"/>
  <c r="G771" i="30"/>
  <c r="G764" i="30"/>
  <c r="G757" i="30"/>
  <c r="G756" i="30"/>
  <c r="G702" i="30"/>
  <c r="G700" i="30"/>
  <c r="G698" i="30"/>
  <c r="G689" i="30"/>
  <c r="G688" i="30"/>
  <c r="G673" i="30"/>
  <c r="G670" i="30"/>
  <c r="G659" i="30"/>
  <c r="G657" i="30"/>
  <c r="G651" i="30"/>
  <c r="G648" i="30"/>
  <c r="G647" i="30"/>
  <c r="G927" i="30" l="1"/>
  <c r="G906" i="30"/>
  <c r="G828" i="30"/>
  <c r="G790" i="30"/>
  <c r="G704" i="30"/>
  <c r="G929" i="30" l="1"/>
  <c r="G111" i="45"/>
  <c r="G110" i="45"/>
  <c r="G109" i="45"/>
  <c r="E108" i="45"/>
  <c r="G108" i="45" s="1"/>
  <c r="G107" i="45"/>
  <c r="G106" i="45"/>
  <c r="G105" i="45"/>
  <c r="G103" i="45"/>
  <c r="G102" i="45"/>
  <c r="G101" i="45"/>
  <c r="G100" i="45"/>
  <c r="E99" i="45"/>
  <c r="G99" i="45" s="1"/>
  <c r="G98" i="45"/>
  <c r="G97" i="45"/>
  <c r="G95" i="45"/>
  <c r="G94" i="45"/>
  <c r="G93" i="45"/>
  <c r="G92" i="45"/>
  <c r="G91" i="45"/>
  <c r="G90" i="45"/>
  <c r="G89" i="45"/>
  <c r="G88" i="45"/>
  <c r="G87" i="45"/>
  <c r="G86" i="45"/>
  <c r="G85" i="45"/>
  <c r="G84" i="45"/>
  <c r="G83" i="45"/>
  <c r="G82" i="45"/>
  <c r="G80" i="45"/>
  <c r="G73" i="45"/>
  <c r="G72" i="45"/>
  <c r="G70" i="45"/>
  <c r="G69" i="45"/>
  <c r="G68" i="45"/>
  <c r="G67" i="45"/>
  <c r="G66" i="45"/>
  <c r="G65" i="45"/>
  <c r="G64" i="45"/>
  <c r="G63" i="45"/>
  <c r="E61" i="45"/>
  <c r="G61" i="45" s="1"/>
  <c r="E60" i="45"/>
  <c r="G60" i="45" s="1"/>
  <c r="G59" i="45"/>
  <c r="G57" i="45"/>
  <c r="G56" i="45"/>
  <c r="G55" i="45"/>
  <c r="G54" i="45"/>
  <c r="G53" i="45"/>
  <c r="G51" i="45"/>
  <c r="G50" i="45"/>
  <c r="G49" i="45"/>
  <c r="G48" i="45"/>
  <c r="G47" i="45"/>
  <c r="G46" i="45"/>
  <c r="G45" i="45"/>
  <c r="G44" i="45"/>
  <c r="G43" i="45"/>
  <c r="G42" i="45"/>
  <c r="G41" i="45"/>
  <c r="G40" i="45"/>
  <c r="G39" i="45"/>
  <c r="G38" i="45"/>
  <c r="G37" i="45"/>
  <c r="G36" i="45"/>
  <c r="G35" i="45"/>
  <c r="G33" i="45"/>
  <c r="G32" i="45"/>
  <c r="G31" i="45"/>
  <c r="G30" i="45"/>
  <c r="G29" i="45"/>
  <c r="E28" i="45"/>
  <c r="G71" i="45" s="1"/>
  <c r="G27" i="45"/>
  <c r="G26" i="45"/>
  <c r="G24" i="45"/>
  <c r="G23" i="45"/>
  <c r="G22" i="45"/>
  <c r="G21" i="45"/>
  <c r="G12" i="45"/>
  <c r="G11" i="45"/>
  <c r="G10" i="45"/>
  <c r="G15" i="45" s="1"/>
  <c r="F195" i="44"/>
  <c r="F192" i="44"/>
  <c r="F191" i="44"/>
  <c r="F190" i="44"/>
  <c r="F189" i="44"/>
  <c r="F188" i="44"/>
  <c r="F186" i="44"/>
  <c r="F185" i="44"/>
  <c r="F184" i="44"/>
  <c r="F183" i="44"/>
  <c r="F182" i="44"/>
  <c r="F181" i="44"/>
  <c r="F179" i="44"/>
  <c r="F177" i="44"/>
  <c r="F168" i="44"/>
  <c r="F167" i="44"/>
  <c r="F166" i="44"/>
  <c r="F165" i="44"/>
  <c r="F158" i="44"/>
  <c r="F155" i="44"/>
  <c r="F152" i="44"/>
  <c r="F151" i="44"/>
  <c r="F150" i="44"/>
  <c r="F149" i="44"/>
  <c r="F148" i="44"/>
  <c r="F146" i="44"/>
  <c r="F144" i="44"/>
  <c r="F142" i="44"/>
  <c r="F141" i="44"/>
  <c r="F139" i="44"/>
  <c r="F138" i="44"/>
  <c r="F121" i="44"/>
  <c r="F120" i="44"/>
  <c r="F119" i="44"/>
  <c r="F118" i="44"/>
  <c r="F116" i="44"/>
  <c r="F110" i="44"/>
  <c r="F109" i="44"/>
  <c r="F108" i="44"/>
  <c r="F105" i="44"/>
  <c r="F103" i="44"/>
  <c r="F101" i="44"/>
  <c r="F100" i="44"/>
  <c r="F99" i="44"/>
  <c r="F97" i="44"/>
  <c r="F96" i="44"/>
  <c r="F95" i="44"/>
  <c r="F94" i="44"/>
  <c r="F93" i="44"/>
  <c r="F92" i="44"/>
  <c r="F91" i="44"/>
  <c r="F90" i="44"/>
  <c r="F89" i="44"/>
  <c r="F87" i="44"/>
  <c r="F84" i="44"/>
  <c r="F82" i="44"/>
  <c r="F81" i="44"/>
  <c r="F80" i="44"/>
  <c r="F79" i="44"/>
  <c r="F78" i="44"/>
  <c r="F77" i="44"/>
  <c r="F76" i="44"/>
  <c r="F74" i="44"/>
  <c r="F73" i="44"/>
  <c r="F65" i="44"/>
  <c r="F64" i="44"/>
  <c r="F61" i="44"/>
  <c r="F59" i="44"/>
  <c r="F58" i="44"/>
  <c r="F56" i="44"/>
  <c r="F54" i="44"/>
  <c r="F51" i="44"/>
  <c r="F49" i="44"/>
  <c r="F48" i="44"/>
  <c r="F46" i="44"/>
  <c r="F45" i="44"/>
  <c r="F44" i="44"/>
  <c r="F43" i="44"/>
  <c r="F42" i="44"/>
  <c r="F41" i="44"/>
  <c r="F40" i="44"/>
  <c r="F39" i="44"/>
  <c r="F38" i="44"/>
  <c r="F37" i="44"/>
  <c r="F35" i="44"/>
  <c r="F34" i="44"/>
  <c r="F33" i="44"/>
  <c r="F31" i="44"/>
  <c r="F29" i="44"/>
  <c r="F28" i="44"/>
  <c r="F27" i="44"/>
  <c r="F26" i="44"/>
  <c r="F25" i="44"/>
  <c r="F23" i="44"/>
  <c r="F22" i="44"/>
  <c r="F21" i="44"/>
  <c r="F20" i="44"/>
  <c r="F18" i="44"/>
  <c r="F17" i="44"/>
  <c r="F16" i="44"/>
  <c r="F15" i="44"/>
  <c r="F14" i="44"/>
  <c r="F170" i="39"/>
  <c r="F168" i="39"/>
  <c r="F166" i="39"/>
  <c r="F164" i="39"/>
  <c r="F162" i="39"/>
  <c r="F160" i="39"/>
  <c r="F158" i="39"/>
  <c r="F156" i="39"/>
  <c r="F154" i="39"/>
  <c r="F152" i="39"/>
  <c r="F150" i="39"/>
  <c r="F148" i="39"/>
  <c r="F146" i="39"/>
  <c r="F144" i="39"/>
  <c r="F142" i="39"/>
  <c r="F140" i="39"/>
  <c r="F138" i="39"/>
  <c r="F136" i="39"/>
  <c r="F134" i="39"/>
  <c r="F132" i="39"/>
  <c r="F130" i="39"/>
  <c r="F128" i="39"/>
  <c r="F126" i="39"/>
  <c r="F124" i="39"/>
  <c r="F122" i="39"/>
  <c r="F120" i="39"/>
  <c r="F118" i="39"/>
  <c r="D116" i="39"/>
  <c r="F116" i="39" s="1"/>
  <c r="F114" i="39"/>
  <c r="F112" i="39"/>
  <c r="F110" i="39"/>
  <c r="F108" i="39"/>
  <c r="F106" i="39"/>
  <c r="F104" i="39"/>
  <c r="F102" i="39"/>
  <c r="F67" i="44" l="1"/>
  <c r="F202" i="44" s="1"/>
  <c r="F122" i="44"/>
  <c r="F204" i="44" s="1"/>
  <c r="G118" i="45"/>
  <c r="F160" i="44"/>
  <c r="F206" i="44" s="1"/>
  <c r="F197" i="44"/>
  <c r="F208" i="44" s="1"/>
  <c r="G113" i="45"/>
  <c r="G122" i="45" s="1"/>
  <c r="G28" i="45"/>
  <c r="G75" i="45" s="1"/>
  <c r="G120" i="45" s="1"/>
  <c r="F172" i="39"/>
  <c r="G124" i="45" l="1"/>
  <c r="G11" i="46" s="1"/>
  <c r="F210" i="44"/>
  <c r="G9" i="46" s="1"/>
  <c r="G9" i="42"/>
  <c r="F173" i="39"/>
  <c r="F175" i="39" s="1"/>
  <c r="B775" i="36"/>
  <c r="A775" i="36"/>
  <c r="B774" i="36"/>
  <c r="A774" i="36"/>
  <c r="B773" i="36"/>
  <c r="A773" i="36"/>
  <c r="B772" i="36"/>
  <c r="A772" i="36"/>
  <c r="B771" i="36"/>
  <c r="A771" i="36"/>
  <c r="B770" i="36"/>
  <c r="A770" i="36"/>
  <c r="B769" i="36"/>
  <c r="A769" i="36"/>
  <c r="B768" i="36"/>
  <c r="A768" i="36"/>
  <c r="B767" i="36"/>
  <c r="A767" i="36"/>
  <c r="B766" i="36"/>
  <c r="A766" i="36"/>
  <c r="B765" i="36"/>
  <c r="A765" i="36"/>
  <c r="F755" i="36"/>
  <c r="F754" i="36"/>
  <c r="F753" i="36"/>
  <c r="F752" i="36"/>
  <c r="F751" i="36"/>
  <c r="F750" i="36"/>
  <c r="F749" i="36"/>
  <c r="F748" i="36"/>
  <c r="F746" i="36"/>
  <c r="F745" i="36"/>
  <c r="F744" i="36"/>
  <c r="D743" i="36"/>
  <c r="F743" i="36" s="1"/>
  <c r="F741" i="36"/>
  <c r="F734" i="36"/>
  <c r="F732" i="36"/>
  <c r="F730" i="36"/>
  <c r="F728" i="36"/>
  <c r="F726" i="36"/>
  <c r="F724" i="36"/>
  <c r="F722" i="36"/>
  <c r="F720" i="36"/>
  <c r="F718" i="36"/>
  <c r="F716" i="36"/>
  <c r="F714" i="36"/>
  <c r="F705" i="36"/>
  <c r="F703" i="36"/>
  <c r="F701" i="36"/>
  <c r="D699" i="36"/>
  <c r="F699" i="36" s="1"/>
  <c r="F697" i="36"/>
  <c r="F695" i="36"/>
  <c r="F693" i="36"/>
  <c r="F691" i="36"/>
  <c r="F689" i="36"/>
  <c r="F687" i="36"/>
  <c r="F685" i="36"/>
  <c r="F683" i="36"/>
  <c r="F681" i="36"/>
  <c r="F679" i="36"/>
  <c r="F677" i="36"/>
  <c r="F675" i="36"/>
  <c r="F673" i="36"/>
  <c r="F671" i="36"/>
  <c r="F669" i="36"/>
  <c r="F667" i="36"/>
  <c r="F658" i="36"/>
  <c r="F656" i="36"/>
  <c r="F654" i="36"/>
  <c r="F652" i="36"/>
  <c r="F645" i="36"/>
  <c r="F642" i="36"/>
  <c r="F639" i="36"/>
  <c r="F636" i="36"/>
  <c r="F633" i="36"/>
  <c r="F630" i="36"/>
  <c r="F622" i="36"/>
  <c r="F620" i="36"/>
  <c r="F619" i="36"/>
  <c r="F618" i="36"/>
  <c r="F617" i="36"/>
  <c r="F614" i="36"/>
  <c r="F613" i="36"/>
  <c r="F612" i="36"/>
  <c r="D609" i="36"/>
  <c r="F609" i="36" s="1"/>
  <c r="F608" i="36"/>
  <c r="F605" i="36"/>
  <c r="F603" i="36"/>
  <c r="F601" i="36"/>
  <c r="F599" i="36"/>
  <c r="F597" i="36"/>
  <c r="D595" i="36"/>
  <c r="F595" i="36" s="1"/>
  <c r="D594" i="36"/>
  <c r="F594" i="36" s="1"/>
  <c r="F593" i="36"/>
  <c r="F590" i="36"/>
  <c r="F589" i="36"/>
  <c r="F588" i="36"/>
  <c r="F587" i="36"/>
  <c r="F586" i="36"/>
  <c r="F585" i="36"/>
  <c r="F584" i="36"/>
  <c r="F583" i="36"/>
  <c r="F582" i="36"/>
  <c r="F580" i="36"/>
  <c r="F571" i="36"/>
  <c r="F569" i="36"/>
  <c r="F568" i="36"/>
  <c r="F565" i="36"/>
  <c r="F563" i="36"/>
  <c r="F561" i="36"/>
  <c r="F560" i="36"/>
  <c r="F559" i="36"/>
  <c r="F558" i="36"/>
  <c r="F555" i="36"/>
  <c r="F554" i="36"/>
  <c r="F553" i="36"/>
  <c r="F552" i="36"/>
  <c r="F551" i="36"/>
  <c r="F550" i="36"/>
  <c r="F547" i="36"/>
  <c r="F546" i="36"/>
  <c r="F543" i="36"/>
  <c r="F542" i="36"/>
  <c r="F541" i="36"/>
  <c r="F540" i="36"/>
  <c r="D539" i="36"/>
  <c r="F539" i="36" s="1"/>
  <c r="D538" i="36"/>
  <c r="F538" i="36" s="1"/>
  <c r="D537" i="36"/>
  <c r="F537" i="36" s="1"/>
  <c r="F534" i="36"/>
  <c r="F532" i="36"/>
  <c r="F531" i="36"/>
  <c r="F530" i="36"/>
  <c r="F529" i="36"/>
  <c r="F528" i="36"/>
  <c r="F527" i="36"/>
  <c r="F526" i="36"/>
  <c r="F525" i="36"/>
  <c r="F524" i="36"/>
  <c r="F523" i="36"/>
  <c r="F522" i="36"/>
  <c r="F521" i="36"/>
  <c r="F520" i="36"/>
  <c r="F519" i="36"/>
  <c r="F518" i="36"/>
  <c r="F517" i="36"/>
  <c r="F516" i="36"/>
  <c r="F515" i="36"/>
  <c r="F514" i="36"/>
  <c r="F513" i="36"/>
  <c r="F512" i="36"/>
  <c r="F511" i="36"/>
  <c r="F510" i="36"/>
  <c r="F509" i="36"/>
  <c r="F508" i="36"/>
  <c r="F507" i="36"/>
  <c r="F506" i="36"/>
  <c r="F505" i="36"/>
  <c r="F504" i="36"/>
  <c r="F503" i="36"/>
  <c r="F502" i="36"/>
  <c r="F501" i="36"/>
  <c r="F500" i="36"/>
  <c r="F499" i="36"/>
  <c r="F498" i="36"/>
  <c r="F497" i="36"/>
  <c r="F496" i="36"/>
  <c r="F495" i="36"/>
  <c r="F494" i="36"/>
  <c r="F486" i="36"/>
  <c r="F484" i="36"/>
  <c r="F482" i="36"/>
  <c r="F480" i="36"/>
  <c r="F479" i="36"/>
  <c r="F476" i="36"/>
  <c r="F474" i="36"/>
  <c r="F472" i="36"/>
  <c r="F470" i="36"/>
  <c r="F468" i="36"/>
  <c r="F466" i="36"/>
  <c r="F465" i="36"/>
  <c r="F464" i="36"/>
  <c r="F463" i="36"/>
  <c r="F462" i="36"/>
  <c r="F461" i="36"/>
  <c r="F460" i="36"/>
  <c r="F459" i="36"/>
  <c r="F458" i="36"/>
  <c r="D457" i="36"/>
  <c r="F457" i="36" s="1"/>
  <c r="F456" i="36"/>
  <c r="D455" i="36"/>
  <c r="F455" i="36" s="1"/>
  <c r="F454" i="36"/>
  <c r="D453" i="36"/>
  <c r="F453" i="36" s="1"/>
  <c r="F452" i="36"/>
  <c r="F451" i="36"/>
  <c r="F450" i="36"/>
  <c r="F449" i="36"/>
  <c r="F448" i="36"/>
  <c r="F447" i="36"/>
  <c r="F446" i="36"/>
  <c r="F445" i="36"/>
  <c r="D444" i="36"/>
  <c r="F444" i="36" s="1"/>
  <c r="F443" i="36"/>
  <c r="D442" i="36"/>
  <c r="F442" i="36" s="1"/>
  <c r="F441" i="36"/>
  <c r="F440" i="36"/>
  <c r="F439" i="36"/>
  <c r="F438" i="36"/>
  <c r="F428" i="36"/>
  <c r="F425" i="36"/>
  <c r="F421" i="36"/>
  <c r="F417" i="36"/>
  <c r="F413" i="36"/>
  <c r="F409" i="36"/>
  <c r="F405" i="36"/>
  <c r="F401" i="36"/>
  <c r="F397" i="36"/>
  <c r="F393" i="36"/>
  <c r="F389" i="36"/>
  <c r="F385" i="36"/>
  <c r="F381" i="36"/>
  <c r="F377" i="36"/>
  <c r="F373" i="36"/>
  <c r="F369" i="36"/>
  <c r="F354" i="36"/>
  <c r="F352" i="36"/>
  <c r="F350" i="36"/>
  <c r="F348" i="36"/>
  <c r="F347" i="36"/>
  <c r="F346" i="36"/>
  <c r="F345" i="36"/>
  <c r="F344" i="36"/>
  <c r="F343" i="36"/>
  <c r="F342" i="36"/>
  <c r="F341" i="36"/>
  <c r="F340" i="36"/>
  <c r="F339" i="36"/>
  <c r="F338" i="36"/>
  <c r="F337" i="36"/>
  <c r="F336" i="36"/>
  <c r="F335" i="36"/>
  <c r="F334" i="36"/>
  <c r="F333" i="36"/>
  <c r="F332" i="36"/>
  <c r="F331" i="36"/>
  <c r="F330" i="36"/>
  <c r="F329" i="36"/>
  <c r="F328" i="36"/>
  <c r="F327" i="36"/>
  <c r="F326" i="36"/>
  <c r="F325" i="36"/>
  <c r="F324" i="36"/>
  <c r="F323" i="36"/>
  <c r="F322" i="36"/>
  <c r="F321" i="36"/>
  <c r="F320" i="36"/>
  <c r="F319" i="36"/>
  <c r="F318" i="36"/>
  <c r="F317" i="36"/>
  <c r="F316" i="36"/>
  <c r="F315" i="36"/>
  <c r="F314" i="36"/>
  <c r="F313" i="36"/>
  <c r="F312" i="36"/>
  <c r="F311" i="36"/>
  <c r="F310" i="36"/>
  <c r="F309" i="36"/>
  <c r="F308" i="36"/>
  <c r="F307" i="36"/>
  <c r="F306" i="36"/>
  <c r="F305" i="36"/>
  <c r="F304" i="36"/>
  <c r="F303" i="36"/>
  <c r="F302" i="36"/>
  <c r="F301" i="36"/>
  <c r="F300" i="36"/>
  <c r="F299" i="36"/>
  <c r="F296" i="36"/>
  <c r="F295" i="36"/>
  <c r="F294" i="36"/>
  <c r="F293" i="36"/>
  <c r="F292" i="36"/>
  <c r="F291" i="36"/>
  <c r="F290" i="36"/>
  <c r="F289" i="36"/>
  <c r="F288" i="36"/>
  <c r="F287" i="36"/>
  <c r="F286" i="36"/>
  <c r="F285" i="36"/>
  <c r="F284" i="36"/>
  <c r="F283" i="36"/>
  <c r="F282" i="36"/>
  <c r="F281" i="36"/>
  <c r="F280" i="36"/>
  <c r="F279" i="36"/>
  <c r="F278" i="36"/>
  <c r="F277" i="36"/>
  <c r="F276" i="36"/>
  <c r="F275" i="36"/>
  <c r="F274" i="36"/>
  <c r="F273" i="36"/>
  <c r="F272" i="36"/>
  <c r="F271" i="36"/>
  <c r="F270" i="36"/>
  <c r="F269" i="36"/>
  <c r="F268" i="36"/>
  <c r="F267" i="36"/>
  <c r="F266" i="36"/>
  <c r="F265" i="36"/>
  <c r="F264" i="36"/>
  <c r="F263" i="36"/>
  <c r="F262" i="36"/>
  <c r="F261" i="36"/>
  <c r="F260" i="36"/>
  <c r="F259" i="36"/>
  <c r="F258" i="36"/>
  <c r="F257" i="36"/>
  <c r="F256" i="36"/>
  <c r="F255" i="36"/>
  <c r="F254" i="36"/>
  <c r="F253" i="36"/>
  <c r="F252" i="36"/>
  <c r="F251" i="36"/>
  <c r="F250" i="36"/>
  <c r="F249" i="36"/>
  <c r="F248" i="36"/>
  <c r="F247" i="36"/>
  <c r="F246" i="36"/>
  <c r="F245" i="36"/>
  <c r="F244" i="36"/>
  <c r="F241" i="36"/>
  <c r="F240" i="36"/>
  <c r="F239" i="36"/>
  <c r="F238" i="36"/>
  <c r="F237" i="36"/>
  <c r="F236" i="36"/>
  <c r="F235" i="36"/>
  <c r="F234" i="36"/>
  <c r="F233" i="36"/>
  <c r="F232" i="36"/>
  <c r="F231" i="36"/>
  <c r="F230" i="36"/>
  <c r="F229" i="36"/>
  <c r="F228" i="36"/>
  <c r="F227" i="36"/>
  <c r="F226" i="36"/>
  <c r="F225" i="36"/>
  <c r="F224" i="36"/>
  <c r="F223" i="36"/>
  <c r="F222" i="36"/>
  <c r="F221" i="36"/>
  <c r="F220" i="36"/>
  <c r="F219" i="36"/>
  <c r="F218" i="36"/>
  <c r="F217" i="36"/>
  <c r="F216" i="36"/>
  <c r="F213" i="36"/>
  <c r="F212" i="36"/>
  <c r="F211" i="36"/>
  <c r="F210" i="36"/>
  <c r="F209" i="36"/>
  <c r="F208" i="36"/>
  <c r="F207" i="36"/>
  <c r="F206" i="36"/>
  <c r="F205" i="36"/>
  <c r="F204" i="36"/>
  <c r="F203" i="36"/>
  <c r="F202" i="36"/>
  <c r="F201" i="36"/>
  <c r="F200" i="36"/>
  <c r="F199" i="36"/>
  <c r="F198" i="36"/>
  <c r="F197" i="36"/>
  <c r="F196" i="36"/>
  <c r="F195" i="36"/>
  <c r="F194" i="36"/>
  <c r="F193" i="36"/>
  <c r="F192" i="36"/>
  <c r="F191" i="36"/>
  <c r="F190" i="36"/>
  <c r="F189" i="36"/>
  <c r="F188" i="36"/>
  <c r="F187" i="36"/>
  <c r="F186" i="36"/>
  <c r="F185" i="36"/>
  <c r="F184" i="36"/>
  <c r="F183" i="36"/>
  <c r="F182" i="36"/>
  <c r="F181" i="36"/>
  <c r="F180" i="36"/>
  <c r="F179" i="36"/>
  <c r="F178" i="36"/>
  <c r="F177" i="36"/>
  <c r="F176" i="36"/>
  <c r="F175" i="36"/>
  <c r="F174" i="36"/>
  <c r="F173" i="36"/>
  <c r="F172" i="36"/>
  <c r="F171" i="36"/>
  <c r="F170" i="36"/>
  <c r="F169" i="36"/>
  <c r="F168" i="36"/>
  <c r="F167" i="36"/>
  <c r="F166" i="36"/>
  <c r="F165" i="36"/>
  <c r="F164" i="36"/>
  <c r="F163" i="36"/>
  <c r="F162" i="36"/>
  <c r="F161" i="36"/>
  <c r="F160" i="36"/>
  <c r="F159" i="36"/>
  <c r="F158" i="36"/>
  <c r="F155" i="36"/>
  <c r="F154" i="36"/>
  <c r="F153" i="36"/>
  <c r="F152" i="36"/>
  <c r="F151" i="36"/>
  <c r="F150" i="36"/>
  <c r="F149" i="36"/>
  <c r="F148" i="36"/>
  <c r="F147" i="36"/>
  <c r="F146" i="36"/>
  <c r="F145" i="36"/>
  <c r="F144" i="36"/>
  <c r="F143" i="36"/>
  <c r="F142" i="36"/>
  <c r="F134" i="36"/>
  <c r="F132" i="36"/>
  <c r="F130" i="36"/>
  <c r="F129" i="36"/>
  <c r="F128" i="36"/>
  <c r="F126" i="36"/>
  <c r="F124" i="36"/>
  <c r="F121" i="36"/>
  <c r="F119" i="36"/>
  <c r="F117" i="36"/>
  <c r="F114" i="36"/>
  <c r="F112" i="36"/>
  <c r="F110" i="36"/>
  <c r="F108" i="36"/>
  <c r="F106" i="36"/>
  <c r="F104" i="36"/>
  <c r="F829" i="35"/>
  <c r="F827" i="35"/>
  <c r="F824" i="35"/>
  <c r="F821" i="35"/>
  <c r="F818" i="35"/>
  <c r="F815" i="35"/>
  <c r="F814" i="35"/>
  <c r="F813" i="35"/>
  <c r="F810" i="35"/>
  <c r="F809" i="35"/>
  <c r="F808" i="35"/>
  <c r="F807" i="35"/>
  <c r="F804" i="35"/>
  <c r="F801" i="35"/>
  <c r="F791" i="35"/>
  <c r="F788" i="35"/>
  <c r="F786" i="35"/>
  <c r="F785" i="35"/>
  <c r="F784" i="35"/>
  <c r="F783" i="35"/>
  <c r="F782" i="35"/>
  <c r="F781" i="35"/>
  <c r="F780" i="35"/>
  <c r="F776" i="35"/>
  <c r="F774" i="35"/>
  <c r="F773" i="35"/>
  <c r="F772" i="35"/>
  <c r="F769" i="35"/>
  <c r="F768" i="35"/>
  <c r="F767" i="35"/>
  <c r="F766" i="35"/>
  <c r="F763" i="35"/>
  <c r="F760" i="35"/>
  <c r="F759" i="35"/>
  <c r="F758" i="35"/>
  <c r="F757" i="35"/>
  <c r="F754" i="35"/>
  <c r="F753" i="35"/>
  <c r="F752" i="35"/>
  <c r="F749" i="35"/>
  <c r="F748" i="35"/>
  <c r="F747" i="35"/>
  <c r="F744" i="35"/>
  <c r="F743" i="35"/>
  <c r="F742" i="35"/>
  <c r="F739" i="35"/>
  <c r="F738" i="35"/>
  <c r="F737" i="35"/>
  <c r="F734" i="35"/>
  <c r="F706" i="35"/>
  <c r="F678" i="35"/>
  <c r="F621" i="35"/>
  <c r="F618" i="35"/>
  <c r="F595" i="35"/>
  <c r="F573" i="35"/>
  <c r="F538" i="35"/>
  <c r="F536" i="35"/>
  <c r="F534" i="35"/>
  <c r="F532" i="35"/>
  <c r="F530" i="35"/>
  <c r="F528" i="35"/>
  <c r="F526" i="35"/>
  <c r="F524" i="35"/>
  <c r="F522" i="35"/>
  <c r="F520" i="35"/>
  <c r="F518" i="35"/>
  <c r="F516" i="35"/>
  <c r="F514" i="35"/>
  <c r="F512" i="35"/>
  <c r="F510" i="35"/>
  <c r="F508" i="35"/>
  <c r="F506" i="35"/>
  <c r="F504" i="35"/>
  <c r="F502" i="35"/>
  <c r="F496" i="35"/>
  <c r="F493" i="35"/>
  <c r="F490" i="35"/>
  <c r="F487" i="35"/>
  <c r="F484" i="35"/>
  <c r="F481" i="35"/>
  <c r="F478" i="35"/>
  <c r="F475" i="35"/>
  <c r="F472" i="35"/>
  <c r="F469" i="35"/>
  <c r="F468" i="35"/>
  <c r="F465" i="35"/>
  <c r="F461" i="35"/>
  <c r="F458" i="35"/>
  <c r="F455" i="35"/>
  <c r="F453" i="35"/>
  <c r="F452" i="35"/>
  <c r="F450" i="35"/>
  <c r="F448" i="35"/>
  <c r="F440" i="35"/>
  <c r="F437" i="35"/>
  <c r="F436" i="35"/>
  <c r="F435" i="35"/>
  <c r="F434" i="35"/>
  <c r="F433" i="35"/>
  <c r="F432" i="35"/>
  <c r="F430" i="35"/>
  <c r="F426" i="35"/>
  <c r="F424" i="35"/>
  <c r="F422" i="35"/>
  <c r="F420" i="35"/>
  <c r="F414" i="35"/>
  <c r="F411" i="35"/>
  <c r="F410" i="35"/>
  <c r="F409" i="35"/>
  <c r="F406" i="35"/>
  <c r="F403" i="35"/>
  <c r="F402" i="35"/>
  <c r="F401" i="35"/>
  <c r="F398" i="35"/>
  <c r="F397" i="35"/>
  <c r="F394" i="35"/>
  <c r="F393" i="35"/>
  <c r="F392" i="35"/>
  <c r="F391" i="35"/>
  <c r="F388" i="35"/>
  <c r="F387" i="35"/>
  <c r="F384" i="35"/>
  <c r="F383" i="35"/>
  <c r="F382" i="35"/>
  <c r="F381" i="35"/>
  <c r="F378" i="35"/>
  <c r="F377" i="35"/>
  <c r="F374" i="35"/>
  <c r="F373" i="35"/>
  <c r="F372" i="35"/>
  <c r="F369" i="35"/>
  <c r="F368" i="35"/>
  <c r="F365" i="35"/>
  <c r="F364" i="35"/>
  <c r="F363" i="35"/>
  <c r="F362" i="35"/>
  <c r="F361" i="35"/>
  <c r="F360" i="35"/>
  <c r="F357" i="35"/>
  <c r="F354" i="35"/>
  <c r="F351" i="35"/>
  <c r="F348" i="35"/>
  <c r="F345" i="35"/>
  <c r="F342" i="35"/>
  <c r="F339" i="35"/>
  <c r="F336" i="35"/>
  <c r="F333" i="35"/>
  <c r="F330" i="35"/>
  <c r="F327" i="35"/>
  <c r="F310" i="35"/>
  <c r="F308" i="35"/>
  <c r="F306" i="35"/>
  <c r="F304" i="35"/>
  <c r="F302" i="35"/>
  <c r="F300" i="35"/>
  <c r="F298" i="35"/>
  <c r="F296" i="35"/>
  <c r="F294" i="35"/>
  <c r="F292" i="35"/>
  <c r="F290" i="35"/>
  <c r="F288" i="35"/>
  <c r="F283" i="35"/>
  <c r="F281" i="35"/>
  <c r="F277" i="35"/>
  <c r="F269" i="35"/>
  <c r="F266" i="35"/>
  <c r="F265" i="35"/>
  <c r="F264" i="35"/>
  <c r="F263" i="35"/>
  <c r="F262" i="35"/>
  <c r="F259" i="35"/>
  <c r="F258" i="35"/>
  <c r="F253" i="35"/>
  <c r="F252" i="35"/>
  <c r="F251" i="35"/>
  <c r="F250" i="35"/>
  <c r="F249" i="35"/>
  <c r="F246" i="35"/>
  <c r="F243" i="35"/>
  <c r="F240" i="35"/>
  <c r="F238" i="35"/>
  <c r="F237" i="35"/>
  <c r="F236" i="35"/>
  <c r="F235" i="35"/>
  <c r="F234" i="35"/>
  <c r="F233" i="35"/>
  <c r="F232" i="35"/>
  <c r="F230" i="35"/>
  <c r="F228" i="35"/>
  <c r="F225" i="35"/>
  <c r="F213" i="35"/>
  <c r="F198" i="35"/>
  <c r="F174" i="35"/>
  <c r="F165" i="35"/>
  <c r="F123" i="35"/>
  <c r="F78" i="35"/>
  <c r="G1100" i="30"/>
  <c r="G1097" i="30"/>
  <c r="G399" i="30"/>
  <c r="G397" i="30"/>
  <c r="G395" i="30"/>
  <c r="F793" i="35" l="1"/>
  <c r="F840" i="35" s="1"/>
  <c r="G13" i="46"/>
  <c r="G6" i="42" s="1"/>
  <c r="F647" i="36"/>
  <c r="F771" i="36" s="1"/>
  <c r="F662" i="36"/>
  <c r="F772" i="36" s="1"/>
  <c r="F707" i="36"/>
  <c r="F773" i="36" s="1"/>
  <c r="F736" i="36"/>
  <c r="F774" i="36" s="1"/>
  <c r="D742" i="36"/>
  <c r="F742" i="36" s="1"/>
  <c r="F757" i="36" s="1"/>
  <c r="F775" i="36" s="1"/>
  <c r="F136" i="36"/>
  <c r="F765" i="36" s="1"/>
  <c r="F356" i="36"/>
  <c r="F766" i="36" s="1"/>
  <c r="F432" i="36"/>
  <c r="F767" i="36" s="1"/>
  <c r="F624" i="36"/>
  <c r="F770" i="36" s="1"/>
  <c r="F271" i="35"/>
  <c r="F837" i="35" s="1"/>
  <c r="F442" i="35"/>
  <c r="F838" i="35" s="1"/>
  <c r="F498" i="35"/>
  <c r="F543" i="35" s="1"/>
  <c r="F540" i="35"/>
  <c r="F544" i="35" s="1"/>
  <c r="F831" i="35"/>
  <c r="F841" i="35" s="1"/>
  <c r="F573" i="36"/>
  <c r="F769" i="36" s="1"/>
  <c r="F488" i="36"/>
  <c r="F768" i="36" s="1"/>
  <c r="G475" i="30"/>
  <c r="G466" i="30"/>
  <c r="G460" i="30"/>
  <c r="G14" i="46" l="1"/>
  <c r="G16" i="46" s="1"/>
  <c r="F545" i="35"/>
  <c r="F839" i="35" s="1"/>
  <c r="F842" i="35" s="1"/>
  <c r="F777" i="36"/>
  <c r="G1050" i="30"/>
  <c r="G1042" i="30"/>
  <c r="G345" i="30"/>
  <c r="G531" i="30"/>
  <c r="F778" i="36" l="1"/>
  <c r="F779" i="36" s="1"/>
  <c r="G8" i="42"/>
  <c r="F843" i="35"/>
  <c r="F844" i="35" s="1"/>
  <c r="G7" i="42"/>
  <c r="G1070" i="30"/>
  <c r="G609" i="30" l="1"/>
  <c r="G608" i="30"/>
  <c r="G597" i="30"/>
  <c r="G596" i="30"/>
  <c r="G593" i="30"/>
  <c r="G592" i="30"/>
  <c r="G605" i="30"/>
  <c r="G453" i="30"/>
  <c r="G1151" i="30"/>
  <c r="G1149" i="30"/>
  <c r="G1147" i="30"/>
  <c r="G1145" i="30"/>
  <c r="G1143" i="30"/>
  <c r="G1141" i="30"/>
  <c r="G1137" i="30"/>
  <c r="G1134" i="30"/>
  <c r="G1131" i="30"/>
  <c r="G1129" i="30"/>
  <c r="G1128" i="30"/>
  <c r="G1127" i="30"/>
  <c r="G1124" i="30"/>
  <c r="G1122" i="30"/>
  <c r="G1121" i="30"/>
  <c r="G1120" i="30"/>
  <c r="G1117" i="30"/>
  <c r="G1116" i="30"/>
  <c r="G1115" i="30"/>
  <c r="G1112" i="30"/>
  <c r="G1109" i="30"/>
  <c r="G1107" i="30"/>
  <c r="G1103" i="30"/>
  <c r="G1105" i="30" l="1"/>
  <c r="G1093" i="30"/>
  <c r="G1091" i="30"/>
  <c r="G30" i="30"/>
  <c r="G1068" i="30"/>
  <c r="G1065" i="30"/>
  <c r="G1063" i="30"/>
  <c r="G1061" i="30"/>
  <c r="G1059" i="30"/>
  <c r="G1057" i="30"/>
  <c r="G1046" i="30"/>
  <c r="G1039" i="30"/>
  <c r="G1037" i="30"/>
  <c r="G1007" i="30"/>
  <c r="G1002" i="30"/>
  <c r="G996" i="30"/>
  <c r="G991" i="30"/>
  <c r="G986" i="30"/>
  <c r="G985" i="30"/>
  <c r="G984" i="30"/>
  <c r="G981" i="30"/>
  <c r="G979" i="30"/>
  <c r="G971" i="30"/>
  <c r="G966" i="30"/>
  <c r="G1052" i="30" l="1"/>
  <c r="G1083" i="30" s="1"/>
  <c r="G1178" i="30" s="1"/>
  <c r="G1072" i="30"/>
  <c r="G1009" i="30"/>
  <c r="G1082" i="30" s="1"/>
  <c r="G1177" i="30" s="1"/>
  <c r="G1084" i="30" l="1"/>
  <c r="G1179" i="30" s="1"/>
  <c r="G960" i="30"/>
  <c r="G955" i="30"/>
  <c r="G973" i="30" s="1"/>
  <c r="G944" i="30"/>
  <c r="G942" i="30"/>
  <c r="G939" i="30"/>
  <c r="G937" i="30"/>
  <c r="G935" i="30"/>
  <c r="G946" i="30" l="1"/>
  <c r="G1080" i="30" s="1"/>
  <c r="G1175" i="30" s="1"/>
  <c r="G1081" i="30"/>
  <c r="G1176" i="30" s="1"/>
  <c r="G603" i="30" l="1"/>
  <c r="G1079" i="30" l="1"/>
  <c r="G1174" i="30" s="1"/>
  <c r="G565" i="30"/>
  <c r="G562" i="30"/>
  <c r="G559" i="30"/>
  <c r="G556" i="30"/>
  <c r="G553" i="30"/>
  <c r="G550" i="30"/>
  <c r="G547" i="30"/>
  <c r="G427" i="30" l="1"/>
  <c r="G160" i="30" l="1"/>
  <c r="G359" i="30"/>
  <c r="G358" i="30"/>
  <c r="G448" i="30"/>
  <c r="G256" i="30"/>
  <c r="G199" i="30"/>
  <c r="G196" i="30"/>
  <c r="G341" i="30" l="1"/>
  <c r="G340" i="30"/>
  <c r="G234" i="30"/>
  <c r="G225" i="30"/>
  <c r="G224" i="30"/>
  <c r="G219" i="30"/>
  <c r="G218" i="30"/>
  <c r="G1139" i="30"/>
  <c r="G1153" i="30" s="1"/>
  <c r="G519" i="30"/>
  <c r="G510" i="30"/>
  <c r="G509" i="30"/>
  <c r="G1183" i="30" l="1"/>
  <c r="G261" i="30"/>
  <c r="G497" i="30" l="1"/>
  <c r="G515" i="30"/>
  <c r="G502" i="30"/>
  <c r="G484" i="30"/>
  <c r="G480" i="30"/>
  <c r="G493" i="30"/>
  <c r="G488" i="30"/>
  <c r="G423" i="30"/>
  <c r="G419" i="30"/>
  <c r="G371" i="30"/>
  <c r="G157" i="30"/>
  <c r="G170" i="30"/>
  <c r="G166" i="30"/>
  <c r="G445" i="30" l="1"/>
  <c r="G378" i="30"/>
  <c r="G541" i="30"/>
  <c r="G544" i="30"/>
  <c r="G380" i="30" l="1"/>
  <c r="G578" i="30" s="1"/>
  <c r="G1165" i="30" s="1"/>
  <c r="G568" i="30"/>
  <c r="G581" i="30" s="1"/>
  <c r="G1168" i="30" s="1"/>
  <c r="G416" i="30"/>
  <c r="G393" i="30"/>
  <c r="G412" i="30"/>
  <c r="G410" i="30"/>
  <c r="G404" i="30"/>
  <c r="G389" i="30"/>
  <c r="G387" i="30"/>
  <c r="G335" i="30"/>
  <c r="G334" i="30"/>
  <c r="G309" i="30"/>
  <c r="G308" i="30"/>
  <c r="G317" i="30"/>
  <c r="G316" i="30"/>
  <c r="G287" i="30"/>
  <c r="G286" i="30"/>
  <c r="G275" i="30"/>
  <c r="G274" i="30"/>
  <c r="G326" i="30"/>
  <c r="G325" i="30"/>
  <c r="G301" i="30"/>
  <c r="G300" i="30"/>
  <c r="G293" i="30"/>
  <c r="G292" i="30"/>
  <c r="G281" i="30"/>
  <c r="G280" i="30"/>
  <c r="G353" i="30"/>
  <c r="G352" i="30"/>
  <c r="G268" i="30"/>
  <c r="G267" i="30"/>
  <c r="G246" i="30"/>
  <c r="G431" i="30" l="1"/>
  <c r="G579" i="30" s="1"/>
  <c r="G1166" i="30" s="1"/>
  <c r="G176" i="30"/>
  <c r="G182" i="30"/>
  <c r="G173" i="30" l="1"/>
  <c r="G150" i="30"/>
  <c r="G37" i="30"/>
  <c r="G35" i="30"/>
  <c r="G117" i="30" l="1"/>
  <c r="G90" i="30"/>
  <c r="G25" i="30"/>
  <c r="G114" i="30"/>
  <c r="G113" i="30"/>
  <c r="G112" i="30"/>
  <c r="G111" i="30"/>
  <c r="G110" i="30"/>
  <c r="G51" i="30"/>
  <c r="G50" i="30"/>
  <c r="G107" i="30"/>
  <c r="G103" i="30"/>
  <c r="G47" i="30"/>
  <c r="G46" i="30"/>
  <c r="G53" i="30" l="1"/>
  <c r="G574" i="30" s="1"/>
  <c r="G1161" i="30" s="1"/>
  <c r="G185" i="30" l="1"/>
  <c r="G179" i="30"/>
  <c r="G189" i="30"/>
  <c r="G154" i="30"/>
  <c r="G600" i="30"/>
  <c r="G99" i="30"/>
  <c r="G96" i="30"/>
  <c r="G93" i="30"/>
  <c r="G87" i="30"/>
  <c r="G84" i="30"/>
  <c r="G81" i="30"/>
  <c r="G78" i="30"/>
  <c r="G75" i="30"/>
  <c r="G74" i="30"/>
  <c r="G71" i="30"/>
  <c r="G70" i="30"/>
  <c r="G67" i="30"/>
  <c r="G64" i="30"/>
  <c r="G13" i="30"/>
  <c r="G10" i="30"/>
  <c r="G611" i="30" l="1"/>
  <c r="G1077" i="30" s="1"/>
  <c r="G39" i="30"/>
  <c r="G1172" i="30" l="1"/>
  <c r="G573" i="30"/>
  <c r="G1160" i="30" s="1"/>
  <c r="G443" i="30" l="1"/>
  <c r="G233" i="30"/>
  <c r="G232" i="30"/>
  <c r="G252" i="30"/>
  <c r="G251" i="30"/>
  <c r="G239" i="30"/>
  <c r="G213" i="30"/>
  <c r="G212" i="30"/>
  <c r="G121" i="30"/>
  <c r="G193" i="30"/>
  <c r="G125" i="30"/>
  <c r="G146" i="30"/>
  <c r="G141" i="30"/>
  <c r="G127" i="30" l="1"/>
  <c r="G361" i="30"/>
  <c r="G577" i="30" s="1"/>
  <c r="G1164" i="30" s="1"/>
  <c r="G534" i="30"/>
  <c r="G580" i="30" s="1"/>
  <c r="G1167" i="30" s="1"/>
  <c r="G201" i="30"/>
  <c r="G576" i="30" s="1"/>
  <c r="G1163" i="30" s="1"/>
  <c r="G575" i="30" l="1"/>
  <c r="G583" i="30" l="1"/>
  <c r="G1162" i="30"/>
  <c r="G1170" i="30" s="1"/>
  <c r="G1078" i="30"/>
  <c r="G1086" i="30" s="1"/>
  <c r="G1173" i="30" l="1"/>
  <c r="G1181" i="30" s="1"/>
  <c r="G1186" i="30" s="1"/>
  <c r="G1187" i="30" l="1"/>
  <c r="G1189" i="30" s="1"/>
  <c r="G5" i="42"/>
  <c r="G11" i="42" s="1"/>
  <c r="G12" i="42" l="1"/>
  <c r="G14" i="42" s="1"/>
</calcChain>
</file>

<file path=xl/sharedStrings.xml><?xml version="1.0" encoding="utf-8"?>
<sst xmlns="http://schemas.openxmlformats.org/spreadsheetml/2006/main" count="5275" uniqueCount="2796">
  <si>
    <t>1.</t>
  </si>
  <si>
    <t xml:space="preserve">Prije izrade ponude izvoditelj može pregledati građevinu i teren oko nje, radi ocjene uvjeta za organizaciju gradilišta i organizaciju izvedbe radova, uvjeta i načina postave skele i izrade projekta skela i uvjeta za  izdavanje rješenja za zauzimanje javno prometne površine, kao i eventualne uvjete privremene regulacije prometa.
Fasadna skela se izvodi od tipskih aluminijskih ili čeličnih elemenata. Skela se postavlja na nosivu podlogu iz metalnih podložnih papuča, površine nalijeganja minimalno 250 cm². Podloga na koju se postavlja fasadna skela mora biti čvrsta i stabilna. Minimalna širina skele iznosi 80 cm, a udaljenost skele od zida fasade smije biti maksimalno 15-20 cm. Visina zaštitne ograde je 100 cm, s maksimalnim razmakom elemenata 35 cm. U razini radne platforme potrebno je postaviti zaštitnu dasku minimalne visine 20 cm, kao zaštitu od padanja predmeta sa skele. Radnu platformu izvesti od drvenih mosnica debljine 48 mm ili iz tipskih limenih elemenata. </t>
  </si>
  <si>
    <t>Fasadna skela mora biti opremljena penjalicama maksimalne dužine 400 cm u jednom komadu i trebaju biti postavljene naizmjenično. Postavljenu fasadnu skelu treba od podnožja do vrha te na krajevima dijagonalno ukrutiti kosnicima pod kutem 45°. Također skelu treba osigurati od prevrtanja sidrenjem u građevinu, a razmak sidrenja mora biti manji od 6,0 m u horizontalnom i vertikalnom smjeru. Izvedena skela ne smije imati slobodnu visinu stupova veću od 4,0 m. Postavljenu skelu potrebno je osigurati od udara groma.
Na fasadnu skelu potrebno je s vanjske strane postaviti jutenu ili plastičnu zaštitu.</t>
  </si>
  <si>
    <t>3.</t>
  </si>
  <si>
    <t>2.</t>
  </si>
  <si>
    <t>4.</t>
  </si>
  <si>
    <t>NAPOMENA !</t>
  </si>
  <si>
    <t xml:space="preserve">VAŽNA NAPOMENA UZ TROŠKOVNIKE (odnosi se na sve troškovnike):
</t>
  </si>
  <si>
    <t>INVESTITOR:</t>
  </si>
  <si>
    <t>GRAĐEVINA:</t>
  </si>
  <si>
    <t>LOKACIJA:</t>
  </si>
  <si>
    <t>PROJEKTANT:</t>
  </si>
  <si>
    <t xml:space="preserve"> POSEBNI, OPĆI I TEHNIČKI UVJETI UGOVARANJA I IZVOĐENJA</t>
  </si>
  <si>
    <t>OPĆI UVJETI</t>
  </si>
  <si>
    <t>• mikroklimatskih uvjeta</t>
  </si>
  <si>
    <t>• količine i prirode posla i materijala potrebnih za izvođenje i završetak radova te otklanjanje nedostataka</t>
  </si>
  <si>
    <t>• načina pristupa radilištu i prostora koji bi mu mogao biti potreban</t>
  </si>
  <si>
    <t xml:space="preserve">Smatrat će se da je dobio sve potrebne informacije, pod uvjetom kako je gore navedeno, u pogledu rizika, nepredviđenih izdataka i svih drugih okolnosti koje mogu imati utjecaja ili djelovati na njegovu ponudu ili izvođenje. </t>
  </si>
  <si>
    <t>Izvoditelj je dužan o svom trošku izvesti ili provoditi:</t>
  </si>
  <si>
    <t>• čišćenje vozila (kotača) pranjem, pri iskopima i uvijek ako za to postoji potreba, uključivo i čišćenje kolnika i nogostupa</t>
  </si>
  <si>
    <t>• podmirivanje komunalnih troškova (privremene priključke i potrošnju vode, električne energije i sl.)</t>
  </si>
  <si>
    <t xml:space="preserve">Trošak privremenog gradilišta (za pripremne, zemljane i radove dubokog temeljenja i poboljšanja tla) Izvoditelj dogovara ugovorom o izvođenju pripremnih radova. </t>
  </si>
  <si>
    <t xml:space="preserve">Izvoditelj je odgovoran za točno iskolčavanje u odnosu prema izvornim točkama, linijama i razinama podataka koje su dane u projektu.
Ako se u toku izvođenja radova pojavi bilo kakva greška u položaju, razini, dimenzijama ili povezivanju bilo kojeg dijela radova, izvoditelj će, kad to zahtijeva nadzorni inženjer, na vlastiti trošak ispraviti takvu grešku.
Provjera svih iskolčavanja ili bilo koje linije ili razine od strane nadzornog inženjera neće ni na koji način osloboditi izvoditelja njegove odgovornosti za njihovu ispravnost i izvoditelj će pažljivo zaštititi i sačuvati sve stalne točke (repere), građevinske profile, klinove i druge stvari koje se koriste za iskolčavanje, nanošenje i prenošenje osi i visina.
</t>
  </si>
  <si>
    <t>Za određene vrste radova projektant Investitora odabire uzorke u skladu s traženom kvalitetom i tonom a na osnovu prezentiranih uzoraka koje im osigurava izvoditelj tokom nuđenja i to u više primjeraka.</t>
  </si>
  <si>
    <t xml:space="preserve">Obveza izvoditelja je izrada operativnih planova izvođenja radova. Izvoditelj je obvezan izraditi operativni plan izvođenja radova sa danom utvrđenim početka i završetka radova, te na osnovu njega izrađivati mjesečne, tjedne i dnevne planove izvođenja radova i dopreme materijala i opreme. Izvoditelj je obvezan svoje planove uskladiti i usklađivati sa ostalim izvoditeljima na gradilištu. Izvoditelji su dužni pridržavati se rokova i međurokova iz operativnog plana izvođenja.
Ukoliko tokom rada dođe do odstupanja u odnosu na operativni plan izvođenja radova, a ta odstupanja dovode u pitanje ispunjenje ugovornih rokova, Investitor će pismeno obavijestiti Izvoditelja i zatražiti u primjernom roku usklađivanje radova s operativnim planom. Ako izvoditelj ne udovolji zahtjevu investitora, investitor može dio ugovorenog posla čiji je rok dovršenja u pitanju, povjeriti drugoj osobi na teret izvoditelja, a izvoditelj je dužan omogućiti nesmetano izvođenje tih radova.
</t>
  </si>
  <si>
    <t>Ako u građenju sudjeluju dva ili više izvoditelja, investitor će imenovati izvoditelja odgovornog za međusobno usklađivanje radova (glavni izvoditelj).</t>
  </si>
  <si>
    <t>Izvoditelj je na gradilištu dužan voditi građevinski dnevnik za sve građevine za koje je, prema odredbama Zakona o gradnji propisan stručni nadzor i to u skladu s Pravilnikom o uvjetima, načinu i obrascu vođenja građevinskog dnevnika. Ako u građenju sudjeluju dva ili više izvoditelja, građevinski dnevnik vodi izvoditelj odgovoran za međusobno usklađivanje radova. Svaki izvoditelj obvezno vodi građevinski dnevnik za svoje radilište.</t>
  </si>
  <si>
    <t xml:space="preserve">Ukoliko opis u troškovniku, tehnička dokumentacija ili stanje na licu mjesta dovodi izvoditelja u sumnju o načinu izvedbe pojedinog rada potrebno je zatražiti objašnjenje od nadzornog inženjera jer se neće odobriti niti priznati nikakvo odstupanje od projekta bez suglasnosti nadzornog inženjera.
Izvoditelj i izvoditelj odgovoran za međusobno usklađivanje radova, tijekom gradnje, vode građevinske dnevnike u originalu i jednoj kopiji u koje se registriraju dnevno sve činjenice tijekom radova, opisom i skicama a sve u skladu s Pravilnikom o uvjetima, načinu i obrascu vođenja građevinskog dnevnika.
Izvoditelj je dužan imenovati voditelja građenja ili voditelja pojedinih radova, a u skladu s Zakonom prije početka radova i o tome pismeno obavijestiti Investitora.
</t>
  </si>
  <si>
    <t xml:space="preserve">U obvezi izvoditelja je izrada projekta izvedenog stanja, kojim se definiraju i grafički prikazuju svi izvedeni i ugrađeni elementi a prema stvarnim izmjerama na licu mjesta u toku izvođenja i sve izmjene i dopune nastale u toku građenja u odnosu na glavni i izvedbeni projekt. Dokumentaciju ovjerava izvoditelj i predaje investitoru 10 dana prije investitorskog pregleda građevine. Izvoditelj je dužan izraditi i sve potrebne sheme instalacija koje moraju biti izložene uz upravljačka mjesta u građevini (npr. u toplinskoj stanici i sl.). Za sve važnije dijelove opreme i sklopove osigurati upute za ugradnju i upotrebu.
Prije tehničkog pregleda u građevinskom dnevniku, izvoditelj treba izraditi rekapitulaciju dokumenata – svjedočanstva, certifikata i izvještaja kojima se dokazuje sigurnost, funkcionalnost i kvaliteta ugrađenog materijala, uređaja i opreme.
</t>
  </si>
  <si>
    <t>CIJENA</t>
  </si>
  <si>
    <t>Izvedba i cijena radova koje ne radi glavni izvoditelj, utvrđuju se na temelju prikupljenih ponuda od specijaliziranih zanatskih poduzeća. Prilikom izdavanja radova ovim ponuđačima treba voditi računa o njihovim referencama, kvaliteti izvedbe i kvantitativnoj strukturi radnih kapaciteta.</t>
  </si>
  <si>
    <t>Prilikom izrade kalkulacije cijena za pojedine radove, to jest utvrđivanja vrijednosti izgradnje građevine prema ovim uvjetima, jedinične cijene trebaju obuhvatiti sve elemente navedene kako slijedi:</t>
  </si>
  <si>
    <t>• Pod cijenom materijala razumijeva se dobavna cijena svih materijala koji sudjeluju u radnom procesu kao osnovni materijal te vezni materijal i materijali koji ne spadaju u finalni produkt već se koriste samo kao pomoćni materijal.</t>
  </si>
  <si>
    <t>• U cijenu treba uključiti i cijenu transportnih troškova bez obzira na način prijevoza, sa svim prijenosima, utovarima i istovarima te uskladištenjem i čuvanjem na gradilištu od uništenja i oštećenja (prebacivanjem, zaštitom i sl.).</t>
  </si>
  <si>
    <t>• Uključiti sve vrste radnih i pomoćnih skela bez obzira na visinu i vrstu, sa zaštitnim ogradama na skeli i građevini te zaštitne mreže.</t>
  </si>
  <si>
    <t>• Izvođač u cijeni pojedinih radova mora obuhvatiti i slijedeće radove koji se neće zasebno platiti kao naknadni trošak, a to su: kompletna režija gradilišta, najamne troškove za posuđenu mehanizaciju, sva ispitivanja materijala s dokazom upotrebljivosti ili dobivanje potvrda i/ili isprava o ispravnosti, uređenje gradilišta po završetku rada s otklanjanjem i odvozom otpadaka, šute, inventara, pomoćnih objekata.</t>
  </si>
  <si>
    <t>• oblika i prirode radilišta, uključujući uvjete ispod površine</t>
  </si>
  <si>
    <t>• osigurati prometnu signalizaciju prema uvjetima koje će propisati odgovarajuća gradska služba</t>
  </si>
  <si>
    <t>Sve radove izvođač mora izvoditi prema troškovniku, glavnom projektu (prema svim navedenim zakonima, pravilnicima i normama u programu kontrole i osiguranja kvalitete) i izvedbenom projektu solidno i stručno, prema pravilima dobrog zanata, a osobito prema:</t>
  </si>
  <si>
    <t>Izvoditelj preuzima punu odgovornost za točnost, stabilnost i sigurnost svih operacija i načina gradnje.  Izvoditelj će otkloniti sve nedostatke koje ustanovi Investitor, a prema opsegu radova predviđenih ugovorom i ovim uvjetima. Ovo pod uvjetom da izvoditelj neće biti odgovoran za nacrte ili specifikaciju trajnih ili privremenih radova koje nije primio, a nije bio u obvezi da ih sam izradi u skladu s ovim uvjetima i ugovorom.</t>
  </si>
  <si>
    <t xml:space="preserve">Izvoditelj mora izvesti pripremne radove za neometano izvođenje ugovorenih radova bez posebne naplate te mora osigurati pogodan prilaz do objekta i mjere sigurnosti u tijeku radova na objektu.
Izvoditelj je dužan osigurati i angažirati kvalificirane djelatnike u dovoljnom broju za realizaciju radova, čije iskustvo i stručna kvalifikacija treba odgovarati opsegu, dinamici i ostalim specifičnostima radova, a prema potrebi i sa radnicima koji posjeduju sposobnost obavljanja poslova u posebnim uvjetima rada a u skladu s važećim Pravilnikom o poslovima s posebnim uvjetima rada (npr. rad na velikim visinama, rad sa strojevima i sl.).
</t>
  </si>
  <si>
    <t>Nadzorni inženjer može tražiti od izvoditelja da smjesta povuče s radilišta bilo koju osobu koju je izvoditelj zaposlio, a koja je nestručna ili nemarna u izvršavanju svojih dužnosti ili ugrožava izvođenje radova i sigurnost drugih sudionika, i takva osoba neće biti ponovno zaposlena na radovima bez pristanka nadzornog inženjera.</t>
  </si>
  <si>
    <t>Izvoditelj će s dužnom pažnjom izvesti i završiti radove po zadanim zahtjevima, a upotrebljeni materijal, elementi, uređaji i oprema, koje izvođač dobavlja i ugrađuje, mora odgovarati važećim standardima u Republici Hrvatskoj i drugim propisanim standardima, što izvoditelj dokazuje odgovarajućom potvrdom i/ili Izjavom o svojstvima. Uz izjavu o svojstvima obavezan je i certifikat o stalnosti svojstava izdan od akreditiranog certifikacijskog tijela.                                                                                             Tolerancije mjera izvedenih radova određene su standardima odnosno uzancama zanata ili prema opisu u projektu. Sva odstupanja od tolerantnih mjera dužan je izvođač otkloniti o svom trošku.</t>
  </si>
  <si>
    <t xml:space="preserve">U slučaju da su potrebni određeni radovi koji nisu mogli biti predviđeni troškovnikom i nacrtima izvođač je dužan tražiti odobrenje za te radove kao i način izvedbe od nadzornog organa.
Izvoditelj je dužan izvesti sve potrebne radove za kompletno dovršenje građevine uključivo i one radove koji eventualno nisu obuhvaćeni troškovnicima, a pokažu se potrebni tokom izvođenja radova da bi se postigli planirani ciljevi zahvata. Takvi radovi tretirat će se kao nepredviđeni ili naknadni rad.
</t>
  </si>
  <si>
    <t>Tijekom trajanja ugovorenog, jamstvenog odnosno garantnog roka, izvoditelj je dužan o svom trošku otkloniti sve nedostatke koji se pokažu u toku tog jamstvenog roka, a koji su nastupili zbog toga što se izvoditelj nije držao svojih obveza u svezi sa kvalitetom radova i materijala. Investitor će izvoditelju odrediti primjereni rok za otklanjanje nedostataka, ali ujedno zadržava pravo i na naknadu eventualne štete nastale takvim nedostacima u izvedbi. Izvoditelj nije dužan vršiti korekciju ili popravke koji su rezultat normalnog korištenja i habanja tokom upotrebe građevine. Po isteku jamstvenog odnosno garantnog roka predstavnici investitora i izvoditelja pregledat će građevinu i sastaviti popis eventualnih korekcija i popravka te odrediti rok u kojem je izvoditelj dužan provesti takve korekcije i popravke, a po izvršenju takvih popravaka isti će ponovno biti pregledani od strane Investitora, prihvaćeni i svi će se ugovoreni radovi potom isplatiti i posao će se smatrati završenim.</t>
  </si>
  <si>
    <t>Tehnički uvjeti za grupe radova, bilo građevinskih ili obrtničkih, dani su posebno za svaku grupu gdje su naznačeni uvjeti za nuđenje i izradu propisanih radova u troškovniku.</t>
  </si>
  <si>
    <t>SISAČKO-MOSLAVAČKA ŽUPANIJA</t>
  </si>
  <si>
    <t>Ulica Stjepana i Antuna Radića 36</t>
  </si>
  <si>
    <t>OIB: 82215698659</t>
  </si>
  <si>
    <t>5.</t>
  </si>
  <si>
    <t>Podopolagačke radove izvesti prema opisu u troškovniku, iz prvoklasnog materijala, u svemu prema tehničkim uvjetima za podopolagačke radove i hrvatskim normama. Prema vrsti materijala podne obloge mogu biti slijedeće sa odgovarajućim primjenjivim normama:</t>
  </si>
  <si>
    <t xml:space="preserve"> Popis normi za podne obloge, opločenja i završne obrade cesta</t>
  </si>
  <si>
    <t>Sve podloge za polaganje podnih obloga potrebno je fino izravnati sa masom za izravnanje.</t>
  </si>
  <si>
    <t>Ako u stavci troškovnika nije navedena klasa parketa, polaže se druga klasa poda.</t>
  </si>
  <si>
    <t>Radovi na polaganju podova mogu se izvoditi nakon što su provjereni svi potrebni uvjeti, kao što su kvaliteta podloge, vlažnost, temperatura u prostorijama, kao i svi ostali uvjeti koje traži izvođač pojedinih vrsta radova.</t>
  </si>
  <si>
    <t>Obračun izvršenih radova izvršiti će se prema jedinici mjera u troškovniku, važećim normama, tehničkim uvjetima za pojedine vrste podova i izmjeri na licu mjesta.</t>
  </si>
  <si>
    <t>Jedinična cijena sadrži sav potreban materijal i pribor, sav potreban rad, transport do gradilišta i na gradilištu, kao i sva sredstva zaštite na radu radnika na gradilištu.</t>
  </si>
  <si>
    <t>Prije nabave podnih obloga na gradilište, potrebno je da izvođač radova predoči projektantu uzorke zbog odabiranja, te da provjeri sve potrebne količine.</t>
  </si>
  <si>
    <t>6.</t>
  </si>
  <si>
    <r>
      <t>Plan uređenja</t>
    </r>
    <r>
      <rPr>
        <sz val="10"/>
        <color indexed="10"/>
        <rFont val="Calibri"/>
        <family val="2"/>
        <charset val="238"/>
        <scheme val="minor"/>
      </rPr>
      <t xml:space="preserve"> </t>
    </r>
    <r>
      <rPr>
        <sz val="10"/>
        <rFont val="Calibri"/>
        <family val="2"/>
        <charset val="238"/>
        <scheme val="minor"/>
      </rPr>
      <t>privremenog</t>
    </r>
    <r>
      <rPr>
        <sz val="10"/>
        <color indexed="10"/>
        <rFont val="Calibri"/>
        <family val="2"/>
        <charset val="238"/>
        <scheme val="minor"/>
      </rPr>
      <t xml:space="preserve"> </t>
    </r>
    <r>
      <rPr>
        <sz val="10"/>
        <rFont val="Calibri"/>
        <family val="2"/>
        <charset val="238"/>
        <scheme val="minor"/>
      </rPr>
      <t xml:space="preserve">i zajedničkog radilišta izvoditelj je dužan izraditi, dobiti na njega suglasnost Investitora i posjedovati ga na radilištu, te jedan primjerak predati investitoru. Pod uređenjem radilišta podrazumijeva se izvođenje fizičkih radnji kojima se osigurava zaštita radnika, prolaznika, prometa, izvedenih radova, građevine i okoline te određivanje svojih radnika za kontrolu i čuvanje, te ugovora sa Osiguravajućim zavodom za osiguranje osoba i imovine. Uređenje radilišta Izvoditelj je dužan izvesti u skladu s potrebama izvođenja u zadanom roku, a prema terminskom planu radova. Troškove uređenja radilišta Izvoditelj treba ukalkulirati u cijenu izvođenja radova, osim ako nije uređeno ugovorom.
Izvoditelj radova u potpunosti i bez otklona prihvaća ograničenja organizacije izvođenja radova, u skladu sa zahtjevima i mogućnostima investitora.
</t>
    </r>
  </si>
  <si>
    <t>• U cijenu treba također uključiti i osiguranje potrebnih uzoraka i njihovu prezentaciju na zahtjev projektanta ili nadzornog inženjera.</t>
  </si>
  <si>
    <t>Rušenje zgrada</t>
  </si>
  <si>
    <t>Zgrade se moraju rušiti uz punu primjenu higijensko-tehničkih zaštitnih mjera i bez nanošenja štete drugim objektima i posjedima.</t>
  </si>
  <si>
    <t>Transporti</t>
  </si>
  <si>
    <t>Izbor transportnih sredstava i načina izvršenja transporta u zavisnosti je od vrste i količine iskopanog materijala, načina njenog utovara i istovara, daljine prijevoza i njenih terenskih prilika.</t>
  </si>
  <si>
    <t>Izbor transportnog sredstva izabire izvođač radova i sadrži u svojoj ponudi u jediničnoj cijeni.</t>
  </si>
  <si>
    <t>Obračun</t>
  </si>
  <si>
    <t>Obračun radova vrši se prema "Prosječnim normama u građevinarstvu". Jediničnom cijenom treba obuhvatiti: čišćenje okolnog terena, sav materijal, alat, mehanizaciju i uskladištenje, troškove radne snage, sve horizontalne i vertikalne transporte, sve štete i troškove popravka kao posljedica nepažnje, odvoz na opisano mjesto s utovarom i istovarom, troškove zaštite na radu, troškove atesta.</t>
  </si>
  <si>
    <t>Napomene:</t>
  </si>
  <si>
    <t>Ovim grupom radova obuhvaćeni su  radovi na pripremi lokacije  za izvedbu radova na planiranom zahvatu, kao i svi radovi uklanjanja , demontaža i rušenja dijelova ili cijelih postojećih građevina, do potpune pripravnosti za izvedbu radova na rekonstrukciji postojeće građevine, odnosno izgradnji novog volumena.</t>
  </si>
  <si>
    <t>uklanjanja i demontaže svih vanjskih i unutarnjih elemenata građevina, koje se može skinuti i ukloniti bez rušenja dijelova građevine, i kojima se ne zadire u ovojnicu građevine</t>
  </si>
  <si>
    <t>uklanjanja i demontaže svih elemenata ovojnice građevine, te rušenje svih dijelova i konstruktivnih elemenata građevine koje je predviđeno ukloniti, od krovne konstrukcije prema donjim etažama - ove stavke potrebno je izvoditi neposredno prije izvođenja radova na rekonstrukciji postojeće građevine, kako ne bi došlo do nepotrebnog oštećivanja postojećih elemenata osnovne građevine koji se zadržavaju, uslijed neodgovarajućih mjera zaštite i pod nepovoljnim utjecajem atmosferilija.</t>
  </si>
  <si>
    <t>Radovi se  izvode u svemu prema projektu i detaljima projektanta, a sve radnje vezano za stabilnost konstrukcije potrebno je usuglasiti s nadzornim inženjerom i projektantom konstrukcije nakon provjere postojećeg stanja.  </t>
  </si>
  <si>
    <t>Rušenje građevina može se povjeriti poduzećima, odnosno zanatskim radnjama koje su registrirane za izvođenje radova u graditeljstvu.</t>
  </si>
  <si>
    <t>Prije početka rušenja potrebno je područje oko objekata ograditi zaštitnom ogradom.</t>
  </si>
  <si>
    <t>Rušenjem građevina ne smije se oštećivati susjedna građevina ili parcela, a materijalom od rušenja ne smiju se zatvarati vodotoci, prometnice, prilazi, prolazi ili slično.</t>
  </si>
  <si>
    <t>Nakon rušenja građevine teren se mora poravnati i urediti.</t>
  </si>
  <si>
    <t>Dijelove građevine koji se ruše, a nalaze se ispod zemlje ( temelji i sl. ) potrebno je izvaditi, a ako postoje prazni prostori, otvori ili jame u tlu, potrebno ih je zatrpati, ukoliko prema projektu uređenja građevine nije potrebno postupiti drugačije, a što je uključeno u jediničnu cijenu stavke.</t>
  </si>
  <si>
    <t>U jediničnu cijenu mora biti uključena sva potrebna zaštita zgrade od mogućeg procurijevanja. U protivnom sva eventualna šteta i njena sanacija idu na teret izvođača radova.</t>
  </si>
  <si>
    <t>U jediničnu cijenu stavaka mora biti uključena pokretna laka radna skela za izvođenje.</t>
  </si>
  <si>
    <t>Uz mjere određene ovim prikazom poduzeće koje obavlja rušenje građevine dužno je organizirati i osigurati pravila zaštite na radu utvrđena Zakonom o zaštiti na radu, te poduzeti sve potrebne mjere opreza u smislu zaštite od požara koje su utvrđene Zakonom o zaštiti od požara.</t>
  </si>
  <si>
    <t>Osim toga, mora osigurati uvjete da se radovi obavljaju u skladu sa Pravilima zaštite na radu, te osigurati da njegovim djelatnicima ne bude ugrožen život i zdravlje.</t>
  </si>
  <si>
    <t>Djelatnici koji vrše rušenje moraju biti obučeni tj. osposobljeni za takvu vrstu rada.</t>
  </si>
  <si>
    <t>Sva se učvršćenja i povezivanja limova moraju izvesti tako da konstrukcija bude osigurana od nevremena, atmosferilija i prodora vode u objekt i da pojedini dijelovi mogu nesmetano raditi kod temperaturnih promjena bez štete po ispravnosti konstrukcije.
U jediničnim cijenama uračunato je:
- naknada za kompletni rad (izrada i montaža),
- materijal,
- svi vanjski i unutarnji, horizontalni i vertikalni transporti,
- premazivanja asfalt lakom, podlaganje krovne ljepenke,
- sav sitni i spojni materijal i materijal za učvršćenje (kuke, plosna željeza za učvršćenja, vijci, zakovice i sl.).
 Izmjere je potrebno izvršiti na gradilištu nakon izvedbe. Obračun svih radova vršiti kako je to naznačeno u opisu stavaka.
 Eventualne nejasnoće oko načina izvedbe ili obračuna izvoditelj je dužan razjasniti sa nadzornim inženjerom prije samog pristupanja izvođenju.</t>
  </si>
  <si>
    <t>Materijali koji se upotrebljava za zidarske radove mora biti ispravan, kvalitetan, a na zahtjev izvođač mora predočiti važeće ateste ili dati ispitati prema važećim standardima. Ispitivanje pada na teret izvođača.</t>
  </si>
  <si>
    <t>Uskladištenje materijala, koji se koriste za zidanje, mora biti takvo da nije moguće oštećenje do stupnja kada nisu pogodni za korištenje. Opeka se ne smije polagati na površine koje sadrže kemijske nečistoće, klinker ili pepeo, niti na novo betonirane ploče, dok ta konstrukcija nema dovoljnu nosivost. U zimi opeku koja nije otporna na mraz potrebno je skladištiti u zatvorenim prostorima gdje temperatura nije niža od 0°C.</t>
  </si>
  <si>
    <t xml:space="preserve">Pijesak različitih tipova treba pohraniti odvojeno na tvrdoj podlozi, gdje neće biti onečišćen. </t>
  </si>
  <si>
    <t xml:space="preserve">Mort mora biti upotrijebljen prije nego počne vezivanje. Mort mora imati plastičnu konzistenciju određenu normama za mort. </t>
  </si>
  <si>
    <t>Zidne elemente treba postavljati u pravilan zidni vez. Opeka mora biti čista i neoštećena. Prije nego se opeka počne postavljati u mort mora imati potrebnu vlažnost da se postigne što bolja prionljivost sa mortom. Stoga se preporuča kvašenje elemenata prije polaganja u mort. Duljinu kvašenja odrediti ovisno o konzistenciji morta, tipu opeke i preporukama pojedinih radova i propisa danih u ovom projektu.</t>
  </si>
  <si>
    <t xml:space="preserve">Zidanje je potrebno obustaviti ako temperatura padne ispod +5°C ili je veća od +35°C. </t>
  </si>
  <si>
    <t>Kod izvedbe vertikalnih serklaža opeku je potrebno ozidati tako da zid završava na “šmorc“. Horizontalne serklaže na razini stropova betonirati zajedno sa stropnom konstrukcijom.</t>
  </si>
  <si>
    <t>Novoizvedene zidove potrebno je zaštiti od mehaničkih oštećenja i utjecaja nevremena. Vrhovi zidova trebaju biti pokriveni vodonepropusnim presvlakama. Zidovima se ne smije dopustiti prebrzo sušenje, stoga ih je u vrućim danima potrebno vlažiti dok ne postigne odgovarajuću čvrstoću.</t>
  </si>
  <si>
    <t>Kvaliteta zidanja mora biti u skladu sa zahtijevanom kvalitetom zidova u ovom projektu, prema važećim propisima za zidane konstrukcije, a u nedostatku državnih normi koristiti pripadne euronorme.</t>
  </si>
  <si>
    <t>Žbukanje i glazure</t>
  </si>
  <si>
    <t>Žbukanje zidova zgrada može se izvoditi tek kada se utvrdi da su svi zidovi izvedene u skladu tehničkih propisa. Zidovi od opeke moraju se prije žbukanja očistiti i mort u fugama udubiti, kako bi se žbuka mogla primiti.</t>
  </si>
  <si>
    <t>Materijali:</t>
  </si>
  <si>
    <t>- pijesak za mort mora biti čist, bez organskih primjesa,</t>
  </si>
  <si>
    <t>- vrst morta propisana je troškovničkim opisom.</t>
  </si>
  <si>
    <t>Mort mora odgovarati normativima:</t>
  </si>
  <si>
    <t>Ugradnje:</t>
  </si>
  <si>
    <t>Za ugrađivanje vratiju i prozora potrebno je okvir (zidarske mjere) pravilno dimenzionirati, na točno po mjerama definirane širine otvora. Visine vrata od gotovog poda - 1 cm.</t>
  </si>
  <si>
    <t>Dovratnik vratiju je dimenzioniran na debljinu zida * 0,5 cm.</t>
  </si>
  <si>
    <t>Za ugradnju vrata ugrađuje se slijepi dovratnik, koji se obično ugrađuje prilikom zidanja. Valja točno paziti na vertikalno i horizontalno podešavanje.</t>
  </si>
  <si>
    <t>Umjesto slijepog dovratnika u zidani otvor mogu se namjestiti zidni ulošci. Na svaku stranu treba postaviti barem po tri drvena uloška. Oni mogu biti i sidreni ili pričvršćeni vijcima.</t>
  </si>
  <si>
    <t>Način brtvljenja pri ugrađivanju prozora:</t>
  </si>
  <si>
    <t>- Mokra ugradnja: sa sidrima plosnog željeza i kitom, te obostranim žbukanjem nakon ugradnje.</t>
  </si>
  <si>
    <t>- Ugradnja sa slijepim okvirom - Prethodna ugradnja slijepog dovratnika učvršćenog u zid te naknadno pričvršćenje doprozornika sa vijkom u slijepi dovratnik (okvir).</t>
  </si>
  <si>
    <t>- Ugradnja na neožbukane zidove - Prekrivanje utora s drvenim letvicama te zaptivanje (doprozornika) sa trajno plastičnim kitom i trakom za brtvljenje. Brtvljenje nakon ugradnje doprozornika s poliuretanom.</t>
  </si>
  <si>
    <t>Ugradnja raznih metalnih predmeta u gotovo ziđe od betona ili od opeke sa cementnim mortom MB-10.</t>
  </si>
  <si>
    <t>Ugradnja drvenih podmetača za vrijeme betoniranja za učvršćenje limarije.</t>
  </si>
  <si>
    <t xml:space="preserve">Podne površine obrađuju se prije polaganja završne podne obloge cementnim estrihom ili samonivelirajućim podnim masama:   </t>
  </si>
  <si>
    <t xml:space="preserve">Suhi mort za izradu vezanog estriha za unutarnje radove, koji je sastavljen od cementa, pijeska granulacije do 4mm i aditiva. </t>
  </si>
  <si>
    <t>Tlačna čvrstoća: ≥ 12,0 N/mm2</t>
  </si>
  <si>
    <t>Toplinska provodljivost: 1,3 W/mK</t>
  </si>
  <si>
    <t>Minimalna debljina: 3,0 cm</t>
  </si>
  <si>
    <t>Prilikom primjene i sušenja, temperatura podloge i zraka mora biti između +5 i +30°C. Sve podloge moraju biti čiste, čvrste, suhe, nesmrznute, nosive. Plohe veće od 30 m2 dilatirati na plohe sa stranicama omjera maksimalno 2:1. Uz zidove položiti rubne trake širine cca 1,0 cm. Sve podloge prethodno navlažiti vodom ili impregnirati.</t>
  </si>
  <si>
    <t xml:space="preserve">Cementni estrih nanijeti na podlogu na kojoj su prethodno izvedene vodilice za određivanje visina, izravnati letvom i gladilicom za glazure ili strojno. Neposredno nakon ugradnje obrađenu površinu zaštititi od brzog sušenja i propuha. Nekoliko sati nakon ugradnje površina se njeguje (lagano vlaženje, prekrivanje folijom ili premazivanje sredstvima za zaštitu svježeg betona). Završna podna obloga može se polagati na suhi cementni estrih nakon minimalno 28 dana. Prije polaganja podnih obloga, kontrolirati zaostalu građevinsku vlagu. </t>
  </si>
  <si>
    <t>Tlačna čvrstoća:  ≥ 30,0N/mm2</t>
  </si>
  <si>
    <t>Vrijeme sazrijevanja: 10 min</t>
  </si>
  <si>
    <t>Optimalna debljina nanosa: 10,0 mm</t>
  </si>
  <si>
    <t>Maksimalna debljina nanosa: 20,0 mm</t>
  </si>
  <si>
    <t>Prohodnost nakon: 24 h</t>
  </si>
  <si>
    <t xml:space="preserve">Prilikom primjene i sušenja, temperatura podloge i zraka mora biti između +5 i +30°C. </t>
  </si>
  <si>
    <t>Masu ravnomjerno razliti, razvući metalnim gleterom u debljini 5-20 mm i igličastim valjkom istjerati mjehuriće zraka. Svježe nanesenu masu zaštititi od naglog isušivanja i od direktnog sunčevog zračenja.</t>
  </si>
  <si>
    <t>Završne podne obloge polažu se:</t>
  </si>
  <si>
    <t>Keramika nakon 5 dana</t>
  </si>
  <si>
    <t>Alati</t>
  </si>
  <si>
    <t>Alati koji se koriste za izvođenje su:</t>
  </si>
  <si>
    <t>zidarska žlica, aluminijska letva i metalni gleter za cementni estrih</t>
  </si>
  <si>
    <t>zidarska žlica, metalni gleter i igličasti valjak za samonivelirajuću podnu masu</t>
  </si>
  <si>
    <t>Alat nakon upotrebe odmah oprati vodom.</t>
  </si>
  <si>
    <t>Armiranje</t>
  </si>
  <si>
    <t xml:space="preserve">Estrih se ojačava određenim materijalima kako bi se spriječilo pojavljivanje pucanja i brazda na površini. Armirati se može s posebnim armaturnim vlaknima ili klasičnim armaturnim mrežama. Vlakna koja su na bazi polipropilena povećavaju otpor tvorbi svih vrsta pukotina. Prednost u odnosu na klasičnu armaturu je ta što dobivamo ravnomjernu armiranost po čitavom presjeku te isto tako laganiji transport i ugradnju. Čvrstoća glazure armirane vlaknima je i do 25% veća od nearmirane. </t>
  </si>
  <si>
    <t>Zahtjevi</t>
  </si>
  <si>
    <t>Gornja površina estriha mora biti vodoravna i završno obrađena i u potpunosti  pripremljena za postavu podne obloge. U prostorima mokrih čvorova gdje postoje podni sifoni s rešetkom, površinu izvesti u padu prema istom.</t>
  </si>
  <si>
    <t>Pripomoći i čišćenja:</t>
  </si>
  <si>
    <t>Pripomoći kod raznih obrtničkih i instalaterskih radova radnika vrši se prema utrošku sati na pojedinim radovima koji se evidentiraju u građevinskom dnevniku i ovjerom po nadzornom inženjeru. U tu grupu spadaju razna čišćenja za vrijeme radova, u toku građenja, te završna čišćenja nakon završetka svih radova, koji se evidentiraju u građevinskom dnevniku i ovjerena po nadzornom inženjeru.</t>
  </si>
  <si>
    <t>Sav upotrebljeni materijal prilikom pomoći raznim obrtničkim i instalaterskim radovima evidentirat će se u građevinskom dnevniku ovjerenom po nadzornom inženjeru.</t>
  </si>
  <si>
    <t>Obračun:</t>
  </si>
  <si>
    <t>Napomena za zidarske radove:</t>
  </si>
  <si>
    <t>Prije uporabe određenih materijala treba predočiti nadzornom inženjeru, uvjerenje o kvaliteti materijala a tijekom izvođenja stalno obavljati redovnu kontrolu kakvoće prispjele količine.</t>
  </si>
  <si>
    <t>7.</t>
  </si>
  <si>
    <t>Materijal</t>
  </si>
  <si>
    <t>Upotrebljeni materijal mora odgovarati standardima ili atestima. Prije početka radova izvođač je dužan pregledati sve podloge i tražiti od nadzornog inženjera da se postupi po njegovim eventualnim primjedbama, ukoliko su opravdane.</t>
  </si>
  <si>
    <t>Materijali se mogu primjenjivati samo na onim površinama za koje su prema svojim kemijsko-fizičkim osobinama namijenjeni. Gotovi, tvornički proizvedeni materijali moraju se upotrebljavati prema uputstvima proizvođača.</t>
  </si>
  <si>
    <t>Ako se u garantnom  roku pojave bilo kakve promjene na obojenim površinama uslijed loše kvalitete materijala ili izvedbe, izvođač mora o svom trošku izvršiti prepravke.</t>
  </si>
  <si>
    <t xml:space="preserve">Organski premazi </t>
  </si>
  <si>
    <t xml:space="preserve">Metalne prevlake </t>
  </si>
  <si>
    <t>Izvođač nudi gotov stolarski predmet - element s pripadajućim okovom, montažom na gradnji, ugradbom i završnom obradom u potpunosti prema opisu i detaljnom nacrtu istoga.</t>
  </si>
  <si>
    <t>Sav materijal za izvedbu stolarije ( drvo ) mora odgovarati normativima:</t>
  </si>
  <si>
    <t>Jediničnom cijenom treba obuhvatiti: sve materijale, alat, mehanizaciju i uskladištenje, troškove radne snage za kompletan rad opisan u troškovniku, sve horizontalne i vertikalne transporte do mjesta ugradnje, eventualno potrebnu radnu skelu s postavom i skidanjem (izuzima se fasadna skela), čišćenje prostorija i okoliša nakon završetka radova, svu štetu i troškove popravka kao posljedica nepažnje u toku izvedbe, troškove zaštite na radu, troškove atesta.</t>
  </si>
  <si>
    <t>UVJETI ZA VANJSKE DRVENE PROZORE I VRATA ( replike postojećih elemenata ) :</t>
  </si>
  <si>
    <t xml:space="preserve">Drveni prozori i ostakljena vrata su predviđeni drvenim okvirima s prekinutim toplinskim mostom i toplinski poboljšanim svojstvima, kao dvostruki prozori. Drveni okviri i doprozornici vanjskih prozorskih krila minimalne debljine 5cm, unutarnjih minimalne debljine 7cm - koeficijent prolaza topline za okvire ( unutarnja prozorska krila ) Uokvira min. = 1,90 W/m2K. </t>
  </si>
  <si>
    <t xml:space="preserve">Ostakljenje unutarnjih prozorskih i vratnih krila IZO staklom 6+16+6= 28 mm;  </t>
  </si>
  <si>
    <t>-vanjsko staklo: - 6 mm; Clear</t>
  </si>
  <si>
    <t xml:space="preserve">- međuprostor: - ispuna argonom 90% d= 16 mm (letvica)  </t>
  </si>
  <si>
    <t>- unutarnje staklo: - 6 mm</t>
  </si>
  <si>
    <t xml:space="preserve">Ugrađeni elementi vanjske stolarije moraju zadovoljavati sljedeće uvjete: </t>
  </si>
  <si>
    <t xml:space="preserve">Prema potrebi ostakljenja se izvode kao sigurnosno laminirano ostakljenje - veće staklene površine i prema potrebi. </t>
  </si>
  <si>
    <t xml:space="preserve">Ukupni koeficijent prolaza topline svih vanjskih drvenih prozora i vrata treba iznositi maximalno Uw = 1,60 W/m2K (ovisno o udjelu profila u površini otvora), odnosno u prosjeku Uw = 1,34 W/m2K (za 0,7 - udio ostakljenja u ploštini otvora). </t>
  </si>
  <si>
    <t xml:space="preserve">Prozori i staklene stijene predviđeni u drvenim okvirima moraju postići zvučno gušenje (prema laboratorijskim ispitivanjima) cca Rw= 34 dB -  kao ugrađeni postižu zvučno gušenje Rw= 32 dB, pa se prozori prema izolacijskoj sposobnosti svrstavaju u II. klasu. </t>
  </si>
  <si>
    <t xml:space="preserve">Izolacijsku vrijednost ugrađenih vrata i prozora treba dokazati laboratorijskim ispitivanjima, a kategorizaciju provesti sa stručnom službom investitora, odnosno dokazati certifikatima proizvođača ugrađenih vrata i prozora (dokazima o laboratorijskim ispitivanjima s zadovoljavajućim postignutim rezultatima). </t>
  </si>
  <si>
    <t xml:space="preserve">Vanjska puna vrata su puna glatka vrata s ispunom krila toplinskom izolacijom - mineralnom vunom. Spoj krila s dovratnikom biti će brtvljen s jednom kontinuiranom gumenom trakom. </t>
  </si>
  <si>
    <t xml:space="preserve">Kod novih drvenih prozora (jednostrukih i dvostrukih) čiji je unutarnji rub uvučen od unutarnje ravnine parapetnog zida stavka uključuje dobavu i izradu unutarnje profilirane ličene drvene klupčice iz bora I. klase, u svemu kao postojeće demontirane klupčice, završno obrađene ličenjem uz sve potrebne predradnje kao i predmetna stolarska stavka, a što je uključeno u jediničnu cijenu. Oplata, doprozornici dvostrukih prozora  i dovratnici vrata izvode se na istoj poziciji i u istoj širini zida  kao i elementi postojeće stolarije. Doprozornike i dovratnike potrebno je izvesti u svemu prema izgledu postojećih dovratnika i doprozornika. Opšave špaleta - oplate izvesti u skladu s izgledom drvene oplate na postojećim demontiranim prozorima i vratima. </t>
  </si>
  <si>
    <t xml:space="preserve">Sve mjere kontrolirati na licu mjesta. </t>
  </si>
  <si>
    <t>Broj lijevih i desnih jednokrilnih vrata odrediti prema projektu.</t>
  </si>
  <si>
    <t>OPĆI UVJETI ZA UNUTARNJU STOLARIJU :</t>
  </si>
  <si>
    <t>Odabrani okov prilagoditi težinu i geometriju krila, tako da nesmetano zadovoljava funkciju otvaranja.</t>
  </si>
  <si>
    <t xml:space="preserve">Drvena vrata opremljena su odgovarajućim okovom:  </t>
  </si>
  <si>
    <t>- cilindrična galvanizirana spojnica Ø 16 M/Ž sa 4 kr. regulacije i kromiranom pokrivnom kapicom</t>
  </si>
  <si>
    <t xml:space="preserve">- brava za sobna vrata </t>
  </si>
  <si>
    <t>- prihvatnik brave s krilcem</t>
  </si>
  <si>
    <t>- cilindar 30/40</t>
  </si>
  <si>
    <t>- inox kvaka sa rozetom za cilindar</t>
  </si>
  <si>
    <t xml:space="preserve">Sva unutarnja vrata trebaju biti izvedena sljedeće kvalitete: </t>
  </si>
  <si>
    <t>- Rwmin=25-29 dB za sanitarije i pomoćne prostorije</t>
  </si>
  <si>
    <t>- Rwmin=30-32 dB za ulazna vrata u urede i radne prostore raziličite namjene</t>
  </si>
  <si>
    <t>Spoj krila s dovratnikom treba biti brtvljen s jednom kontinuiranom gumenom trakom.</t>
  </si>
  <si>
    <t>Vrata na prostorijama trebaju biti izvedena bez pragova, vratna krila i dovratnici bez oštrih rubova, te od materijala koji se ne može oštetiti kako bi se spriječilo ozljeđivanje korisnika.</t>
  </si>
  <si>
    <t xml:space="preserve">Svaka od stolarskih stavaka obuhvaća izradu, dobavu i ugradbu kompletne stolarske stavke, sav potreban rad materijal i pribor, okov za vrata, ručke za otvaranje, ventus uređaje za otvaranje, bravu sa ključem, sve do pune funkcionalnosti. </t>
  </si>
  <si>
    <t>9.</t>
  </si>
  <si>
    <t xml:space="preserve"> U cijenu pojedine stavke treba uključiti:
- snimanje, uzimanje mjera i uzoraka postojeće bravarije,
- izrada i ugradnja bravarskih elemenata,
- sav vanjski i unutarnji, vertikalni i horizontalni transport,
- okov i spojna sredstva,
- ličenje i bojenje sa svim predradnjama,
- sav sitni i spojni materijal i naknada za strojeve i alat.
Obračun svih radova vršiti kako je to naznačeno u opisu stavaka.
Napomena: Eventualne izmjene mogu se izvoditi samo u skladu s konzervatorskim istraživanjima uz odobrenje predstavnika nadležnog konzervatorskog zavoda i nadzornog inženjera.</t>
  </si>
  <si>
    <t>Općenito</t>
  </si>
  <si>
    <t>Svi radovi moraju biti izvedeni stručno i solidno. Upotrebljeni materijal mora odgovarati standardima ili atestima, a izvođač je dužan pribaviti sve potrebne ateste za kvalitet materijala i površinsku obradu.</t>
  </si>
  <si>
    <t>Sva bravarija mora u radionici biti očišćena od hrđe i masnoće i ako projektom nije drugačije određeno, zaštićena jednim osnovnim premazom prema uvjetima antikorozivne zaštite iz Pravilnika o tehničkim mjerama i uvjetima za zaštitu čeličnih konstrukcija od korozije.</t>
  </si>
  <si>
    <t>Kontrolu kakvoće materijala i izvedbe radova antikorozivne zaštite treba provoditi kao kontrolu proizvodnje koju provodi izvođač radova i kontrolu i potvrđivanje sukladnosti izvedenih radova s uvjetima projekta i važećih propisa koju provodi ovlaštena institucija.</t>
  </si>
  <si>
    <t>Izvođač je dužan pridržavati se detalja u projektu, međutim ima pravo predložiti druge detalje ukoliko oni zadovoljavaju predviđene uvjete iz opisa i ne mijenjaju ugovorenu jediničnu cijenu. Za sve promjene potrebna je suglasnost projektanta i nadzornog inženjera. Prije početka radova izvođač treba sve mjere, broj komada i sl. prekontrolirati na gradilištu.</t>
  </si>
  <si>
    <t xml:space="preserve">Vrata i prozori se proizvode u proizvodnim pogonima izvan gradilišta. Izvođač radova mora se u svemu pridržavati projekta poštujući dimenzije iz nacrta, opisa stavki iz troškovnika na temelju kojih je i ponudio radove te poštujući važeće propise. </t>
  </si>
  <si>
    <t xml:space="preserve">Nadzorni inženjer mora imati uvid u izmjeru koju je izvršio izvođač te u slučaju odstupanja dimenzija otvora u odnosu na projekt donosi odluku o naručivanju vrata različitih dimenzija od onih u projektu. </t>
  </si>
  <si>
    <t xml:space="preserve">Izrada vrata mora se izvesti solidno i stručno prema projektu i važećim propisima. Tehnička svojstva vrata, koja su određena u projektu građevine, moraju biti takva da u predviđenom roku trajanja građevine, uz propisanu, odnosno projektom određenu ugradnju i održavanje, podnesu sve utjecaje uobičajene uporabe i utjecaje okoline tako da građevina u koju su ugrađena ispunjava bitne zahtjeve. </t>
  </si>
  <si>
    <t xml:space="preserve">Vrata se smiju ugraditi u građevinu ako ispunjavaju zahtjeve propisane Tehničkim propisom za prozore i vrata i ako su za vrata izdane izjave o sukladnosti u skladu s odredbama posebnog propisa. </t>
  </si>
  <si>
    <t xml:space="preserve">Uvjeti za ugradnju, uporabu i održavanje prozora i vrata moraju se odrediti projektom građevine tako da se ispune bitni zahtjevi i drugi uvjeti koje mora ispunjavati građevina. Prilikom montaže vrata izvođač je dužan vršiti stalnu kontrolu ispravnosti izvođenja radova montaže kao i usklađenosti materijala koji se koriste za bravariju s uvjetima postavljenim u projektu. Također, za cijelo vrijeme montaže vrata nadzorni inženjer je dužan vršiti kontrolu izvođača bravarskih radova te po dovršetku radova izvršiti pregled svih izvedenih radova u nazočnosti izvođača bravarskih radova. Bravarija se preuzima kao gotova tek iza ugradbe po bravaru, a za funkcionalnost i ispravnost garantira izvođač. </t>
  </si>
  <si>
    <t xml:space="preserve">Svi bravarski radovi moraju biti izrađeni, dostavljeni, montirani na objektu prema uzancama za tu vrstu zanata, a u svemu prema sljedećoj potrebnoj dokumentaciji: </t>
  </si>
  <si>
    <t xml:space="preserve">Vrata i prozori koja su ugrađena u građevinu moraju ispunjavati zahtjeve navedene u projektu, odnosno propisane Tehničkim propisom za prozore i vrata. </t>
  </si>
  <si>
    <t>Po dovršetku radova na ugradnji vrata i prozora, nadzorni inženjer izvodi pregled svih izvedenih radova i same funkcionalnosti vrata i prozora u nazočnosti izvođača bravarskih radova. Ukoliko je pregled pozitivan, smatra se da su radovi prihvaćeni.</t>
  </si>
  <si>
    <t>Antikorozivna zaštita – kontrola kvalitete</t>
  </si>
  <si>
    <t>Kod organskih prevlaka tekuća kontrola mora obuhvaćati kontrolu materijala i kontrolu izvođenja. Kontrolom materijala treba provjeriti da se primjenjuju ona premazna sredstva za koja je certifikatom o sukladnosti, koji je izdala organizacija za kontrolu kvalitete, dokazano da zadovoljavaju zahtjeve projekta zaštite od korozije te odgovarajuće norme.</t>
  </si>
  <si>
    <t xml:space="preserve">U vrijeme izvođenja radova na zaštiti organskim premazima treba kontrolirati ove parametre: </t>
  </si>
  <si>
    <t>Ugradnja</t>
  </si>
  <si>
    <t>Svi bravarski elementi ugrađuju se “suhim” postupkom (bez upotrebe morta) tj na prethodno ugrađena sidra varenjem, vijcima ili metalnim odnosno plastičnim čepovima.</t>
  </si>
  <si>
    <t>Sve reške između zidova i bravarskih (metalnih) elemenata moraju biti brtvljena ili kitana akrilnim, silikonskim ili sl. kitovima.</t>
  </si>
  <si>
    <t>Jedinična cijena obuhvaća nabavu osnovnih materijala, dodatnih materijala, materijala za zaštitu od korozije, elektroda i rad potreban za izradu čelične konstrukcije, rad na pripremi metalne površine (čišćenje, pjeskarenje, odmašćivanje i sl.), kao i nanošenje zaštitnih slojeva, izrada skele te propisana kontrola kvalitete. U jediničnu cijenu uključeni su svi transporti i međutransporti, uskladištenja za međufaze rada i osiguranje mjesta za privremeno uskladištenje i izradu, kao i sve eventualno potrebne pripomoći pri transportu i ugradnji (zidarska pripomoć i sl.).</t>
  </si>
  <si>
    <t>Rad se mjeri i obračunava po komadu izrađenih i ugrađenih vrata i prozora. Svi spojni elementi, okovi, i profili (kutni, bočni, donji, gornji, međusobni i sl.), kao i pragovi, moraju biti obuhvaćeni jediničnom cijenom stavki (neovisno o tome jesu li posebno specificirani ili ne). U jediničnu cijenu obuhvaćena je nabava gotovih vrata, doprema na gradilište i kompletna ugradba s potrebnim brtvljenima, odnosno betoniranjem utora za sidrenje.</t>
  </si>
  <si>
    <t>Opći uvjeti - staklarski radovi:</t>
  </si>
  <si>
    <t xml:space="preserve">Izvođač radova treba sve izmjere uzeti u naravi. </t>
  </si>
  <si>
    <t>Svi materijali (stakla, kitovi i sl.) koji nisu obuhvaćeni tekućim normativima, moraju imati ateste od ovlaštenih ustanova. Sva stakla moraju biti apsolutno ravna.</t>
  </si>
  <si>
    <t>Prije ugradnje sve mjere obavezno provjeriti u naravi. Stolarija i bravarija se ustakljuju nakon drugog grundiranja, pošto su svi elementi ugrađeni i okovani. Ovi opći uvjeti se dopunjuju, odnosno mijenjaju pojedinom stavkom troškovnika.</t>
  </si>
  <si>
    <t xml:space="preserve"> </t>
  </si>
  <si>
    <t>Sav materijal koji se upotrebljava u staklarskim radovima mora odgovarati postojećim normativima:</t>
  </si>
  <si>
    <t>Obračun izvedenih radova vrši se prema "Prosječnim normama u građevinarstvu". Jediničnom cijenom treba obuhvatiti: sav materijal, alet, mehanizaciju i uskladištenje, troškove radne snage za kompletan rad opisan u troškovniku, sve horizontalne i vertikalne transporte do mjesta ugradbe, skidanje i namještanje krila vratiju i prozora, potrebnu radnu skelu (izuzima se fasadna skela), čišćenje prostorija i okoliša objekta od otpadaka, svu štetu kao i troškove popravka kao posljedica nepažnje u toku izvedbe, troškove zaštite na radu, troškove atesta.</t>
  </si>
  <si>
    <t xml:space="preserve">Jednokrilna evakuacijska vrata opremljena su:  </t>
  </si>
  <si>
    <t xml:space="preserve">Spojnica 120 kg ( 3 kom )   </t>
  </si>
  <si>
    <t>gornji hidraulički zatvarač vratnih  krila  s kliznom letvom i kočnicom     (kom. 1)</t>
  </si>
  <si>
    <t xml:space="preserve">panik poluga - siva (kom. 2)   </t>
  </si>
  <si>
    <t xml:space="preserve">panik set zasuna - siva   </t>
  </si>
  <si>
    <t xml:space="preserve">Vrata se izvode da su dovratnik i krilo u istoj ravnini, te bez praga sa postavljenim četkicama na donji profil krila.Aluminijska vrata su opremljena sa tri para nadgradnih pantiju po krilu, obostrano inox kvakom, inox bravom sa jezičkom i cilindrom, inox prihvatnik, hidrauličkim samozatvaračem vratnog krila  s kliznom letvom i kočnicom. </t>
  </si>
  <si>
    <t xml:space="preserve">panik garnitura - siva (kom. 1)  </t>
  </si>
  <si>
    <t xml:space="preserve"> panik poluga - siva (kom. 1)  </t>
  </si>
  <si>
    <t xml:space="preserve"> panik kvaka - siva  </t>
  </si>
  <si>
    <t xml:space="preserve">Vijci za montažu (set 3)  </t>
  </si>
  <si>
    <t xml:space="preserve">Dvokrilna evakuacijska vrata opremljena su:  </t>
  </si>
  <si>
    <t xml:space="preserve"> panik garnitura - siva (kom. 2)   </t>
  </si>
  <si>
    <t xml:space="preserve">panik kvaka - siva  </t>
  </si>
  <si>
    <t xml:space="preserve"> spojnica 120 kg ( 6 kom )  </t>
  </si>
  <si>
    <t xml:space="preserve"> vijci za montažu (set 6) </t>
  </si>
  <si>
    <t xml:space="preserve">gornji hidraulički zatvarač vratnih   krila s kliznom letvom i kočnicom     (kom. 1)   </t>
  </si>
  <si>
    <t xml:space="preserve">klizna letva s kočnicama, sa redosljednikom zatvaranja za dvokrilna vrata </t>
  </si>
  <si>
    <t>Na svim vratnim krilima prostora bez prirodnog provjetravanja, na kojima je to predviđeno projektom strojarskih instalacija, jediničnom cijenom stavke obuhvaćena je dobava i ugradnja aluminijske prostrujne rešetke u  pri dnu vratnog krila, dimenzija min. 325x125mm.</t>
  </si>
  <si>
    <t>Rwmin=25-29 dB za sanitarije i pomoćne prostorije</t>
  </si>
  <si>
    <t>Rwmin=30-32 dB za ulazna vrata u urede i radne prostore raziličite namjene</t>
  </si>
  <si>
    <t>Izolacijsku vrijednost ugrađenih vrata i prozora treba dokazati laboratorijskim ispitivanjima, a kategorizaciju provesti sa stručnom službom investitora, odnosno dokazati certifikatima proizvođača ugrađenih vrata i prozora ( dokazima o laboratorijskim ispitivanjima sa zadovoljavajućim postignutim rezultatima).</t>
  </si>
  <si>
    <t>11.</t>
  </si>
  <si>
    <t>Prilikom izvedbe keramičarskih radova opisanih u projektnoj dokumentaciji izvođač radova mora se pridržavati svih opisa i uvjeta, pravilnika o tehničkim mjerama i uvjetima za završne radove u zgradarstvu te normativa:</t>
  </si>
  <si>
    <t>Sva opločenja zidova, podova i sl. izvesti tamo, gdje je to projektom predviđeno. Način izvedbe i ugradbe, preuzimanje i priprema podloga, te način obračuna u svemu prema tekućim propisima i normativima.</t>
  </si>
  <si>
    <t>Sav materijal za izvedbu oblaganja zidova mora odgovarati prema standardima:</t>
  </si>
  <si>
    <t>Napomena:</t>
  </si>
  <si>
    <t>Izvođač radova za sve je ugrađene keramičke pločice dužan dostaviti atestnu dokumentaciju, kojom dokazuje da ugrađene pločice zadovoljavaju tražene karakteristike protukliznosti, klasu reakcije na požar, otpornosti na smrzavanje i mehanička oštećenja.</t>
  </si>
  <si>
    <t>Jediničnom cijenom radova obuhvaćena je izvedba sokla iz keramičkih pločica na svim obodnim zidovima uz opločene površine, na kojima projektom nije predviđena izvedba zidne obloge iz keramirčkih pločica. Sokl se izvodi u visini 10cm, upušten u ravninu zida, sa svim spojnim i pričvrsnim materijalom i radom uključenim u jediničnu cijenu stavke.</t>
  </si>
  <si>
    <t>Sve izvesti s originalnim materijalom, prema uputi proizvođača podne obloge.</t>
  </si>
  <si>
    <t>U jediničnu cijenu uključen kompletan rad materijal i pribor do pune gotovosti poda i pripadajućeg sokla.</t>
  </si>
  <si>
    <t>Izvođač treba upotrijebiti materijal, koji je u svemu (vrsti, boji i kvaliteti) jednak uzorku što ga odabere projektant od uzoraka predloženih po izvođaču. U cijenu za svaku vrstu rada treba uključiti sav osnovni i pomoćni materijal, neminovne otpatke, transport do gradilišta i na gradilištu, troškove izrade, te uklanjanje svih nedostataka nastalih tokom rada. Isto tako cijenom treba obuhvatit svu režiju sa davanjima koja opterećuju izradu za kompletno dovršenje rada po opisu troškovnika.</t>
  </si>
  <si>
    <t>Izvođač obavlja svoje radove na gradilištu na vlastitu odgovornost i uz vlastiti rizik, tj. dužan je pobrinuti se da ne dođe do slučajnog ili namjernog oštećenja dopremljenog materijala ili gotovog rada.</t>
  </si>
  <si>
    <t>Ako bi došle do bili kakvog oštećenja otuđenosti materijala ili gotovog rada, izvođač je dužan sve tako nastale nedostatke otkloniti o svom trošku, s tim da kasnije traži naknadu od onog tko ih je prouzročio, kad se taj službeno ustanovi.</t>
  </si>
  <si>
    <t>Nabavljanje potrebnog materijala, osiguranje potrebnog broja radnika odgovarajuće stručnosti, kao i organizaciju rada, izvođač treba sprovesti tako da to bude u skladu sa operativnim planom, te da krivicom izvođača ne dođe do zakašnjenja sa radovima ili do ometanja u obavljanju radova drugih izvođača na zgradi.</t>
  </si>
  <si>
    <t>Za sve spuštene stropove i obloge prije ugradnje potrebno je dostaviti atestnu dokumentaciju kojom se dokazuje zadovoljavanje parametara određenih projektom fizikalnih svojstava zgrade i mjerama zaštite od požara.</t>
  </si>
  <si>
    <t xml:space="preserve">Ukoliko se stavkom troškovnika traži materijal koji nije obuhvačen propisima, ima se u svemu izvesti prema uputama proizvođača, te garancijom i atestima od za to ovlaštenih ustanova. Sav materijal za gipsarske radove mora odgovarati postojećim propisima i standardima. </t>
  </si>
  <si>
    <t>Gipsarski radovi obuhvaćaju izradu laganih montažnih i montažno-demontažnih stropova, izradu pregradnih stijena i plivajućih podova od građevinskih ploča kojima je glavna komponenta gips.</t>
  </si>
  <si>
    <t>U cijenu gipsarskih radova ulazi i fugiranje i gletanje i GKP su po završetku radova potpuno spremne za ličenje bez potrebe za ličilačkom pripremom zida. Veze sa žbukom potrebno je obraditi posebno elastičnim kitovima da se spriječi pucanje. Jedinična cijena gipsarskih radova mora sadržavati:</t>
  </si>
  <si>
    <t>Jediničnom cijenom obuhvaćena  izrada potkonstrukcija od originalnih metalnih čeličnih  profila različitih presjeka; montaža ravnih gipsanih ploča. U jediničnu cijenu uključeno: zatvaranje vijaka i fuga gips masom ,rabitz mrežica na spojevima, grubo i fino gletanje spojeva; fino brušenje, do izvedbe pregradnih stijena i stropova kao gotove podloge za ličilačke radove.</t>
  </si>
  <si>
    <t>Za sve pregradne stijene i obloge prije ugradnje potrebno je dostaviti atestnu dokumentaciju kojom se dokazuje zadovaljavanje parametara određenih projektom fizikalnih svojstava zgrade i mjerama zaštite od požara.</t>
  </si>
  <si>
    <t>Spajanje gipskartonskih ploča potrebno je izvesti klamanjem, a ne vijcima, radi bolje zvučne izolacije izvedenih zidova.</t>
  </si>
  <si>
    <t>Sve pregradne stijene je potrebno izvoditi do nosive ili stropne konstrukcije, iznad razine spuštenog stropa ( ukoliko on postoji kao interijerska završna obrada stropa ).</t>
  </si>
  <si>
    <t>1.1.</t>
  </si>
  <si>
    <t>komplet</t>
  </si>
  <si>
    <t>1.2.</t>
  </si>
  <si>
    <t xml:space="preserve">Obračun se vrši po m2 vertikalne projekcije površine skele.    </t>
  </si>
  <si>
    <t>m2</t>
  </si>
  <si>
    <t>1.3.</t>
  </si>
  <si>
    <t>sati</t>
  </si>
  <si>
    <t>RUŠENJA I DEMONTAŽE</t>
  </si>
  <si>
    <t>2.1.</t>
  </si>
  <si>
    <t>2.2.</t>
  </si>
  <si>
    <t>2.3.</t>
  </si>
  <si>
    <t>2.4.</t>
  </si>
  <si>
    <t>2.5.</t>
  </si>
  <si>
    <t xml:space="preserve">m1 </t>
  </si>
  <si>
    <t>komada</t>
  </si>
  <si>
    <t>2.6.</t>
  </si>
  <si>
    <t>m1</t>
  </si>
  <si>
    <t>2.7.</t>
  </si>
  <si>
    <t>Obračun po m1 lima.</t>
  </si>
  <si>
    <t>2.8.</t>
  </si>
  <si>
    <t>Obračun po m3 srušenog zida dimnjaka</t>
  </si>
  <si>
    <t>m3</t>
  </si>
  <si>
    <t>Obračun po m2 kose površine krova.</t>
  </si>
  <si>
    <t>2.11.</t>
  </si>
  <si>
    <t>2.12.</t>
  </si>
  <si>
    <t>Obračun se vrši po m3 otpada.</t>
  </si>
  <si>
    <t>Obračun po m3.</t>
  </si>
  <si>
    <t>Obračun po m1 tipske rešetke.</t>
  </si>
  <si>
    <t>Obračun po m1 ugrađenog trakstog snjegobrana</t>
  </si>
  <si>
    <t>Obračun po m1 lima</t>
  </si>
  <si>
    <t>Obračun po m2 saniranog zida</t>
  </si>
  <si>
    <t xml:space="preserve">Na tako pripremljenu podlogu nanijeti osnovni sloj grube produžne žbuke debljine 3-3,5 cm. Kada se osnovni sloj potpuno osuši i potom obilno navlaži nanosi se završni sloj fine produžne žbuke debljine 1-1,5 cm, veličine agregata  i obrade u svemu prema izvornoj žbuci na pročelju. Za kvalitetu žbuke izvoditelj je dužan pribaviti stručni nalaz i mišljenje ovlaštene ustanove za ispitivanje kvalitete žbuke, što je obuhvaćeno jediničnom cijenom ove stavke.  </t>
  </si>
  <si>
    <t>Površinu nove žbuke u potpunosti prilagoditi izvornoj. Obračun se vrši po m2 ortogonalne projekcije pročelja, a u koju ne ulaze površine otvora, profilacija i ukrasa. U cijenu žbuke uključena je dobava materijala i spravljanje žbuke,  komplet potrebnih šablona, odnosno letvica kojima se postiže izvorni izgled te iscrtavanje mjesta za vijence, prozorske okvire i slično. Izrada profilacija obračunava se u posebnim stavkama. Obračun po m2 vertikalne projekcije pročelja.</t>
  </si>
  <si>
    <t>STOLARSKI RADOVI</t>
  </si>
  <si>
    <t>U jediničnu cijenu uključen sav potreban rad, svi transporti,  sortiranje, i zbrinjavanje građevinskog otpada prema važećem Pravilniku.</t>
  </si>
  <si>
    <t>Obračun po m2 uklonjenog materijala.</t>
  </si>
  <si>
    <t>Cementni špric izvodi se u dva sloja, a površina mora biti fino zaglađena. Svi sudari ploha, kao i rubovi zidova imaju biti oštri. U cijeni stavke rabitz plastična mreža.</t>
  </si>
  <si>
    <t>Obračun po m2 izvedenog šprica.</t>
  </si>
  <si>
    <t>- NKV</t>
  </si>
  <si>
    <t>kom</t>
  </si>
  <si>
    <t>Radna skela bez obzira na visinu uračunata je u jediničnu cijenu.</t>
  </si>
  <si>
    <t>Obračun po m2 bojane površine.</t>
  </si>
  <si>
    <t>KERAMIČARSKI RADOVI</t>
  </si>
  <si>
    <t>U cijenu uključen sav potreban rad, materijal i pribor.</t>
  </si>
  <si>
    <t>Obračun po m2 površine izvedenog opločenja.</t>
  </si>
  <si>
    <t>PODOPOLAGAČKI RADOVI</t>
  </si>
  <si>
    <t>Ploče se u podnoj konstrukciji postavljaju na armiranobetonsku podnu ploču, i prekrivaju slojem PE folije debljine 0,2 mm, a što je obuhvaćeno jediničnom cijenom stavke.</t>
  </si>
  <si>
    <t>Obračun po m2 ugrađenog materijala.</t>
  </si>
  <si>
    <t>Obračun po m3 srušenog zida</t>
  </si>
  <si>
    <t xml:space="preserve">Ručno obijanje ostale profilirane i druge žbuke. Stavka uključuje pažljivo ručno obijanje profilirane žbuke nakon snimanja profilacija, uzimanja otisaka i konzervatorskih istraživanja.
Obim i područje skidanja žbuke, kao i slojeve, određuju konzervatorski nadzor i nadzorni inženjer nakon detaljnog pregleda oštećenja. 
Otucanje vršiti naročito pažljivo uz dekorativne elemente i profile koji se neće uklanjati. S očuvanih profilacija i dekorativnih elemenata koji ostaju, treba skinuti gornji sloj tanke žbuke. 
Zid (kao i donje slojeve profilacija) nakon obijanja očistiti čeličnim četkama, reške skobama, otprašiti i isprati vodom. 
Stavka uključuje i skupljanje šute i odvoz na gradilišnu deponiju. 
Za svaku pojedinu zonu obračunati sve koeficijente specifične profilacije i uključiti ih u jediničnu cijenu (bez povećanja obračunske površine). </t>
  </si>
  <si>
    <t xml:space="preserve">Površina fine žbuke mora biti posve ravna, a uglovi i bridovi izvedeni prema snimku uzetom prije početka radova, a nakon postavljanja skele. Za kvalitetu žbuke izvoditelj je dužan pribaviti stručni nalaz i mišljenje ovlaštene ustanove za ispitivanje kvalitete žbuke, što je obuhvaćeno jediničnom cijenom stavke. </t>
  </si>
  <si>
    <t xml:space="preserve">Obračun vučenih profilacija po m1 srednje linije profilacije bez ikakvih drugih dodataka na rubove unutar profilacija, promjene smjera i završetke. </t>
  </si>
  <si>
    <t>1.4.</t>
  </si>
  <si>
    <t>Pripomoć prilikom iskopa u dijelu gdje će se prema nalogu arheološkog nadzora provoditi ručni iskop. Obračun po satu radnika registrirano u građevinskom dnevniku i ovjereno od strane nadzornog inženjera.</t>
  </si>
  <si>
    <t>ARMIRAČKI RADOVI</t>
  </si>
  <si>
    <t>1.6.</t>
  </si>
  <si>
    <t>1.7.</t>
  </si>
  <si>
    <t>kg</t>
  </si>
  <si>
    <t>- beton</t>
  </si>
  <si>
    <t>Obračun prema m3 iskopanog zemljanog materijala u sraslom stanju.</t>
  </si>
  <si>
    <t>Obračun po m3 ugrađenog betona i m2 oplate.</t>
  </si>
  <si>
    <t>- oplata</t>
  </si>
  <si>
    <t xml:space="preserve">Armirati u svemu prema statičkom računu i nacrtima armature. </t>
  </si>
  <si>
    <t>Obračun po m3 ugrađenog betona.</t>
  </si>
  <si>
    <t>Armaturu izvesti u svemu prema statičkom proračunu i nacrtima armature.</t>
  </si>
  <si>
    <t>U jediničnu cijenu uključena i sva potrebna jednostruka glatka oplata.</t>
  </si>
  <si>
    <t>Stavkom obuhvatiti utovar i odvoz iskopanog materijala na gradski deponij, uključivo sa svim taksama i naknadama. Napomena: Prilikom izvođenja stavke obvezano prisustvo arheološkog nadzora.</t>
  </si>
  <si>
    <t>1.5.</t>
  </si>
  <si>
    <t>1.8.</t>
  </si>
  <si>
    <t>1.9.</t>
  </si>
  <si>
    <t>1.10.</t>
  </si>
  <si>
    <t>BETONSKI I ARMIRANOBETONSKI RADOVI</t>
  </si>
  <si>
    <t>1.11.</t>
  </si>
  <si>
    <t>LIMARSKI RADOVI</t>
  </si>
  <si>
    <t>Izrada prema uputama proizvođača.</t>
  </si>
  <si>
    <t>IZOLATERSKI RADOVI</t>
  </si>
  <si>
    <t>Investitor će imenovati Nadzornog inženjera čije su ovlasti u skladu s važećim zakonom. Njegovo je pravo i narediti obustavu daljnjeg izvođenja radova ili tražiti rušenje pojedinih dijelova građevine ako se radovi ne izvode u skladu sa odobrenom dokumentacijom, tehničkim propisima ili standardima. Obustavu radova upisuje u građevinski dnevnik.</t>
  </si>
  <si>
    <t xml:space="preserve">Izvoditelj je dužan organizirati kontrolu kvalitete radova te provoditi potrebna testiranja i ispitivanja kvalitete materijala i opreme koja se ugrađuje, a u skladu sa postojećim zakonima i propisima. O obavljenom ispitivanju izvoditelj je dužan posjedovati dokaze upotrebljivosti građ. proizvoda izrađenih na gradilištu i na traženje investitora ih predočiti.
Ako Izvoditelj raspolaže svojih laboratorijem za ispitivanje materijala, nadzorni inženjer ima pravo kontrole rada u tom laboratoriju i pravo odluke da li će se u pojedinom slučaju materijal ispitati u tom laboratoriju ili u nekom drugom ovlaštenom laboratoriju.
</t>
  </si>
  <si>
    <t>Ukoliko, radi nepoštivanja međurokova iz operativnog plana, nastane šteta trećima ili Investitoru, naknada štete izvršit će se ustegom iznosa štete a na temelju bespogovornog nalaza nadzornog inženjera. Naknada štete nastale iz drugih razloga izvršit će se na isti način.</t>
  </si>
  <si>
    <t xml:space="preserve">Izvoditelj radova izvršit će, bez posebne naknade, sva čišćenja tokom radova, te po završetku pojedinih radova, kao i grubo i fino čišćenje po završetku svih radova bez posebne naknade, a neposredno prije konačne primopredaje.
Grubo čišćenje obuhvaća uklanjanje svog smeća, otpadaka, šute, suvišnog materijala, elemenata ili opreme kao i zaštitnih obloga i ambalaže iz građevine i sa gradilišta. Fino čišćenje obuhvaća uklanjanje preostalih otpadaka i prašine iz prostora građevine, pranje podova koji se smiju prati, prozora, keramičkih opločenja i sl. Po završetku radova teren i svi dijelovi građevine moraju biti ostavljeni u čistom i urednom stanju. Sav preostali materijal, opremu i privremene građevine kao i privremene podzemne građevine kao npr. temelje, izvoditelj treba ukloniti sa gradilišta a površine na kojima su bili postavljeni, dovede u stanje predviđeno projektom ili isplanira teren 30 cm niže od prijašnje kote, a sve bez prava na posebnu naplatu.
</t>
  </si>
  <si>
    <t xml:space="preserve">Izvoditelj će preuzeti punu odgovornost za čuvanje radova, materijala i postrojenja za ugradnju do datuma izdavanja Potvrde o preuzimanju građevine za cjelokupne radove, nakon čega će odgovornost za spomenuto čuvanje priječi na Investitora. Ako nadzorni inženjer izda Potvrdu o preuzimanju za bilo koju grupu ili dio trajnih radova, izvoditelj će prestati biti odgovoran za čuvanje te grupe ili dijela od datuma izdavanja potvrde o preuzimanju, nakon čega će odgovornost za čuvanje te grupe ili dijela prijeći na Investitora (ukoliko Potvrdom o preuzimanju ne bude drugačije određeno).
Izvoditelj će preuzeti punu odgovornost za čuvanje svih nedovršenih radova i materijala i postrojenja za ugradnju, za koje se obavezao da će ih završiti za vrijeme razdoblja odgovornosti za nedostatke, sve dok tako nezavršeni radovi nisu dovršeni.
</t>
  </si>
  <si>
    <t xml:space="preserve">U ponuđenoj jediničnoj cijeni trebaju biti ukalkulirani svi troškovi za rad, nabavna cijena glavnog i pomoćnog materijala, unutrašnji i vanjski transport, pripremni radovi, režija, društvene obveze, ispitivanje i dokazivanje kvalitete i svi drugi izdaci izvoditelja za potpuno dovršenje pojedine vrste rada a prema uvjetima tehničke dokumentacije, tehničkih i drugih propisa, ovih uvjeta i troškovnika. 
Sve troškove koji mogu nastati zbog specifičnosti objekta ponuđač treba uzeti u obzir kod kalkulacije jediničnih cijena i planiranja roka građenja jer te specifičnosti ne mogu biti naknadno razlog za produžetak rokova ili povišenje cijena. Za vrijeme niskih zimskih ili visokih ljetnih temperatura izvođač radova treba zaštititi objekt, jer se ponavljani rad uslijed smrzavanja ili prebrzog sušenja neće priznati, već mora biti uključen u jediničnu cijenu. Naknadni rad neće se priznati zbog štete nastale uslijed atmosferskih nepogoda ili podzemne vode.
</t>
  </si>
  <si>
    <t>Svim radovima na rušenjima i demontaži mora se prići sa velikim oprezom, svim potrebnim osiguranjem objekta, odnosno dijela gdje se rušenje ili demontaža obavlja. Za tu vrstu radova potrebno je imati odgovarajuću strukturu radne snage i to visokokvalificiranu radnu snagu za osiguranja podupiranja, izradu zaštitnih ograda, te stalnu kontrolu na mjestima gdje se obavlja demontaža - rušenje.Prije nego se započinje sa bilo kakvom demontažom ili rušenjem potrebno je da nadzorni inženjer sa rukovoditeljem radova obiđe detaljno objekt i da se točno odrede mjesta koja će se rušiti - demontirati. Bez ovakvog dogovora i upisa u građ. dnevnik izvođač ne smije započeti sa bilo kojom vrstom radova.</t>
  </si>
  <si>
    <t>Troškovnikom je predviđena izvedba radova uklanjanja, demontaža i rušenja na postojećim građevinama sljedećim redoslijedom:</t>
  </si>
  <si>
    <t>Rušiti se može uz uobičajene i propisane mjere sigurnosti. Najprije treba demontirati sve dijelove koje je moguće skinuti i ukloniti urušene dijelove konstrukcije. Nakon demontiranja i uklanjanja dijelova konstrukcije može se započeti sa opreznim rušenjem od vrha prema dnu, uz osiguranje svih potrebnih mjera zaštite obodnih zidova postojeće građevine koji se zadržavaju, od oštećivanja i urušavanja.</t>
  </si>
  <si>
    <t xml:space="preserve">Zidarsko-fasaderski radovi izvode se isključivo prema opisima stavaka troškovnika, kao i prema važećim propisima za ovu vrstu radova. Kvaliteta svog upotrebljenog materijala mora odgovarati propisima i važećim normama, što izvoditelj mora dokazati potrebnim atestima. Izvoditelj je dužan osigurati i zaštititi sve dijelove građevine na kojima se ne izvode radovi, radi sprječavanja oštećenja tokom izvedba. Sva oštećenja na dijelovima na kojima se ne izvode radovi ili koji su nastupili nepažnjom izvoditelja isti je dužan otkloniti o vlastitom trošku. 
Žbukanje se izvodi na dobro očišćenoj, otprašenoj i vodom ispranoj površini. Radove na žbukanju izvoditi samo u povoljnim vremenskim uvjetima, uz odgovarajuće osiguranje i zaštitu svježe ožbukanih površina od štetnog utjecaja djelovanja sunca i oborina. Prije samog pristupanja žbukanju, površinu zida potrebno je dobro navlažiti.
Kvalitetu žbuke izvoditelj je dužan dokazati pribavljanjem stručnih nalaza i mišljenja nadležne institucije. Spojeve stare i nove žbuke izvesti kvalitetno, tako da se nakon završne obrade ne primjećuju razlike između ploha ožbukanih starom i ploha ožbukanih novom žbukom, već da se nakon završnog sloja dobije jednoliki izgled površine. Za sve završne obrade na pročelju, potrebno je izraditi uzorke koje prije početka izvođenja mora odobriti predstavnik nadležnog konzervatorskog zavoda i nadzorni inženjer investitora. Izrada uzoraka završne obrade uračunata je u jediničnu cijenu pojedine stavke i ne obračunava se posebno.
Sve detalje izvedbe na pročelju potrebno je dogovoriti i na njih ishoditi suglasnost predstavnika nadležnog konzervatorskog zavoda i nadzornog inženjera, a prije pristupanja izvedbi radova. Obračun svih radova vršiti kako je to naznačeno u opisu stavaka.
</t>
  </si>
  <si>
    <t>Cement i vapno trebaju biti zaštićeni od djelovanja vlage za vrijeme transporta i skladištenja. Veziva skladištiti odvojeno tako da ne dođe do miješanja.</t>
  </si>
  <si>
    <t>Unaprijed pripremljeni mort treba rabiti u skladu sa uputama proizvođača i prije kraja roka uporabe deklariranog od proizvođača.</t>
  </si>
  <si>
    <t>Upotrebljeni dodaci, koji služe za poboljšanje ugrađenosti morta za postizavanje nepromočivosti ili poboljšanja kemijskih i mehaničkih svojstava, moraju odgovarati utvrđenim normativima i dokumentiranim odgovarajućim atestima.</t>
  </si>
  <si>
    <t xml:space="preserve">Masa sastavljena od cementa, pijeska granulacije do 2 mm i aditiva, za izravnavanje većih neravnina betonskih podloga i cementnih estriha u debljini 5-20 mm. Masa je otporna na organska otapala i opterećenja pa se koristi i kao završni sloj u garaži. </t>
  </si>
  <si>
    <t>Sve podloge moraju biti čiste, čvrste, suhe, nesmrznute, bez masnoće, soli, pritisne čvrstoće minimalno 25 N/mm2, stare najmanje 2 mjeseca. Plohe veće od 30 m2 dilatirati. Uz zidove položiti rubne trake toplinsko izolacijskih materijala širine 1 cm,  visine 10 cm. Podlogu prethodno impregnirati.</t>
  </si>
  <si>
    <t>Obračun izvršenih zidarskih radova vrši se u cijelosti prema "Prosječnim normama u građevinarstvu". Jedinična cijena sadrži: sav materijal, alat, mehanizacija i uskladištenje, troškove radne snage za kompletan rad sve horizontalne i vertikalne transporte do mjesta ugradnje, svu potrebnu radnu skelu i fasadnu skelu čišćenje prostorija i zidnih površina po završetku rada od morta i otpadaka, čišćenje okoliša i prostorija a nakon završetka radova, sve posredne i neposredne troškove, svu štetu kao i troškove popravaka kao posljedica nepažnje u toku izvedbe, troškove zaštite pri radu, troškove atesta.</t>
  </si>
  <si>
    <t>Podloge moraju biti čiste bez prašine, smole, masti ili hrđe ili naslaga drugih materijala. Vanjski nalič mora biti otporan atmosferilijama, a unutrašnji postojanih boja otpornih na sredstava za čišćenje. Premazi moraju čvrsto prianjati na podlogu na koju se nanose bez tragova četke ili valjka, a boja mora biti jednolična i bez mrlja. Na obojenim površinama ne smiju se poznavati tragovi četke, ne smije biti mrlja, ton mora biti ujednačen i čidentičan. Obojene površine  ne smiju se dati brisati, niti se smiju ljuštiti. Kvaliteta pojedinih boja i lakova mora odgovarati tekućim propisima i normativima.</t>
  </si>
  <si>
    <t>Ponuđač je dužan nuditi na temelju izvedbenih nacrta i detalja solidan i ispravan rad. Ako mu neki opis nije jasan mora prije predaje ponude tražiti objašnjenje od naručitelja. Eventualne izmjene materijala, te način izvedbe tijekom gradnje moraju se izvršit isključivo pismenim dogovorom s projektantom i nadzornim inženjerom.</t>
  </si>
  <si>
    <t>Prije ugradbe bravarije, bravar je dužan upozoriti izvođača građevinskih radova na eventualne nedostatke, jer bravar odgovara za kvalitetu i ispravnost svih dijelova do primopredaje svojih radova. Izvođač je dužan prije početka rada kontrolirati sve mjere na gradnji za svaki predmet.</t>
  </si>
  <si>
    <t>Prije početka radova treba izvođač gdje god je to moguće kontrolirati na gradnji sve mjere koje su mu potrebne za njegov rad. Ustanovi li izvođač radova veće razlike koje bi utjecale na njegov rad prema datim nacrtima, tada je dužan o tome obavijestiti projektanta i nadzornog organa i zatražiti njegovo rješenje. U slučaju da izvođač upotrijebi drugu vrstu materijala no što je propisana ili ako loše izvede rad, tada je dužan na zahtjev nadzornog organa odstraniti nepropisno izvedeni materijal i zamijenitiga propisanim. Svako učvršćenje i povezivanje mora se izvesti tako da konstrukcije budu osigurane od bilo kakvog pomicanja te da pojedini dijelovi mogu nesmetano raditi kod promjena temperature.</t>
  </si>
  <si>
    <t>Vanjska krila su sa podjelom prozora (okvir / staklo) kao postojeća stolarija i ostakljenjem sa  jednostrukim float staklom, 6 mm.</t>
  </si>
  <si>
    <t>Sav materijal i oprema koja će se upotrijebiti na objektu moraju biti uskladišteni, složeni i zaštićeni te držani u urednom i dobrom stanju. Potraživanja na ime oštećenja i rastura materijala neće se priznati izvoditelju. Sav suvišni materijal, oprema i alat koji nije više u upotrebi, kao i skele, oplata itd. moraju biti uredno složeni, tako da ne ometaju napredak preostalih radova, ili uklonjeni sa gradilišta. Ukoliko se postojeće prostorije ili djelomično dovršeni prostori građevine koriste za privremeno skladište materijala, izvoditelj je odgovoran da uskladišteni materijali ne ometaju pravovremeno izvođenje preostalih radova, niti inspekciju odnosno kontrolu izvedenih radova. Izvoditelj je također odgovoran da težina uskladištenog materijala ne prekorači računato dozvoljeno opterećenje konstrukcije.</t>
  </si>
  <si>
    <t>Po završetku svih radova i dobivanju uporabne dozvole za izvedenu građevinu, izvršit će se primopredaja izvedene građevine sa Investitorom. Prije primopredaje radova izvoditelj je dužan investitoru dostaviti svu dokumentaciju, naročito projekt izvedenih radova odnosno izvedbeni projekt sa svim izmjenama i dopunama nastalim u toku gradnje, građevinski dnevnik, rezultate ispitivanja u sl., kao i drugu dokumentaciju temeljem koje je izdana dozvola za upotrebu građevine od nadležnog organa. Tijekom primopredaje vodit će se zapisnik o primopredaji izvedenih radova odnosno izgrađenog objekta, te je izvoditelj dužan izvršiti sve eventualne ispravke, popravke i zamjene na građevini, ukoliko se takve utvrde u tom zapisniku a u skladu sa ugovorom o izvođenju. Ove obveze izvoditelja ne isključuju njegovu obvezu da provede ispravke, ili zamjene zatražene od organa nadležnog za izdavanje dozvole za uporabu.</t>
  </si>
  <si>
    <t>Nikakvi režijski sati niti naplate po nuđenim radovima neće se posebno priznati, jer sve treba biti uključeno u jediničnu cijenu stavke.</t>
  </si>
  <si>
    <t>OPĆI UVJETI - PO GRUPAMA RADOVA ZA SVE OBJEKTE</t>
  </si>
  <si>
    <t>Opterećenje stropne konstrukcije sa materijalom također nije dozvoljeno, već se mora sav materijal - šuta dobivena rušenjem deponirati na dvorištu uz objekt, a mjesto će se odrediti u dogovoru sa nadzornom službom odnosno po prihvaćenoj shemi gradilišta. Odmah po uvođenju u posao izvođač je dužan blindirati sve postojeće instalacije. Ne dozvoljava se ispuštanja bilo kakve vode i ispiranja stroja, površina i sl. u temeljnu kanalizaciju. Da bi se to izbjeglo potrebno je izraditi taložnicu prije upuštanja vode u kanalizaciju. Isto tako je zabranjeno razlijevanje vode po objektu, priprema morta, betona i sl., odnosno sve što može prouzročiti natapanje stropne konstrukcije i zidova.</t>
  </si>
  <si>
    <t xml:space="preserve">Temeljem Zakona o gradnji (NN 153/13, 20/17, 39/19) u ovaj rad se ulazi projektom i odlukom investitora, a obuhvaća rušenje postojećih zgrada, vađenje temelja, čuvanje, prijevoz i pospremanje upotrebljivog materijala, te čišćenje gradilišta od otpadnog materijala. Zgradu treba rušiti u skladu s projektom, važećim propisima i zakonima te tako da se ne ugrožava sigurnost ljudi, opreme, zaštita okoliša i ne ošteti materijal koji bi se mogao ponovno upotrijebiti. Građevni materijal, koji se može još koristiti, mora biti očišćen, prevezen i odložen na mjesto koje je određeno projektom ili koje odredi nadzorni inženjer. </t>
  </si>
  <si>
    <t xml:space="preserve">Nakon rušenja zgrade gradilište mora biti očišćeno od materijala, konstrukcija i temelja, a otpadni materijal treba prevesti na mjesto gdje neće smetati izgradnji i kakvoći radova i gdje neće narušavati estetski izgled ceste, odnosno materijal treba prevesti u mjesna odlagališta otpadnog materijala, sve prema Zakon o održivom gospodarenju otpadom (NN  94/13, 73/17, 14/19), Pravilniku o gospodarenju otpadom  (NN  23/14), Pravilnik o građevnom otpadu i otpadu koji sadrži azbest  (NN 69/16) i ostalim važećim propisima. </t>
  </si>
  <si>
    <t xml:space="preserve">Sav demontirani i porušeni materijal zbrinuti kako je propisano prostornim planom, zakonima i pravilnicima o otpadu, a troškove obuhvatiti jediničnom cijenom jer se nikakvi troškovi odvoza, sortiranja i zbrinjavanja neće posebno priznavati. </t>
  </si>
  <si>
    <t xml:space="preserve">Prije rušenja ili skidanja žbuke s raznih vučenih profilacija na pročelju, izvoditelj je dužan snimiti profilaciju navedenih elemenata i na njih ishoditi suglasnost odgovorne osobe za nadzor i ishoditi suglasnost nadležnog konzervatorskog zavoda. Izmjere i otisci uzimaju se s očuvanih profila, s kojih prethodno treba skinuti sve slojeve prašine, smoga i drugih nečistoća, slojeve starih naliča, a u pojedinim slučajevima i slojeve naknadno nanesene žbuke. Ukoliko pojedini karakteristični profil nije sačuvan potrebno ga je rekonstruirati. Prema izrađenim otiscima rade se drvene ili metalne šablone. Drvene šablone treba izvesti iz zdrave i čvrste građe, a da se spriječe deformacije treba ih okovati.
</t>
  </si>
  <si>
    <t xml:space="preserve">Ličenje stolarije izvodi se nakon skidanja starog naličja otapalima ili paljenjem. Potom je potrebno stolariju obrusiti, natopiti firnisom, kitati, te ponovo brusiti. Na tako pripremljenu podlogu nanosi se dvostruki nalič, te lakira lakom otpornim na atmosferilije. Izbor tona, vrši se prema postojećem, a u suglasnosti s predstavnikom nadležnog konzervatorskog zavoda i nadzornim inženjerom.
Jedinična cijena obuhvaća sav rad, materijal, sve troškove nabave i dopreme, skidanje i ponovnu postavu vanjske stolarije (vratna i prozorska krila), izradu uzoraka i sva čišćenja po završetku radova.
Prije početka radova izvođač mora ustanoviti kvalitetu podloge za izvođenje soboslikarskih i ličilačkih radova i ako ona nije pogodna za taj rad mora o tome pismeno obavijestiti svog naručioca radova, kako bi se na vrijeme mogla podloga popraviti i prirediti za soboslikarsko-ličilačke radove. Kasnije pozivanje i opravdanje da kvalitet nije dobar radi loše podloge neće se uzimati u obzir. Obračun svih radova vršiti kako je to naznačeno u opisu stavaka.
</t>
  </si>
  <si>
    <t xml:space="preserve">Sve nove stolarske stavke prozora i vrata na pročeljima postojeće građevine  potrebno je u svemu izraditi kao repliku postojećih demontiranih prozora i vrata, te ugraditi na isti način kao postojeće demontirane elemente, a prema  zahtjevu konzervatorskog zavoda. </t>
  </si>
  <si>
    <t xml:space="preserve">Ovo se odnosi na dimenzije prozora i vrata, vrstu prozora - dvostruki prozor, način otvaranja i pzavodu prozorskih i vratnih krila, izgled okova te završnu obradu drvenih elemenata prozora i vrata, te drvenih dovratnika i doprozornika. Svi novi drveni elementi prozora i vrata moraju biti izrađeni iz drva četinara ( ariš ili bor ), II klase, iz laminiranih drvenih profila. </t>
  </si>
  <si>
    <t xml:space="preserve">Drveni elementi prozora i vrata ličeni su uljanom bojom u tonu prema izboru projektanta i predstavnika konzervatorskog zavoda, uključivo sa prethodnim zaštitnim premazima protiv nepovoljnog djelovanja gljivica i atmosferilija, impregnacijom, temeljnim premazom, završnim premazom. </t>
  </si>
  <si>
    <t>Odabrani okov prilagoditi težini i geometriji krila, tako da nesmetano zadovoljava funkciju otvaranja, te da oblikovno odgovara okovima postojećih prozora - tip i završnu obradu okova odrediti prema odabiru projektanta i predstavnika konzervatorskog zavoda. Okove postojećih povijesnih prozora čine duguljaste šarke i zaokretni zatvarač sa zasunom ili pak rajber na gornjim krilima.</t>
  </si>
  <si>
    <t>Jediničnom cijenom predviđena je ugradnja novog okova, primjerenog geometriji i težini novih prozorskih krila, uz prethodno odobrenje predstavnika konzervatorskog zavoda - okov za sustav zaokretnog otvaranja sa aluminijskom poluolivom nosivosti do 150 kg, sa mogućnošću podešavanja okova u tri smjera. Za sustav otklopnog otvaranja ugrađuje se ventus mehanizam, sa ugrađena dva ili tri panta,  sigurnosnim škarama, te šipkom ili sajlom. Poluga za otvaranje postavlja se na 150 cm od gotovog poda.</t>
  </si>
  <si>
    <t xml:space="preserve">Konzervatorska istraživanja žbuke i boje zidova, te površina i elemenata pročelja nakon postave skele, a prije rušenja i demontaža, radi utvrđivanja izgleda pročelja u raznim povijesnim razdobljima, te radi utvrđivanja stanja obrada i konstrukcija. Prema odredbama nadležnog konzervatorskog zavoda otvoriti konzervatorske sonde na ravnim površinama pročelja, na vučenim profilacijama, te stolariji. Stavka uključuje izradu izvještaja nakon provedenih konzervatorskih istražnih radova s ucrtanim i opisanim pozicijama sondi. Obračun po broju sondi i kompletu elaborata istražnih radova. </t>
  </si>
  <si>
    <t xml:space="preserve">Površinu nove žbuke u potpunosti prilagoditi izvornoj, veličine agregata i obrade u svemu prema izvornoj žbuci na pročelju. Sve profilacije izvoditi sa šablonama koje je prethodno pregledao i odobrio predstavnik nadležnog konzervatorskog zavoda. Šablone upotrebljavati uz obaveznu postavu vodilica. </t>
  </si>
  <si>
    <t>Nakon postave fasadne skele, a prije početka radova na demontažama i rušenjima, potrebno je utvrditi izgled pročelja, sastav postojeće žbuke, slojeve povijesnih boja na žbuci, stolariji i bravariji. Po obavljenim istražnim radovima, sastavlja se izvješće sa fotodokumentacijom i opisom nalaza. Izvješće se upućuje u nadležni konzervatorski zavod i po njihovoj ovjeri i odredbama se može pristupiti izvođenju troškovničkih radova. Svi radovi izvode se u dogovoru i prema uputama nadležnog konzervatorskog zavoda.</t>
  </si>
  <si>
    <t>Prilikom izvedbe zidarskih radova prema projektu i troškovniku izrađenog na osnovu ovog projekta, izvođač radova mora se pridržavati svih uvjeta i opisa u projektu i troškovniku kao i važećih propisa, a posebno Tehnički propis za građevinske konstrukcije (NN 17/17).</t>
  </si>
  <si>
    <t>Materijal koji je upotrebljavan mora zadovoljiti slijedeće standarde:</t>
  </si>
  <si>
    <t>Mort treba biti miješan u omjerima materijala kako je određeno projektom morta, a koji je dužan dostaviti izvođač. Navedenim projektom se mora postići projektirana marka morta. Sav pribor koji se koristi pri miješanju i transportu treba održavati čistim. Nakon što se mort izmiješa izvađen je iz miješalice ne smije mu se dodavati nikakav materijal.</t>
  </si>
  <si>
    <t xml:space="preserve">Prilikom izvedbe radova žbukanja i glazura opisanih troškovnikom izvođač radova mora se pridržavati uvjeta i opisa u troškovniku kao i važećih propisa i to posebno: pravilnik o tehničkim mjerama i uvjetima za izvedbu zidova zgrada, pravilnik o zaštiti na radu u građevinarstvu. </t>
  </si>
  <si>
    <t>PVC obloge, epoksi podovi te drugi premazi nakon 14-28 dana ovisno o debljini sloja i vremenskim uvjetima (temperatura, vlaga) uz obavezno mjerenje vlage, a sve prema uputama proizvođača.</t>
  </si>
  <si>
    <t>Obračun izvedenih radova vrši se prema "Prosječnim normama u građevinarstvu. Jediničnom cijenom treba obuhvatiti:  sav materijal, alat, mehanizaciju i uskladištenje, troškove radne snage za kompletan rad opisan u troškovniku, sve horizontalne i vertikalne transporte do mjesta ugradbe,  eventualnu potrebnu radnu skelu, čišćenje prostorija, zidnih i podnih površina nakon završetka radova,  svu štetu kao i troškove popravka kao posljedica nepažnje u toku izvedbe, troškove zaštite na radu, troškove atesta.</t>
  </si>
  <si>
    <t>Prije pristupanja izvođenju radova izvoditelj je dužan izvršiti detaljan pregled svih stolarskih elemenata, prozora i vrata, na svim pročeljima i krovu.
Stolarski elementi ili njihovi dijelovi, kao i pripadajući okov, koji su oštećeni, moraju se zamijeniti novim, prema opisima stavaka troškovnika i mjerama uzetim na licu mjesta.
Sav rad mora biti izveden kvalitetno, a za sve detalje i predložene elemente izvoditelj mora pribaviti suglasnost predstavnika nadležnog konzervatorskog zavoda i nadzornog inženjera.
Osobitu pažnju potrebno je posvetiti čišćenju postojećih stolarskih elemenata i njihovom popravku.
Jedinična cijena mora obuhvatiti sav rad i materijal, sav transport do i unutar gradilišta i do mjesta ugradbe, zaštitni premaz, sav potreban okov, kao i sve pomoćne radove i materijale.
Sav rad, ugrađeni materijal kao i finalni proizvod mora odgovarati važećim tehničkim propisima i normama. Obračun svih radova vršiti kako je to naznačeno u opisu stavaka.
Napomena: Eventualne izmjene mogu se izvoditi  samo u skladu s konzervatorskim istraživanjima uz odobrenje predstavnika nadležnog konzervatorskog zavoda i nadzornog inženjera.</t>
  </si>
  <si>
    <t>Prilikom izvedbe stolarskih radova izvođač radova mora se pridržavati svih uvjeta i opisa, kao i važećih propisa i normative: Pravilnik o tehničkim normativima za projektiranje i izvođenje završnih radova u građevinarstvu (osim dijelova koji se ne primjenjuju temeljem odredbi Tehničkog propisa za prozore i vrata) i Tehnički propis za prozore i vrata- (NN. 69/06).</t>
  </si>
  <si>
    <t>Cjelokupnu montažu stolarskih predmeta - elemenata u zidove na gradnji izvodi izvođač stolarskih radova po sistemu "suhe montaže" ukoliko stavkom troškovnika nije drugačije rečeno. Za elemente koji se liče, izvesti sve potrebne predradnje zaštite, grundiranje i sl..</t>
  </si>
  <si>
    <t xml:space="preserve">Izvođač radova dužan je izabrati izvornu očuvanu stolariju, prema uputama konzervatora, te onu na kojoj su sutvrđeni slojevi izvorne boje prema konzervatorskom elaborat, kako bi se po njima mogla izvesti nova vanjska krila prozora i utvrditi ton i vrsta naliča, vodeći računa o očuvanju izvornih stolarskih detalja i bravarskih elemenata,te ih izvesti identično prema izvornima. Prije izvedbe izvođač radova dužan je izraditi uzorke i dati ih na uvid i odobrenje predstavniku zavoda. Sva nova vanjska ulazna vrata ( stolarski elementi na postojećem dijelu zgrade ) treba izraditi u dogovoru s predstavnikom konzervatorskog zavoda. </t>
  </si>
  <si>
    <t xml:space="preserve">U obvezi izvođača radova je izrada radioničke dokumentacije prije izrade stolarije. Radionička dokumentacija mora biti predana na ovjeru  glavnom projektantu ili nadzornom inženjeru. Izradi stolarskih stavki moguće je pristupiti tek po ovjeri radioničke dokumentacije od strane projektanta. </t>
  </si>
  <si>
    <t xml:space="preserve">Svaka od stolarskih stavka obuhvaća izradu, dobavu i ugradbu kompletne stolarske stavke, sav potreban rad materijal i pribor, okov za vrata, ručke za otvaranje, uređaje za otvaranje, bravu sa ključem, sve do pune funkcionalnosti stolarskih stavki. </t>
  </si>
  <si>
    <t>Prije početka rada izvoditelj mora predložiti nadzornom inženjeru ili projektantu plan redoslijeda zavarivanja, plan montaže konstrukcije sa razrađenim načinom i redoslijedom montaže. Isti mora prije započinjanja radova pribaviti i dostaviti na uvid dokumentaciju: atest materijala od kojih se izrađuje čelična konstrukcija, ateste za spojni materijal (vijci, elektrode), atest zavarivača koji će raditi na ovoj konstrukciji, plan zavarivanja i montaže.</t>
  </si>
  <si>
    <t>Izvođač bravarskih radova treba se pridržavati nacrta, shema, opisa pojedinačnih stavki troškovnika, te tekućih propisa i normativa. Obvezan je izraditi radioničku dokumentaciju i dostaviti je na ovjeru.</t>
  </si>
  <si>
    <t xml:space="preserve">shemama bravarije; opisu radova u troškovniku; uzetim mjerama na objektu; posebnim pismenim dogovorima sa projektantom ili nadzornim inženjerom. </t>
  </si>
  <si>
    <t>Svi radovi moraju biti izvedeni stručno i solidno. Izvođač je obavezan pridržavati se projektne dokumentacije, opisa te Tehničkih uvjeta za staklorezačke radove i važećih propisa i normativa: Pravilnik o tehničkim normativima za projektiranje i izvođenje završnih radova u građevinarstvu (osim dijelova koji se ne primjenjuju temeljem odredbi Tehničkog propisa za prozore i vrata).</t>
  </si>
  <si>
    <t xml:space="preserve">Jedinica mjere za izradu, transport i montažu, ugradnju antikorozivnu zaštitu i ličenje nakon montaže je kom, odnosno m1. </t>
  </si>
  <si>
    <t>Sve obloge i spušteni stropovi izvode se u svemu prema dogovoru i po odobrenju projektanta ili nadzornog inženjera, u skladu sa shemama oblaganja koje su sastavni dio projektne dokumentacije.</t>
  </si>
  <si>
    <t>Sve radove treba izvesti točno prema datim nacrtima, prema postojećim tehničkim propisima, troškovničkom opisu, te uputama projektanta i nadzornog inženjera.</t>
  </si>
  <si>
    <t>Gipsarski radovi moraju se izvesti solidno i stručno prema važećim propisima i troškovniku. Ako koja stavka nije izvođaču jasna, mora prije predaje ponude tražiti objašnjenje od naručitelja. Eventualne izmjene materijala, te načina izvedbe tijekom gradnje moraju se izvršiti isključiti pismenim dogovorom s projektantom i nadzornim inženjerom. Sve višeradnje koje neće biti na taj način utvrđene neće se priznati u obračunu.</t>
  </si>
  <si>
    <t xml:space="preserve">Strop:
 -odgovarajuće gipskartonske/mineralne/metalne ploče ugrađene ispod podgleda stropa u jednoj ili više razina
površina spuštenog stropa može biti vodoravna, kosa i okomita
-tipska nosiva  konstrukcija iz limenih pocinčanih profila i vješaljki,  zavješena o nosivu stropnu ploču 
-bandažiranje i kitanje spojeva ploča,do potpune glatkoće
- obrada rubova stropa uz zidove, ugradnjom završnog tipskog  aluminijskog profila, tako da se dobije jednolika uredna fuga širine  5 mm 
- ugradnja stropnih ugradbenih elemenata (rasvjeta, vatrodojava, sprinkler mlaznice, elementi strojarskih instalacija i dr.) u strop, prema odgovarajućim projektima i kompozitnim nacrtima stropova, uključivo izmjeru, izrezivanje otvora i eventualno potrebna ojačanja  u nosivoj konstrukciji stropa
- bušenje rupa za prolaz raznih vodova instalacija u dogovoru s izvođačima instalacija.
</t>
  </si>
  <si>
    <t xml:space="preserve"> Maske i lažne grede :
- horizontalne i vertikalne "maske" iz gipskartonskih ploča  na spoju spuštenih stropova različitih visina.
- tipska nosiva  konstrukcija iz limenih pocinčanih profila i vješaljki,  zavješena o nosivu stropnu konstrukciju
- bandažiranje i kitanje spojeva ploča,do potpune glatkoće
- obrada rubova ugradnjom završnog tipskog  aluminijskog profila, tako da se dobije jednolik uredan brid
- ugradnja ventilacijskih rešetki, po projektu strojarskih instalacija, uključivo izmjeru, izrezivanje otvora i  potrebna ojačanja  u nosivoj konstrukciji "maske"
- bušenje rupa za prolaz raznih vodova instalacija u dogovoru s izvođačima instalacija.
</t>
  </si>
  <si>
    <t xml:space="preserve">Uključivo :
- izradu radioničke dokumentacije
- dobavu, pripremu i ugradnju materijala sa svim prijevozima, utovarima i istovarima
- sav osnovni, pričvrsni i pomoćni materijal i rad sa svim prenosima
- obrada vidljive površine stropa, da bude potpuno ravan i gladak, pripremljen za bojanje
- potrebne pokretne skele
</t>
  </si>
  <si>
    <t xml:space="preserve">Obloge :
- obloge stropova gipskartonskim pločama ugrađenim na potkonstrukciju neposredno ispod površine stropa
- tipska nosiva  konstrukcija iz limenih pocinčanih profila učvršćenih o arm.bet.strop 
- bandažiranje i kitanje spojeva ploča, do potpune glatkoće
- obrada rubova stropa uz zidove
- ugradnja stropnih ugradbenih elemenata (rasvjeta, vatrodojava, sprinkler mlaznice, elementi strojarskih instalacija i dr.) u strop, prema odgovarajućim projektima i kompozitnom nacrtima stropova, uključivo izmjeru, izrezivanje otvora i eventualno potrebna ojačanja  u nosivoj konstrukciji stropa
- bušenje rupa za prolaz raznih vodova instalacija u dogovoru s Izvođačem instalacija.
</t>
  </si>
  <si>
    <t xml:space="preserve">Stijene (zidovi):
- potkonstrukcija stijena se sastoji iz horizontalnih profila UW  i iz vertikalnih  profila CW ili MW na razmaku od max 62,5 cm, pričvršćenih vijcima u pod i u strop. Profili su izrađeni od pocinčanog lima 0,6 mm. Između profila i poda i stropa treba postaviti brtvenu pustenu traku.
- potkonstrukcija se obostrano oblaže dvostrukim slojem gipskartonskih ploča
- ispuna stijena pločama mineralne vune
- obloge od gipskartonskih ploča učvršćuju se vijcima na metalnu potkonstrukciju,a spojevi među pločama obrađuju odgovarajućim gips-punilom,bandažiraju i gletaju do potpune glatkoće površine,spremne za bojanje
- bridovi se ojačavaju umetanjem tipskih metalnih perforiranih traka i L profila
- dodatne nosive elemente u konstrukciji stijena postaviti za ugradnju namještaja ili uređaja na stijenu.
- dodatne nosive elemente u konstrukciji stijena postaviti za učvršćenje instalacija u stijeni (vodovod, kanalizacija, plin, elektrika i sl.)
- za ugradnju dovratnika, lijevo,desno i gore obvezno postaviti UA profile iz pocinčanog lima debljine 2mm
(dodatni elementi i slijepi okviri obračunati posebno)
- stijenu u načelu postaviti na podlogu završne obloge poda;  zidovi se izvode u punoj konstruktivnoj visini etaže
</t>
  </si>
  <si>
    <t xml:space="preserve">Obloge instalacijskih vodova :
Lagane obloge instalacijskih vodova gipskartonskim pločama 
Obloge se postavljaju, tako da sakrivaju vertikalne, kose ili horizontalne vodove instalacija i dijele ih od okolnog prostora
Obloge se rade prema tipskom sistemu..
- potkonstrukcija se sastoji iz vodoravnih, kosih i/ili uspravnih profila, pričvršćenih na stijene ili strop, na razmaku od max. 62,5 cm. Profili su izrađeni od pocinčanog čeličnog lima 0,6 mm. 
- potkonstrukcija se oblaže slojem gipskartonskih ili protupožarnih ploča
- obloga od ploča učvršćuje se vijcima na metalnu potkon-strukciju,a spojevi među pločama obrađuju odgovarajućim gips punilom, bandažiraju se i gletaju do potpune glatkoće površine,spremne za bojanje 
- bridovi se ojačavaju umetanjem tipskih metalnih perforiranih traka i  L-profila
- dodatni nosivi elementi u konstrukciji obloge, postavljaju se po potrebi, za učvršćenje instalacija (vodovod, kanalizacija, elektrika i sl.)
</t>
  </si>
  <si>
    <t xml:space="preserve">Obloge zidova i stijena
Lagane obloge zidova i stijena gipskartonskim pločama 
Obloge se postavljaju na neobrađene zidove i stijene umjesto žbukanja i sl.
Obloge se rade prema tipskom sistemu.
- potkonstrukcija se sastoji iz vodoravnih i/ili uspravnih profila, učvršćenih na stijenu, na razmaku od max.62,5cm. Profili su izrađeni od pocinčanog čeličnog lima 0,6 mm.                                                                                                                                - ispuna stijena/oblog mineralnom vunom
- potkonstrukcija se oblaže dvoslojnim gipskartonskih ili protupožarnih mineralnih ploča
- obloga od gipskartonskih ploča učvršćuje se vijcima na metalnu potkonstrukciju, a spojevi među pločama obrađuju odgovarajućim gips-punilom, bandažiraju se i gletaju do potpune glatkoće površine, spremne za bojanje
- bridovi se ojačavaju umetanjem tipskih metalnih perforiranih traka i  L-profila
Svaka stavka uključuje :
- izradu radioničke dokumentacije
- dobavu, izradu i ugradnju stijena sa svim prijevozima i prenosima
- sav osnovni,pomoćni, spojni i pričvrsni materijal i pokretne skele
</t>
  </si>
  <si>
    <t>OPĆI UVJETI ZA VATROOTPORNE PROZORE I VRATA :</t>
  </si>
  <si>
    <t>Potrebno je primjenjivati Naredbu o obaveznom atestiranju  ploča iverica za opću uporabu i građevinarstvo</t>
  </si>
  <si>
    <t xml:space="preserve">U obvezi izvođača radova je izrada radioničke dokumentacije prije izrade stolarskih stavki. Radionička dokumentacija mora biti predana na ovjeru  glavnom projektantu ili nadzornom inženjeru. Izradi stolarskih stavki moguće je pristupiti tek po ovjeri radioničke dokumentacije od strane projektanta ili nadzornog inženjera.. </t>
  </si>
  <si>
    <t>Specifikacije (tekstualni dio) i grafički prikazi predstavljaju cjelinu i što je makar jednom od njih naznačeno obaveza je za izvoditelja. Sve eventualne nejasnoće i nedefiniranosti izvođač radova treba utvrditi sa projektantom  ili nadzornim inženjerom i otkloniti. Izvoditelj ima obavezu dati pismenu izjavu da je tehničku dokumentaciju razumio, da je izvršio provjeru usklađenosti i količina, da u njoj nema nedostataka, te da je prihvaća kao osnovu za izgradnju.</t>
  </si>
  <si>
    <t>Sva vrata trebaju zadovoljiti zvučnu izolaciju definiranu projektom fizike zgrade, a što je obuhvaćeno jediničnom cijenom stavaka.Sva ostakljenja stijena i prozora izvesti u skladu parametrima u projektu građevinske fizike, te u dogovoru s projektantom ili nadzornim inženjerom. Izolacijsku vrijednost ugrađenih vrata i prozora treba dokazati laboratorijskim ispitivanjima, a kategorizaciju provesti sa stručnom službom investitora, odnosno dokazati certifikatima proizvođača ugrađenih vrata i prozora ( dokazima o laboratorijskim ispitivanjima sa zadovoljavajućim postignutim rezultatima).</t>
  </si>
  <si>
    <t>Sve vatrootporne stavke izvesti kao tipske vatrootporne stavke, potrebne vatrootpornosti prema projektu. Nova vatrootporne elemente na granicama požarnih sektora, izgledom maksimalno prilagoditi izgledu postojećih drvenih elemenata. Sve izvesti prema projektu i u dogovoru s projektantom  ili nadzornim inženjerom.</t>
  </si>
  <si>
    <t>Boju, vrstu i kvalitetu obavezno dogovoriti sa projektantom  ili nadzornim inženjerom prije ugradnje i nabavke istih. Izvođač mora obavezno predočiti pločice na uvid, donijeti uzorke te nakon dogovora i potpisa projektanta i utvrđivanja potrebnih površina na licu mjesta pristupiti nabavci i postavi istih. Prije početka radova izvođač je dužan pregledati sve podloge.</t>
  </si>
  <si>
    <t>REPUBLIKA HRVATSKA</t>
  </si>
  <si>
    <t>44000, Sisak</t>
  </si>
  <si>
    <t>BR. PROJEKTA :</t>
  </si>
  <si>
    <t>U jediničnu cijenu uključen sav rad materijal i pribor do pune gotovosti stavke.</t>
  </si>
  <si>
    <t>U slučaju nesukladnosti građevnog proizvoda s tehničkim specifikacijama za taj proizvod i/ili projektom betonske konstrukcije, proizvođač građevnog proizvoda odnosno izvođač betonske konstrukcije mora odmah prekinuti proizvodnju odnosno izradu tog proizvoda i poduzeti mjere radi utvrđivanja i otklanjanja grešaka koje su nesukladnost uzrokovale.</t>
  </si>
  <si>
    <t>Prije početka radova Izvođač mora dostaviti Nadzornom inženjeru na odobrenje rezultate početnih ispitivanja betona, i Projekt tehnologije i izvođenja pojedinih radova koji će sadržavati sastave betona, pripremu (proizvodnju) betona, transport, ugradnju, njegu i kontrolu kvalitete betona .</t>
  </si>
  <si>
    <t>Izvođač je dužan u dogovoru s Nadzornim Inženjerom za svaki betonski pogon postaviti stručnu i odgovornu osobu. Ta osoba je odgovorna za kvalitetu proizvedenog i ugrađenog betona. Nadzornom inženjeru, koji ima pravo tražiti zamjenu odgovorne osobe.</t>
  </si>
  <si>
    <t>Izvještaje o kontroli proizvodnje treba čuvati najmanje 3 godine, ako zakonske obveze ne traže duže razdoblje.</t>
  </si>
  <si>
    <t>Oborinsku i procjednu vodu na temeljnim plohama betoniranja Izvođač je dužan ukloniti na način kako je to propisano tehničkim uvjetima za iskop upotrebom crpki dovoljnog kapacitete, odnosno kako to odredi Nadzornom inženjeru.</t>
  </si>
  <si>
    <t>Kontrolni postupak utvrđivanja tlačne čvrstoće očvrsnulog betona provodi se na uzorcima koji se uzimaju neposredno prije ugradnje betona u betonsku konstrukciju u skladu sa zahtjevima projekta betonske konstrukcije, ali ne manje od jednog uzorka za  istovrsne elemente betonske konstrukcije koji se bez prekida ugrađivanja betona izvedu unutar 24 sata od betona istih iskazanih svojstava i istog proizvođača.</t>
  </si>
  <si>
    <t>Podaci o istovrsnim elementima betonske konstrukcije izvedenim od betona istih iskazanih svojstava i istog proizvođača evidentiraju se uz navođenje podataka iz otpremnice tog betona, a podaci o uzimanju uzoraka betona  evidentiraju  se  uz  obvezno  navođenje  oznake  pojedinačnog elementa betonske konstrukcije i mjesta u elementu betonske konstrukcije  na kojem se beton ugrađivao u trenutku uzimanja uzoraka.</t>
  </si>
  <si>
    <t>Propisane mjere kontrole kvalitete i nadzora osiguravaju da zahtijevana kvalitete bude i dosegnuta tijekom izvođenja.</t>
  </si>
  <si>
    <t>Kontrola kvalitete materijala</t>
  </si>
  <si>
    <t>U slučaju proizvodnje betona na gradilištu Izvođač betonskih radova mora izraditi Priručnik osiguranja kvalitete i kontrole proizvodnje, a odnosi se na osoblje koje upravlja, izvodi i verificira radove, opremu, postupke proizvodnje, sastojke i betona. Priručnikom trebaju biti definirane odgovornosti, nadležna tijela i odnosi osoblja koje upravlja, izvodi i verificira radove. Posebno se mora istaknuti organizacijska sloboda i autoritet osoblja za minimiziranje rizika od nesukladnog betona i za identificiranje i izvještavanje o svakom problemu kvalitete betona.</t>
  </si>
  <si>
    <t>Izvođač je dužan dokumentirati kvalitetu radova, elemenata i objekta statistički obrađenim rezultatima izvršenih ispitivanja i na drugi način, te certifikatima izdanim prema tehničkim propisima i tehničkim uvjetima ovog projekta. Geodetske kontrole i izmjere potrebne za izvođenje betonskih i armirano betonskih radova moraju biti izvedene točno i u svemu suglasno s izvedbenim nacrtima.</t>
  </si>
  <si>
    <t>Prema zahtjevima iz ovog Programa kontrole i osiguranja kvalitete beton se proizvodi kao Projektirani beton (beton sa specificiranim tehničkim svojstvima). Za sastav projektiranog betona odgovoran je proizvođač betona.</t>
  </si>
  <si>
    <t>Ako je količina ugrađenog betona  veća od 100 m3, za svakih slijedećih ugrađenih 100 m3 uzima se po jedan dodatni uzorak betona.</t>
  </si>
  <si>
    <t xml:space="preserve">KONTROLA KVALITETE </t>
  </si>
  <si>
    <t xml:space="preserve">Konzervatorska istraživanja slojeva, žbuke i boje, unutarnjih zidova, prije rušenja i demontaža, radi utvrđivanja izgleda pročelja u raznim povijesnim razdobljima, te radi utvrđivanja stanja obrada i konstrukcija. Prema odredbama nadležnog konzervatorskog zavoda otvoriti konzervatorske sonde na ravnim površinama unutarnjih zidova. Stavka uključuje izradu izvještaja s fotodokumentacijom nakon provedenih konzervatorskih istražnih radova s ucrtanim i opisanim pozicijama sondi. Obračun po broju sondi i kompletu elaborata istražnih radova. </t>
  </si>
  <si>
    <t>Održavanje cjelokupne površine unutar garantnog roka kroz dvije godine dana po završetku građenja, tj. od trenutka tehničkog prijema /ili primopredaje/ na temelju građevinske knjige i građevinskog dnevnika, te pismeno odobrenih promjena. Njega uključuje sve radove i materijale u skladu s pravilima struke-zamjenu posušenog biljnog materijala, dosijavanje travnjaka koji nije izniknuo, kontrolu pojave i suzbijanje bolesti i štetnika, te kontrolu vezova i obnovu po potrebi, odnosno cjelokupno održavanje i njegovanje biljaka tako da one izrastu do potpune gotovosti unutar garantnog roka. Ovaj rad je uključen u cijenu i ne obračunava se posebnom stavkom.</t>
  </si>
  <si>
    <t>Radove treba izvesti točno prema opisu troškovnika, a u stavkama gdje nije objašnjen način rada i posebne osobine finalnog produkta, izvođač je dužan pridržavati se uobičajenog načina rada, uvažavajući odredbe važećih standarda, uz obvezu izvedbe kvalitetnog proizvoda.</t>
  </si>
  <si>
    <t>Osim toga, izvođač je obvezan pridržavati se uputa projektanta/nadzora u svim pitanjima koja se odnose na izbor i obradu materijala i način izvedbe pojedinih detalja, ukoliko to nije već detaljno opisano troškovnikom, a naročito u slučajevima kada se zahtjeva izvedba van propisanih standarda.</t>
  </si>
  <si>
    <t>Sav materijal za izgradnju mora biti kvalitetan i mora odgovarati opisu troškovnika i postojećim građevinskim propisima.</t>
  </si>
  <si>
    <t>U slučaju da opis pojedine stavke nije dovoljno jasan, mjerodavna je samo uputa i tumačenje projektanta/nadzora. O tome se izvođač treba informirati već prilikom sastavljanja jedinične cijene.</t>
  </si>
  <si>
    <t>Cijene pojedinih radova moraju sadržavati sve elemente koji određuju cijenu gotovog proizvoda, a u skladu sa odredbama troškovnika. Ako izvođač sumnja u valjanost ili kvalitetu nekog propisanog materijala i drži da za takvu izvedbu ne bi mogao preuzeti odgovornost, dužan je o tome obavijestiti projektanta s obrazloženjem i dokumentacijom. Konačnu odluku donosi projektant u suglasnosti s nadzornim inženjerom , nakon proučenog prijedloga izvođača.</t>
  </si>
  <si>
    <t>UKUPNO</t>
  </si>
  <si>
    <t>Broj
stavke</t>
  </si>
  <si>
    <t>OPIS STAVKE</t>
  </si>
  <si>
    <t>jed.
mjere</t>
  </si>
  <si>
    <t>količina</t>
  </si>
  <si>
    <t>jedinična
cijena</t>
  </si>
  <si>
    <t>ukupno</t>
  </si>
  <si>
    <t>Jedinična cijena stavke obuhvaća sve elemente koji su opisani u pripadajućoj stavci. U cijenu pojedine stavke je uračunat potreban spojni, montažni i ovjesni materijal potreban za potpunu funkcionalnost sustava.</t>
  </si>
  <si>
    <t>Tehnički uvjeti izvođenja su prikazani u tekstualnom dijelu izvedbenog projekta koji je sastavni dio natječajne dokumentacije.</t>
  </si>
  <si>
    <t>Prije davanja konačne ponude Ponuđač (izvođač radova) je obavezan izvršiti detaljno upoznavanje s kompletnom projektnom dokumentacijom (opći i tehnički uvjeti izvođenja, tehnički opis i nacrtna dokumentacija itd.), te po potrebi zatražiti pojašnjenja prije zaključivanja ponude</t>
  </si>
  <si>
    <t>Izvođač je obvezan imenovati svog ovlaštenog predstavnika – voditelja radova, prije početka radova i o tome pismeno izvjestiti naručitelja.</t>
  </si>
  <si>
    <t>Instalaciju treba izvesti prema nacrtima i tehničkom opisu u projektu, važećim hrvatskim propisima, tehničkim propisima prema kojima je instalacija projektirana i pravilima struke.</t>
  </si>
  <si>
    <t>Sav materijal za izvedbu radova sustava grijanja, hlađenja i ventilacije izvođač je obavezan dobaviti prema specifikaciji materijala u projektnoj dokumentaciji, a u skladu sa važećim zakonskim propisima.</t>
  </si>
  <si>
    <t>Za promjene i odstupanja od izvedbenog projekta mora se pribaviti pismena suglasnost projektanta i nadzornog inženjera.</t>
  </si>
  <si>
    <t>Izvoditelj se obvezuje da će redovito upisivati u građevinski dnevnik sve potrebne podatke, koje je obvezan upisivati i da će osobi ovlaštenoj za vršenja nadzora omogućiti svakodnevno uvid u građevinski dnevnik.</t>
  </si>
  <si>
    <t>Za svu ugrađenu opremu, izvedene radove, obavljena mjerenja i ispitivanja, potrebno je ishoditi ateste, mišljenja i potvrde o kvaliteti, odnosno usklađenosti s hrvatskom zakonskom regulativom i pravilima struke</t>
  </si>
  <si>
    <t>Po završetku ugovorenih radova, a prije početka korištenja odnosno stavljanja instalacije u pogonsko stanje instalaciju treba zapisnički pustiti u rad.</t>
  </si>
  <si>
    <t>Prije stavljanja instalacije u rad treba napraviti obuku krajnjeg korisinika ili ugovoriti održavanje instalacije sa ovlaštenim servisom.</t>
  </si>
  <si>
    <t>NAPOMENE ZA IZVOĐENJE VODOVODA I ODVODNJE</t>
  </si>
  <si>
    <t>Sav materijal i oprema koji će se ugraditi u cijevni sistem moraju biti pogodni i sigurni za uvjete kojima su namijenjeni, te u skladu s važećim standardima odnosno u skladu s priznatim standardima tehnički razvijenih zemalja. Za sve ugrađene materijale izvođač je dužan pribaviti važeće certifikate kao dokaz kvalitete.</t>
  </si>
  <si>
    <t>Za svu opremu koja se ugrađuje, potrebno je pribaviti popratnu dokumentaciju iz koje je vidljivo da tehničke karakteristike kao i kvalitete izrade odgovaraju zahtjevima iz projekta. Izvoditelj radova dužan je izvesti sve radove u skladu sa projektnom dokumentacijom i važećim zakonima i propisima.</t>
  </si>
  <si>
    <t>Pojedine radove smije izvoditi samo izvođač ovlašten za tu vrstu radova. Za svu instaliranu opremu izvođač radova je dužan predati investitoru uputu za montažu, rukovanje i održavanje predmetne opreme. Za dugoročnu garanciju pouzdanosti opreme investitor (korisnik) mora koristiti, kontrolirati i održavati opremu prema uputama proizvođača.</t>
  </si>
  <si>
    <t>Prije pristupanja izvođenju radova izvođač je dužan detaljno proučiti i upoznati se sa projektnom dokumentacijom. Ukoliko uoči nedostatke na istoj koje se odnose na buduće funkcioniranje instalacije, dužan je sa greškom upoznati projektanta u pisanom obliku. Projektant je dužan greške otkloniti ukoliko je to nužno ili u protivnom dati pismeno obrazloženje.</t>
  </si>
  <si>
    <t>Radovi na izgradnji vodovoda i odvodnji mora u potpunosti biti usklađeno s ostalim radovima iz projektne dokumentacije.</t>
  </si>
  <si>
    <t>Vodovodna instalacija se nakon izvršene tlačne probe mora detaljno očistiti i dezinficirati, nakon čega se vrši kontrolna analiza vode. Svi rezultati više spomenutih aktivnosti moraju biti dokumentirani od strane mjerodavnih organizacija.</t>
  </si>
  <si>
    <t>Funkcionalnom probom odvodnje se kontrolira da ima zastoja u otjecanju vode, da li se voda zadržava unutar cijevne instalacije. Funkcionalna proba i proba nepropusnosti mora biti dokumentirana zapisnikom o ispitivanju od strane ovlaštene osobe.</t>
  </si>
  <si>
    <t>U cijenu pojedinih stavaka su ukljućeni svi radovi, alati, materijali, pomoćni i dodatni materijal, transporti, odlaganja prije ugradnje, zaštita materijala i opreme od oštećenja i atmosferilija (kiša, led, smrzavanje, izloženost velikim temperaturama, itd.), kao i ishođenje potrebnih atesta za materijale i usklađenje radova s standardima i normama.</t>
  </si>
  <si>
    <t>Obračun po m3 uklonjenog materijala.</t>
  </si>
  <si>
    <t xml:space="preserve">U jediničnu cijenu uključen sav potreban rad, svi transporti, matrijal, pokretna skela te sve potrebno do pune funkcionalnosti.  </t>
  </si>
  <si>
    <t>Obračun po m3 zida.</t>
  </si>
  <si>
    <t>Obračun prema m3 iskopanog materijala u sraslom stanju.</t>
  </si>
  <si>
    <t xml:space="preserve">Armirati koševima prema statičkom računu i nacrtima armature. </t>
  </si>
  <si>
    <t xml:space="preserve">Dobava materijala i izvedba zaštite hidroizolacije na plohama temelja. </t>
  </si>
  <si>
    <t>Izvoditi u svemu prema uputama proizvođača odabranog  sustava.</t>
  </si>
  <si>
    <t xml:space="preserve">Dobava i ugradnja mase na bazi silana u izbušene rupe u zidu. Injekcijski radovi se trebaju izvoditi pri temperaturama koje ne padaju ispod 0°C najmanje 48 sati nakon aplikacije, kako bi omogućili materijalu da se optimalno razlije. </t>
  </si>
  <si>
    <t>Opći uvjeti</t>
  </si>
  <si>
    <t xml:space="preserve">Sve ugradnje izvesti točno po propisima i na mjestu označenom po projektu i uputi nadzornog inženjera. </t>
  </si>
  <si>
    <t>Kod stavaka gdje je kod ugradnje naznačena i dobava istu treba uključiti u cijenu a također i izvedbu na licu mjesta pojedinih elemenata koji su potrebni za ugradnju osnovnog materijala. Ugradbu treba vršiti tako da se ne čini šteta na ostalom dijelu objekta odnosno tuđim radovima.</t>
  </si>
  <si>
    <t>Sve radove treba izvesti kvalitetno i prema važećim propisima za određenu vrstu rada.</t>
  </si>
  <si>
    <t>Za izvedbu stavaka važe opći uvjeti za bravarske, stolarske, staklorezačke, soboslikarsko ličilačke i izolaterske radove.</t>
  </si>
  <si>
    <t>Jedinična cijena sadrži:</t>
  </si>
  <si>
    <t>* sav rad i transport</t>
  </si>
  <si>
    <t>* sav materijal, kako osnovni tako I pomoæni</t>
  </si>
  <si>
    <t>* pomagala pri radu ( skela , osim fasadne skele )</t>
  </si>
  <si>
    <t>* izrada eventualnih uzoraka ukoliko se to u pojedinoj stavci traži</t>
  </si>
  <si>
    <t>* nadoknada eventualnih oštećenja drugim učesnicima u izgradnji,</t>
  </si>
  <si>
    <t>* čišćenje nakon izvedenog rada</t>
  </si>
  <si>
    <t>* atesti materijala</t>
  </si>
  <si>
    <t>* izmjere na licu mjesta</t>
  </si>
  <si>
    <t>* razradu detalja te predočenje uzoraka i detalja projektantu i investitoru</t>
  </si>
  <si>
    <t>* zaštitu bravarskih elemenata antikorozijskim naličem</t>
  </si>
  <si>
    <t>OPĆE NAPOMENE ZA ELEKTROINSTALATERSKE RADOVE</t>
  </si>
  <si>
    <t>U cijeni pojedine stavke treba obuhvatiti:</t>
  </si>
  <si>
    <t>Zidarsko krpanje šliceva instalacija, uključivo rabiciranje. Šliceve je potrebno pokrpati produžnom žbukom i površinu poravnati i pripremiti za ličenje, odnosno postavu zidne keramike</t>
  </si>
  <si>
    <t>sav potreban rad</t>
  </si>
  <si>
    <t>sva potrebna silikoniziranja i kitanja su uključena u cijenu stavke</t>
  </si>
  <si>
    <t>sve potrebne radne skele i osiguranja prema pravilima zaštite na radu</t>
  </si>
  <si>
    <t>sve transporte i prijenose na gradilištu, sve utovare, istovare i transporte do odlagališta</t>
  </si>
  <si>
    <t>sve transporte i prijenose na gradilištu, sve utovare, istovare i transporte materijala i opreme na mjesto koje odredi investitor radi eventualne ponovne upotrebe</t>
  </si>
  <si>
    <t>sve troškove oko zbrinjavanja građevinskog otpada prema važećim zakonima i pravilnicima</t>
  </si>
  <si>
    <t>sva potrebna uskladištenja i zaštite</t>
  </si>
  <si>
    <t>sve pripremne i međufaze rada potrebne za korektno dovršenje stavke prema pravilima struke i važećim propisima bez obzira da li je to napomenuto u pojedinoj stavci</t>
  </si>
  <si>
    <t>razradu detalja u fazi izvođenja</t>
  </si>
  <si>
    <t>uredno izvedene međusobne spojeve pojedinih stavaka te izvedba u skladu s izvedbenim nacrtima, detaljnim izmjerama na licu mjesta i dodatnoj uputi projektanta</t>
  </si>
  <si>
    <t>dnevna čišćenja</t>
  </si>
  <si>
    <t>čišćenja po završenom radu</t>
  </si>
  <si>
    <t xml:space="preserve">Izvoditelj je dužan izraditi projekt organizacije gradilišta i urediti gradilište najmanje u skladu s uvjetima propisanim Zakonom o gradnji (NN 153/13, 20/17, 39/19, 125/19), te u skladu sa ostalim važećim propisima i pravilnicima i uskladiti ga sa mogućnostima na građ. čestici, te ishoditi sve suglasnosti vezano za promet i komunalnu infrastrukturu.
</t>
  </si>
  <si>
    <t>RADOVI NA ALUMINIJSKOJ BRAVARIJI</t>
  </si>
  <si>
    <t>Svi radovi moraju se izvoditi prema podacima iz projektne dokumentacije i u skladu s važećim propisima i standardima. Zbog toga se potrebno pridržavati općih uvjeta staklarskih radova (pri izradi izo-stakla i staklenih elemenata), kao i točnih uputa za ugradnju profila, koje izdaje proizvođač konstrukcije.</t>
  </si>
  <si>
    <t>Tehnički propis za prozore i vrata - NN 69/2006.</t>
  </si>
  <si>
    <t>Tehnički propis za staklene konstrukcije (NN 53/2017)</t>
  </si>
  <si>
    <t>Tehnički propis za aluminijske konstrukcije (NN 80/2013)</t>
  </si>
  <si>
    <t>Tehnički propis o racionalnoj uporabi energije i toplinskoj zaštiti u zgradama (NN 128/2015)</t>
  </si>
  <si>
    <t>proizvodi za izradu konstrukcija u graditeljstvu</t>
  </si>
  <si>
    <t>aluminij i aluminijske legure - limovi, trake i ploče</t>
  </si>
  <si>
    <t>metalni profili s prekinutim toplinskim mostom</t>
  </si>
  <si>
    <t>ZAJEDNIČKE ZNAČAJKE SUSTAVA:</t>
  </si>
  <si>
    <r>
      <t>Prolaz topline za sve otvore Uw</t>
    </r>
    <r>
      <rPr>
        <sz val="12"/>
        <rFont val="Calibri"/>
        <family val="2"/>
        <charset val="238"/>
      </rPr>
      <t>≤</t>
    </r>
    <r>
      <rPr>
        <sz val="12"/>
        <rFont val="Arial Narrow"/>
        <family val="2"/>
        <charset val="238"/>
      </rPr>
      <t>0,85 W/m²K.</t>
    </r>
  </si>
  <si>
    <t>Prozori i vrata s prekinutim toplinskim mostom:</t>
  </si>
  <si>
    <t>Radi pravilne drenaže doprozornici i T-profili imaju drenažni dio profila niži od unutarnjeg dijela profila za 8,5 mm.</t>
  </si>
  <si>
    <t>Toplinska svojstva profila:                                                                 Uf=1,2 W/m²K; u ovisnosti od odabrane kombinacije doprozornik/krilo.</t>
  </si>
  <si>
    <t>Fasadne stijene:</t>
  </si>
  <si>
    <r>
      <t>Toplinska svojstva profila:                                                                 do Uf=0,56 W/m²K, Ucw</t>
    </r>
    <r>
      <rPr>
        <sz val="12"/>
        <rFont val="Calibri"/>
        <family val="2"/>
        <charset val="238"/>
      </rPr>
      <t>≤</t>
    </r>
    <r>
      <rPr>
        <sz val="12"/>
        <rFont val="Arial Narrow"/>
        <family val="2"/>
        <charset val="238"/>
      </rPr>
      <t xml:space="preserve">0,9 - 1,15 W/m²K sa staklom Ug=0,7 W/m²K </t>
    </r>
  </si>
  <si>
    <t>Debljina ispune polja:                                                                                          od 6 do 61 mm</t>
  </si>
  <si>
    <t>NAPOMENA:</t>
  </si>
  <si>
    <t>Ako se u ponudi pojave nejasnoće, mora se poštivati slijedeći redoslijed:</t>
  </si>
  <si>
    <t>1. Popis radova</t>
  </si>
  <si>
    <t>2. Tehnički opis</t>
  </si>
  <si>
    <t>3. Tehnička dokumentacija</t>
  </si>
  <si>
    <t>Nejasnoće se moraju uskladiti s projektantom prije predaje ponude.</t>
  </si>
  <si>
    <t>U popisu radova, potrebno je provjeriti da li su sve pozicije potpune, prema pravilima struke i da li su točno predviđene za opisanu namjenu. Eventualne izmjene i dopune pozicija moraju se ovjeriti od strane naručitelja i investitora.</t>
  </si>
  <si>
    <t>FORME I OBLICI</t>
  </si>
  <si>
    <t>Dokumentacija, predviđena za aluminijske konstrukcije na objektu, je obvezna prvenstveno zbog vizualno-arhitektonskog izgleda objekta, kao i razrade obrtničkog detalja, odnosno metodologije pričvršćenja pojedinih elemenata na ab konstrukciju.</t>
  </si>
  <si>
    <t>DIMENZIJE ELEMENATA</t>
  </si>
  <si>
    <t>Dimenzije, navedene u popisu radova, su građevinske (ugradbene) dimenzije. Promjene dimenzija navedenih metalnih konstrukcija do +/- 50 mm od ukupne dimenzije ne utječu na promjene jedinične cijene. Veća odstupanja obračunaju se prema ukupnim površinskim dimenzijama.</t>
  </si>
  <si>
    <t>Točne mjere uzima izvođač na licu mjesta. Ako je potrebno pristupiti izradi elemenata i pripremi za montažu prije mogućnosti uzimanja mjera na gradilištu, potreban je pismeni dogovor s investitorom.</t>
  </si>
  <si>
    <t>PREVENTIVNI UVJETI INVESTITORA</t>
  </si>
  <si>
    <t xml:space="preserve">Dodatni ugovori o standardima i propisma u vezi s požarnim uvjetima, radnim uvjetima, namjeni prostora, skladišnim površinama, režijskim stavkama, montažnim skelama, priključku struje, vode i sanitarijama, čišćenjem gradilišta, zaštiti ugrađenih elemenata od oštećenja, vremenskim rokovima, itd., se moraju pismeno potvrditi. </t>
  </si>
  <si>
    <t>PODACI O PROFILACIJSKOM SISTEMU</t>
  </si>
  <si>
    <t>Poštivati se moraju podaci o formalnim mjerama profilacije (dubina i pogledna širina) i tipovima konstrukcije na pojedinim pozicijama. U ponudi je ako je to navedeno, moguće nuditi alternative. Jednakovrijednost s navedenim konstruktivnim sistemom mora biti dokazana atestima, detaljnom dokumentacijom i primjerima s izradom uzoraka.</t>
  </si>
  <si>
    <t>Ponuđeni profilacijski sistem mora odgovarati propisima i uputama o izradi, koje izdaje proizvođač profilacijskog sistema.</t>
  </si>
  <si>
    <t>SPOJEVI I PRIČVRSNA SREDSTVA</t>
  </si>
  <si>
    <t>Svi spojevi i pričvrsna sredstva moraju biti konstruirani tako, da su tolerancije usklađene s građevinskom konstrukcijom.</t>
  </si>
  <si>
    <t>Spojni elementi, kao vijci, zakovice, matice itd. moraju biti na spojevima s aluminijem od nehrđajučeg čelika (najmanje kvalitete A4 s reduciranom količinom Cu). Za sve ostale spojeve i male dijelove od čelika mora se upotrijebiti vruće cinčani materijal. Svi vijčani spojevi moraju biti osigurani od nepredviđenog popuštanja.</t>
  </si>
  <si>
    <t>Za sprečavanje lokalne korozije na spojevima između dva različita metala mora se postaviti distancer od neutralnog materijala (iznimka su suha područja, ukoliko je upotrijebljen nehrđajuči čelik).</t>
  </si>
  <si>
    <t>SPOJEVI PROFILA</t>
  </si>
  <si>
    <t>Za lijepljenje se mora upotrijebiti dvokomponentno ljepilo za metale. Spojevi moraju ispunjavati zahtjeve o trajnoj čvrstoći i krutosti duž cijelog presjeka profila.</t>
  </si>
  <si>
    <t>BRTVENI PROFILI</t>
  </si>
  <si>
    <t>Materijal za brtvene profile: APTK, međunarodno EPDM = Etilen-Propilen-Terpolimer, sukladno TV 110.</t>
  </si>
  <si>
    <t>Upotrijebiti se moraju originalna sistemska brtvila. Brtve moraju biti lako zamjenjive, uglovni spojevi brtvi moraju biti vulkanizirani.</t>
  </si>
  <si>
    <t>OKOVI</t>
  </si>
  <si>
    <t>Upotrijebiti samo kvalitetne originalne sistemske okove. Konstrukcija okova ne smije biti vidljiva izvana, već svi elementi moraju biti montiranu u konstrukciju, osim ako je u popisu radova drugačije predviđeno. Unutarnji dijelovi za upravljanje mehanizmom moraju biti izvedene iz anodiziranog aluminija.</t>
  </si>
  <si>
    <t>Pojedini dijelovi okova moraju se dimenzionirati ovisno o predviđenim opterečenjima. Unutarnji dijelovi moraju biti vijcima pričvršćeni na profilaciju.</t>
  </si>
  <si>
    <t>Završna obrada okova prema izboru projektanta i naručitelja.</t>
  </si>
  <si>
    <t>GRAĐEVINSKO-FIZIKALNI UVJETI</t>
  </si>
  <si>
    <t>DILATACIJE</t>
  </si>
  <si>
    <t xml:space="preserve">U području konstrukcijski planiranih fuga, mora se voditi računa o nesmetanim pomacima aluminijske konstrukcije, da pri tome ne bi došlo do stvaranja zvuka. </t>
  </si>
  <si>
    <t>BRTVLJENJE PRIKLJUČKA NA GRAĐEVINSKU KONSTRUKCIJU</t>
  </si>
  <si>
    <t>Ispuna između slijepih okvira i građevinske konstrukcije, kako i između aluminijskih okvira i slijepih okvira, mora ispunjavati građevinsko-fizikalne zahtjeve.</t>
  </si>
  <si>
    <t>Pri odabiru ispune (brtvenog materijal) potrebno je pridržavati se zahtjeva o izolacijskoj zaštiti, zaštiti od vlage, zaštiti od kiše, protupožarnoj zaštiti i dilatacijama. Ukoliko je brtvljenje sa građevinskom konstrukcijom izvedena elastičnim materijalima, moraju biti poštivane sve upute proizvođača. Izvedba brtve mora se obavljati samo pri za to predviđenim vremenskim uvjetima ovisno o odabiru materijala. Pri odabiru širine fuge potrebno je pridržavati se dopuštenih ekstremnih deformacija brtvenog materijala.</t>
  </si>
  <si>
    <t>IZOLACIJSKI MATERIJALI</t>
  </si>
  <si>
    <t>Dozvoljena je upotreba samo negorivih izolacijskih materijala, koji su otporni na vremenske uvjete, temperaturne oscilacije, vlagu i plijesan. Za učinkovitu zaštitu mora biti spriječen prodor vlage u izolaciju.</t>
  </si>
  <si>
    <t>Prostor između slijepih okvira i građevinske konstrukcije mora biti zapunjen izolacijskim materijalima, koji su otporni na habanje.</t>
  </si>
  <si>
    <t>S unutarnje strana fasade potrebno je na mjestima  priključaka osigurati paronepropusnost te sa vanjske strane vodonepropusnost. Posebno treba obratiti pažnju na područje u nivou prizemlja na način da Izvoditelj nadzornom inženjeru dostavi potvrdu proizvođača o izdržljivosti folije,a sve prije ugradnje. Na području pragova potrebno je postaviti pocinčanu traku preko folije, koja omogućuje rad,da ne bi došlo do pucanja pri temperaturnim promjenama.</t>
  </si>
  <si>
    <t>ZAŠTITA OD BUKE</t>
  </si>
  <si>
    <t>Spojevi među ugrađenim elementom i građevinskom konstrukcijom moraju biti zvučno izolirani prema zahtjevima u popisu radova.</t>
  </si>
  <si>
    <t>MONTAŽA I IZVEDBA</t>
  </si>
  <si>
    <t>IZVEDBENA DOKUMENTACIJA</t>
  </si>
  <si>
    <t>Pri oblikovanju cijene mora se poštovati projektiranje i predaja izvedbenih detalja u dvije kopije. Izvoditelj je obvezan predati projektantu uzorke aluminijskih profila na uvid i odobrenje.</t>
  </si>
  <si>
    <t>Na zahtjev se moraju predati ovjereni statički proračuni.</t>
  </si>
  <si>
    <t>Ovjere arhitekta (naručitelja) se odnose samo na usklađenost svih elemenata sa predloženim arhitektonskim zahtjevima. Odgovornost za tehničku pravilnost, čvrstoću, brtve itd. pak nakon odobrenja izvedbenih detalja, u cjelosti preuzima izvođač radova.</t>
  </si>
  <si>
    <t>ODOBRENJE PROIZVODNJE ELEMENATA</t>
  </si>
  <si>
    <t>Kod posebnih konstrukcija moguće je odobrenje proizvodnje (ako je zahtijevano) samo nakon što su izvršena propisana testiranja i po priloženom dokazu o kvaliteti materijala.</t>
  </si>
  <si>
    <t>IZRADA</t>
  </si>
  <si>
    <t>Rezanje aluminijskih profila mora biti izvedeno tako da je zadovljena točnost kutova nakon sastavljanja. Pri strojnoj obradi, moraju se pažljivo pobrusiti rubovi narezanih profila. Profile, kod kojih dođe do deformacija uslijed unutarnjih naprezanja, nije dozvoljeno upotrebljavati pri izradi elemenata.</t>
  </si>
  <si>
    <t>Pri izradi se osobito moraju poštivati:</t>
  </si>
  <si>
    <t>točnost i urednost kutnih i drugih spojeva</t>
  </si>
  <si>
    <t xml:space="preserve">mjere komora između okvira štoka i krila moraju poštivati dozv. tolerancije </t>
  </si>
  <si>
    <t>točnost mjera pri ugradnji i precizno lijepljenje brtvi, uglova brtvi i spojnih brtvi</t>
  </si>
  <si>
    <t>profili se spajaju u konstruktivne cjeline spojnim sredstvima koja moraju odgovarati važećim standardima, moraju biti pravilno dimenzionirana i ugrađena te dodatnim lijepljenjem dvokomponentnim ljepilom za metal. Spojna sredstva izrađena su do aluminijskih legura, nehrđajućeg čelika i tvrde plastike.</t>
  </si>
  <si>
    <t>upotrijebiti profile kod kojih je unutrašnji i vanjski dio profila spojen brtvama i umecima od sintetičkog materijala, tako da brtve obrazuju, za zrak i vodu, nepropusne izolacijske komore koje prekidaju termički tok kroz profil (profil s prekidom termičkog mosta). U profil moraju biti ugrađene trajno elastične sintetičke brtve koje onemogućavaju prodor vode i zraka na spoju fiksnih i pokretnih djelovakonstrukcije.Na uglovima konstrukcije ove brtve moraju imati vulkanizirane uglove, a ravni dijelovi brtve moraju biti zalijepljeni na kutne brtve.  Brtve istih karakteristika ugrađuju se i na vanjskom i na unutarnjem spoju ostakljenja s osnovnom konstrukcijom profila.</t>
  </si>
  <si>
    <t>SLIJEPI OKVIRI</t>
  </si>
  <si>
    <t>Sidrenje slijepih okvira mora biti izvedeno tako, da se opterećenja prenose na građevinsku konstrukciju, a posebno sile prouzročene pantovima, ležajevima, prečkama i stupovima. Pomaci građevinske konstrukcije se ne smiju prenositi na slijepe okvire. Maksimalna udaljenost između sidrenih mjesta iznosi 800 mm. Maksimalna udaljenost od vanjskih uglova iznosi 150 do 200 mm.</t>
  </si>
  <si>
    <t>Slijepi okviri moraju biti izvedeni i montirani tako, da ih nakon montaže radnici ne mogu oštetiti. To ne vrijedi za opterećenja nastala uslijed prometa na gradilištu.</t>
  </si>
  <si>
    <t>Montaža slijepih okvira mora u svakom katu biti posebno izvedena po prethodno uzetim mjerama na licu mjesta. Mjere mora uzimati izvođač radova.</t>
  </si>
  <si>
    <t>Građevinsko-fizikalni konstrukcijski zahtjevi moraju također biti ispunjeni i u primjeru slijepih okvira. To uključuje izvedbu toplinske izolacije, hidroizolacije, zvučne izolacije i parne brane.</t>
  </si>
  <si>
    <t>PROFILI</t>
  </si>
  <si>
    <t>Raspored, dimenzije prozora te način otvaranja vidljiv je iz arhitektonskih nacrta i shema.</t>
  </si>
  <si>
    <t>Priključci na građevinsku konstrukciju moraju biti izvedeni od najmanje 2 mm debele ALU pločevine. Pločevina mora biti mehanički obrađena prije završne površinske obrade.</t>
  </si>
  <si>
    <t>OKOV</t>
  </si>
  <si>
    <t>Okov mora odgovarati važećim propisima i zahtjevima iz opisa stavke, odnosno po mogućnosti iz sistemske palete preoizvođača profila. Okov je jednoručni i ugrađen je u profile tako da su vidljive samo šarke, kvake, ventus mehanizmi otklopnog otvaranja i rozete za pokrivanje brava. U svim slučajevima ugradnje pokušati izbjeći ugradnju ventus mehanizma sa kurblom, bila ona izvedena od aluminija, sistema sajli ili tekstilnih PF niti. Tip kvaka i rozeta prema izboru (nije dopustiv plastični okov) naručitelja. Za prihvat vratnih krila na konstrukciju koriste se minimalno tri petlje za okov po krilu.   Radi lakšeg održavanja i zamjene okova profili moraju imati euro-žlijeb.</t>
  </si>
  <si>
    <t>Okov za otvarajuća ostakljena polja treba postaviti bez mehaničke obrade da bi se omogućilo serviserima brzo podešavanje. Mehanizam za otklopno-zaokretno otvaranje mora izdržati opterećenje od najmanje 130kg, te biti opremljen sigurnosnim sustavom protiv podizanja krila i protiv djelovanja vjetra, kako bi se spriječilo samozatvaranja krila u depresiji. Sustav mora također spriječiti otvaranja krila preko 90º. Panti trebaju biti izrađene od ekstrudiranog aluminija (lijevani nisu dopušteni), osovine i vijci moraju biti od nehrđajućeg čelika, a ležišta od sintetskog materijala ojačanog protiv trenja. Otklopno otvarajuća krila moraju biti opremljena mehanizmom ( škare ) od nehrđajućeg čelika koji omogućuje otvaranja između 20º i 45º stupnjeva, te moraju izdržati težinu do najmanje 180 kg.</t>
  </si>
  <si>
    <t>POSTIZANJE KVALITETE</t>
  </si>
  <si>
    <t>Izvođač radova odgovara za kvalitetu proizvodnje i izradu konstrukcije elemenata prema pravilima struke.</t>
  </si>
  <si>
    <t>Za postizanje kvalitete se moraju poštivati pismene upute o izradi i montaži, koje izdaje proizvođač aluminijskih sistema. Na zahtjev se moraju priložiti investitoru.</t>
  </si>
  <si>
    <t>POTVRDE I ATESTI</t>
  </si>
  <si>
    <t>Na zahtjev, moraju se građevinsko-fizikalne karakteristike upotrijebljenih aluminijskih sistema dokazati potvrdom odgovornih institucija.</t>
  </si>
  <si>
    <t>Računski dokazi moraju biti provjereni od strane ovlaštenog inženjera za visoke gradnje ili graditeljstvo.</t>
  </si>
  <si>
    <t>Podatke o zadovoljavanju dopuštenih progiba nosivih profila se moraju na zahtjev priložiti u provjerljivom obliku.</t>
  </si>
  <si>
    <t>ZAVRŠNO ČIŠĆENJE ELEMENATA</t>
  </si>
  <si>
    <t>Čišćenje fasade iz razloga koji nisu neposredno povezani s izvođačem radova, odnosno montažom, obračunavaju se posebno, a plačanje se izračunava paušalno, prema stvarno utrošenom vremenu i materijalu (evidentirano upisom u građevnu knjigu i ovjereno od strane nadzornog inžinjera).</t>
  </si>
  <si>
    <t>STAKLARSKI RADOVI</t>
  </si>
  <si>
    <t>Prilikom  izvedbe staklorezačkih radova imaju se u potpunosti primjenjivati postojeći propisi:</t>
  </si>
  <si>
    <t>Pravilnik o tehničkim mjerama i uvjetima za završne radove u građevinarstvu</t>
  </si>
  <si>
    <t>Pravilnik o zaštiti na radu u građevinarstvu</t>
  </si>
  <si>
    <t>Tehnički uvjeti za izvođenje staklorezačkih radova</t>
  </si>
  <si>
    <t>Prije početka ostakljenja mora stolarija, bravarija ili ostali dijelovi koji se zastakljuju biti ugrađena a pokretna krila moraju biti postavljena na mjesto i propisno okovana. Svi dijelovi koji se ostakljuju moraju biti sposobni za ostakljivanje i svi žljebovi očišćeni od morta, betona i drugih otpadaka. Svi staklarski radovi izvode se u prozorska ili vratna krila, kao i u ostakljene stijene, ograde stubišta i sl., tako da staklo leži u čistom utoru okvira slobodno, a ne da dodiruje okvir.</t>
  </si>
  <si>
    <t>Kompletno staklo koje se ugrađuje u aluminijske ili željezne elemente mora odgovarati važećim standardima, tehničkim propisima i statici za što izvoditelj mora priložiti statički izračun na zahtjev naručitelja.</t>
  </si>
  <si>
    <t>Kvaliteta stakla koja se ugrađuje određuje se na temelju vrste stakla, veličine stakla i pogrešaka nastalih u njemu prilikom proizvodnje. Treba uopće ne ugrađivati staklo bilo koje vrste sa pogreškama.</t>
  </si>
  <si>
    <t>Gotova izrađena prozorska i vratna krila, pregradne stijene, ograde i sl. ustakljuju se prema troškovniku određenim staklom, za svaku pojedinu stavku.</t>
  </si>
  <si>
    <t>Ostakljenje se provodi zasebno za prozorske, odnosno vratne stavke, staklom:</t>
  </si>
  <si>
    <t>ISPUNE:</t>
  </si>
  <si>
    <t>Trostruko  IZO Low-e staklo, Ug sukladno građevnoj fizici, sastav i debljine stakla sukladno Tehničkom propisu za staklene konstrukcije. Statičku stabilnost dokazuje izvođač</t>
  </si>
  <si>
    <t>Toplinski izolirani panel koji se sastoji od dvije ploče aluminijskog lima debljine 2 mm, površinski obrađene prema izboru projektanta, između kojih se nalazi toplinska izolacija.</t>
  </si>
  <si>
    <t>Na sanitarijama stakla su u neprozirnoj izvedbi (satinirano, miliječno, ornament) prema odabiru projektanta.</t>
  </si>
  <si>
    <t>Boja i refleksija stakla prema odabiru naručitelja.</t>
  </si>
  <si>
    <t>Izvoditelj radova dokazuje da debljine i sastav stakla odgovaraju dimenzijama otvora i očekivanom opterećenju.</t>
  </si>
  <si>
    <t>Staklar je dužan svaki otvor na prozorskom krilu, na vratima, stijeni, ogradi  i sl. izmjerom kontrolirati, pa tek nakon toga izvršiti ostakljenje onom vrstom i debljinom stakla kako je u opisu troškovnika navedeno.</t>
  </si>
  <si>
    <t>Staklo mora biti postavljeno na plastične podmetače koji moraju osigurati nosivost staklenih ploča i moraju biti njima prikladne, po dimenzijama, udaljenosti i broju komada. Brtvljenja oko staklenih ploča (i iznutra i izvana) moraju biti izvedena s odgovarajućim (EPDM) brtvama.</t>
  </si>
  <si>
    <t>Za sve radove predviđene troškovnikom izvoditelj je dužan pribaviti ateste od odgovarajućih instituta, za kvalitetu materijala, površinske obrade, ispravnost po izvoditelju predloženih detalja kao i antikorozivne zaštite.</t>
  </si>
  <si>
    <t>Nadzorni inženjer upisom u dnevnik dozvoljava  početak radova.</t>
  </si>
  <si>
    <t>OPŠAVNI LIMOVI</t>
  </si>
  <si>
    <t>Svi završni spojevi s objektom moraju biti izvedeni kontinuirano al.limom debljine min.2 mm, iste završne površinske obrade kao i sama stavka, uz kompletni vanjski rub stavke (vanjska špaleta i vanjska klupčica uz vratni/prozorski otvor), u svemu prema detaljnim shemama i nacrtima alu bravarije.</t>
  </si>
  <si>
    <t>OSTALA OPREMA</t>
  </si>
  <si>
    <t>Jediničnim cijenama također obuhvatiti i svu prateću završnu opremu, koja mora biti usklađena sa programom opreme proizvođača profila, ukoliko unutar troškovničkih stavaka nije specificirano drugačije.</t>
  </si>
  <si>
    <t>Pod pojmom dodatne opreme obuhvaćen je protuprovalni okov vanjskih roleti, sjenila za zaštitu od direktnog udara sunčane svjetlosti (screen), termički izolirana kutija za rolete, dodatne vodilice i prostor za komarnik (mrežu protiv ulaska insekata i komaraca), odnosno priprema za elektropogon i daljinsku kontrolu podizanja i spuštanja roleti, kao i zidni i podni stoperi za stavke, na svim mjestima definiranim projektom.</t>
  </si>
  <si>
    <t>Ukoliko je stavkom izričito deklariran tip dodatne opreme ili ukoliko se pojedini od elemenata ne izvodi (primjerice elektro pogon za rolete, daljinsko upravljanje istog, zaštita od sunca i sl.) isto mora biti specificirano unutar opisa same stavke. U protivnom se davanjem ponude izvoditelj obvezuje izvesti sve elemente, kako je definirano općim uvjetima za ovu grupu radova.</t>
  </si>
  <si>
    <t>JEDINIČNA CIJENA ELEMENATA I OPREME</t>
  </si>
  <si>
    <t>Jediničnim cijenom svih aluminijskih stavaka moraju biti obuhvaćeni sljedeći elementi:</t>
  </si>
  <si>
    <t>sav materijal, sav vanjski i unutrašnji transport do mjesta ugradbe, sav potreban okov (petlje, brave s ključem, zaustavnici, odbojnici, rubne letvice), kao i dobavu, izradu i dopremu alata i mehanizacije, kao i njeno uskladištenje</t>
  </si>
  <si>
    <t>uzimanje potrebnih izmjera na objektu,</t>
  </si>
  <si>
    <t>izrada radioničkih nacrta i detalja,</t>
  </si>
  <si>
    <t>troškove radne snage za kompletan rad opisan u troškovniku i općim uvjetima,</t>
  </si>
  <si>
    <t>sve horizontalne i vertikalne transporte do mjesta montaže,</t>
  </si>
  <si>
    <t>potrebnu radnu skelu,</t>
  </si>
  <si>
    <r>
      <t xml:space="preserve">čišćenje nakon završetka radova, </t>
    </r>
    <r>
      <rPr>
        <u/>
        <sz val="12"/>
        <rFont val="Arial Narrow"/>
        <family val="2"/>
        <charset val="238"/>
      </rPr>
      <t>uključivo odvoz otpadnog materijala na gradsku deponiju,</t>
    </r>
    <r>
      <rPr>
        <sz val="12"/>
        <rFont val="Arial Narrow"/>
        <family val="2"/>
        <charset val="238"/>
      </rPr>
      <t xml:space="preserve"> uključivo i plaćanje svih pratećih naknada i pristojbi</t>
    </r>
  </si>
  <si>
    <t>svu štetu kao i troškove popravka kao posljedica nepažnje u toku izvedbe,</t>
  </si>
  <si>
    <t>troškove zaštite na radu,</t>
  </si>
  <si>
    <t>troškove atesta i po potrebi specijalnih ispitivanja na buku i zrakopropusnost, ukoliko se radi o sistemima dvostrukih fasada</t>
  </si>
  <si>
    <t xml:space="preserve">Izvođač je dužan izraditi radioničku dokumentaciju i istu dostaviti projektantu na ovjeru.  </t>
  </si>
  <si>
    <t xml:space="preserve">U cijenama stavke uračunat je okov, sav rad, materijal, transport.  </t>
  </si>
  <si>
    <t xml:space="preserve">Vanjske reške vanjske bravarije zapuniti trajnoelastičnim kitom otpornim na atmosferilije u boji po izboru investitora. ČE-profili u tonu i boji po izboru investitora. </t>
  </si>
  <si>
    <t>Bravarski radovi moraju se izvesti solidno i stručno prema važećim propisima i pravilima dobrog zanata.</t>
  </si>
  <si>
    <t>Ovi opći uvjeti mijenjaju se ili nadopunjuju opisom pojedine stavke troškovnika.</t>
  </si>
  <si>
    <t>Zaštita od buke za sve ponuđene stavke bravarije sukladno Zakonu o zaštiti od buke te izmjenama i dopunama Zakona o zaštiti od buke.
Dostava izvješća o ispitivanjima za ponuđene elemente.
Statika elemenata - Otpornost na vjetar i udare kiše u skladu s pravilima struke i vjetrovnim zonama – sve uključeno u cijenu stolarije.</t>
  </si>
  <si>
    <t>Spoj stolarije na parapet sa podštokom – uključeno u cijenu bravarije.</t>
  </si>
  <si>
    <t>Fiksiranje svih profila i sva ostala potrebna učvršćenja izvedena inox vijcima. Inox treba biti u brušenoj izvedbi.</t>
  </si>
  <si>
    <t>Radioničke nacrte dostaviti na ovjeru projektantu.</t>
  </si>
  <si>
    <t>XPS</t>
  </si>
  <si>
    <t>PE folija</t>
  </si>
  <si>
    <t>Oblaganje ker. pločicama i kiselo-otporna zaštita HRN B.F2.018 ili jednakovrijedno</t>
  </si>
  <si>
    <t xml:space="preserve"> glazirane zidne pločice HRN B.D1.301 ili jednakovrijedno</t>
  </si>
  <si>
    <t xml:space="preserve"> glazirane podne pločice HRN B.D1.305, 306 ili jednakovrijedno</t>
  </si>
  <si>
    <t>neglazirane pločice HRN B.D1.310 ili jednokovrijedno</t>
  </si>
  <si>
    <t>neglazirane podne pločice HRN B.D1.320 ili jednakovrijedno</t>
  </si>
  <si>
    <t>neglazirane klinker pločice HRN B.D1.321 ili jednakovrijedno</t>
  </si>
  <si>
    <t>neglazirani fazonski komadi HRN B.D1.322 ili jednakovrijedno</t>
  </si>
  <si>
    <t>pročelne neglazirane pločice HRN B.D1.330 ili jednakovrijedno</t>
  </si>
  <si>
    <t>fasadne pločice HRN B.D1.334, 335 ili jednakovrijedno</t>
  </si>
  <si>
    <t>neglazirane fasadne pločice HRN B.D1.325 ili jednakovrijedno</t>
  </si>
  <si>
    <t>keramičke pločice - određivanje prema temperaturnim promjenama HRN B.D8.050, 060 ili jednakovrijedno</t>
  </si>
  <si>
    <t>keramičke pločice - određivanje otpornosti ker. neglaz. pločica HRN B.D8.070 ili jednakovrijedno</t>
  </si>
  <si>
    <t>keramičke pločice - određivanje otpornosti prema alkalijama HRN B.D8.080 ili jednakovrijedno</t>
  </si>
  <si>
    <t>keramičke pločice - određivanje otpornosti prema kemikalijama HRN B.D8.090, 099 ili jednakovrijedno</t>
  </si>
  <si>
    <t>ispitivanje otpornosti glazure HRN B.D8.450, 460 ili jednakovrijedno</t>
  </si>
  <si>
    <t>ispitivanje otpornosti na mraz HRN B.D8.001 ili jednakovrijedno</t>
  </si>
  <si>
    <t>ispitivanje težine, upijanje vode i poroznost HRN N.D8.302 ili jednakovrijedno</t>
  </si>
  <si>
    <t>ispitivanje na savijamje HRN B.D9.307 ili jednakovrijedno</t>
  </si>
  <si>
    <t>kiselo-otporne pločice HRN P.D3.460 ili jednakovrijedno</t>
  </si>
  <si>
    <t>Ukoliko za određene pločice ne postoji standard ili se radi o pločicama iz uvoza, moraju se iz predloženih atesta utvrditi karakteristike propisane u tehničkim uvjetima za izvođenje keramičkih radova HRN U.F2.011. ili jednakovrijedno</t>
  </si>
  <si>
    <t>HRN EN 1344:2004 – Glineni elementi za popločivanje -- Zahtjevi i ispitne metode (EN 1344:2002) ili jednakovrijedno
HRN EN 12057:2005 – Proizvodi od prirodnog kamena -- Modularne ploče -- Zahtjevi (EN 12057:2004) ili jednakovrijedno
HRN EN 12058:2005 – Proizvodi od prirodnog kamena -- Ploče za podove i stube -- Zahtjevi (EN 12058:2004) ili jednakovrijedno</t>
  </si>
  <si>
    <t xml:space="preserve">HRN EN 13454-1:2006 – Veziva, sastavljena veziva i tvornički pripremljene mješavine za in situ podove (estrihe) na osnovi kalcijevog sulfata -- 1.dio: Definicije i zahtjevi (EN 13454-1:2004) ili jednakovrijedno
HRN EN 13813:2003 – Materijal za in situ podove (estrihe) i in situ podovi (estrisi) -- Materijal za in situ podove (estrihe) -- Svojstva i zahtjevi (EN 13813:2002) ili jednakovrijedno
HRN EN 14016-1:2008 – Veziva za magnezitne estrihe -- Kaustični magnezij i magnezijev klorid -- 1. dio: Definicije i zahtjevi (EN 14016-1:2004) ili jednakovrijedno
HRN EN 14041:2008 – Elastične, tekstilne i laminatne podne obloge -- Bitne značajke (EN 14041:2004+AC:2006) ili jednakovrijedno
HRN EN 14342:2008 Wood flooring -- Characteristics, evaluation of conformity and marking (EN 14342:2005+A1:2008) ili jednakovrijedno
</t>
  </si>
  <si>
    <t>masivni parket HRN D.D5.020 ili jednakovrijedno</t>
  </si>
  <si>
    <t>hrastov parket HRN D.D5.070 ili jednakovrijedno</t>
  </si>
  <si>
    <t>hrastov lamel parket HRN D.D5.022 ili jednakovrijedno</t>
  </si>
  <si>
    <t>Za izradu ponude i izvođenje podova ponuđač je dužan primjeniti relevantne propise i norme važeće u Republici Hrvatskoj, kao i međunarodno priznate norme za područja koja nisu pokrivena normama u Republici Hrvatskoj ili garantiraju viši nivo kvalitete od HRN. ili jednakovrijedno</t>
  </si>
  <si>
    <t>Proizvodnja, ugradnja i kontrola kvalitete obavljati će se u skladu s Tehničkim popisom za betonske konstrukcije (NN 139/09, 14/10, 125/10, 136/12), Tehnički propis za spregnute konstrukcije od čelika i betona (NN 119/09, 125/10, 136/12) ,  HRN EN 206-1 "Beton -1. dio: Specifikacije, svojstva, proizvodnja i sukladnost", ili jednakovrijedno i HRN EN 13670-1:2002 "Izvođenje betonskih konstrukcija" ili jednakovrijedno, ovim tehničkim uvjetima, te odgovarajućim HRN normama ili jednakovrijedno</t>
  </si>
  <si>
    <t>Za izvođenje betonskih konstrukcija - HRN EN 13670:2010 "Izvođenje betonskih konstrukcija" ili jednakovrijedno, ovim tehničkim uvjetima, te odgovarajućim HRN normama ili jednakovrijedno.</t>
  </si>
  <si>
    <t>Izvođač mora prema normi HRN EN 13670-1 ili jednakovrijedno prije početka ugradnje provjeriti je li beton u skladu sa zahtjevima iz projekta betonske konstrukcije, te je li tijekom transporta betona došlo do promjene njegovih svojstava koja bi bila od utjecaja na tehnička svojstva betonske konstrukcije.</t>
  </si>
  <si>
    <t>Kontrolni postupak utvrđivanja svojstava svježeg betona provodi se na uzorcima koji se uzimaju neposredno prije ugradnje betona u betonsku konstrukciju u skladu sa zahtjevima norme HRN ENV 13670-1 ili jednakovrijedno i projekta betonske konstrukcije, a najmanje pregledom svake otpremnice i vizualnom kontrolom konzistencije kod svake dopreme (svakog vozila) te, kod opravdane sumnje ispitivanjem konzistencije istim postupkom kojim je ispitana u proizvodnji.</t>
  </si>
  <si>
    <t>Kontrolni postupak utvrđivanja tlačne čvrstoće očvrsnulog betona ocjenjivanjem rezultata ispitivanja uzoraka i dokazivanje karakteristične tlačne čvrstoće betona provodi se odgovarajućom primjenom kriterija iz Dodataka B norme HRN EN 206-1 ili jednakovrijedno Ispitivanje identičnosti tlačne čvrstoće.</t>
  </si>
  <si>
    <t>Za slučaj nepotvrđivanja zahtijevanog razreda tlačne čvrstoće betona treba na dijelu konstrukcije  u  koji je  ugrađen  beton  nedokazanog  razreda  tlačne  čvrstoće  provesti naknadno ispitivanje tlačne čvrstoće betona u konstrukciji prema HRN EN 12504-1 ili jednakovrijedno  i ocjenu sukladnosti prema prEN 13791 ili jednakovrijedno.</t>
  </si>
  <si>
    <t xml:space="preserve">Gotovi građevni proizvodi koji se ugrađuju moraju imati popratne certifikate suglasnosti i izjave suglasnosti proizvođača. Kontrola kvalitete podrazumijeva laboratorijska ispitivanja materijala, kao i ispitivanje izvedenih radova. Ispitivanje treba provoditi prema postupcima ispitivanja danim u normi HRN EN 206-1"Beton -1. dio: Specifikacije, svojstva, proizvodnja i sukladnost" (referencijski postupci ispitivanja) ili jednakovrijedno, ili se mogu upotrijebiti drugi postupci ispitivanja ako su utvrđene veze ili pouzdani odnosi između rezultata tih postupaka ispitivanja i referencijskih postupaka. </t>
  </si>
  <si>
    <t>Jedinična cijena treba sadržavati:
- kompletan rad na postavi i demontaži skele s dopremom, otpremom i prenošenjem
- troškove izrade statičkog računa s nacrtom postave skele
- sve društvene obveze na radnu snagu i materijal
- održavanje skele za vrijeme trajanja izvedbe radova
- pripremno završne radove (uključujući i uklanjanje raslinja i drveća radi postave skele, rušenje drveta promjer iznad 15cm na visini od 120cm od tla mora odobriti nadležni konzervatorski zavod).
Amortizacija skele se obračunava za vrijeme izvedbe svih radova, s time da skelu mogu koristiti svi izvoditelji koji radove izvode na fasadi i krovu, bez posebne naknade. Izvoditelj je dužan operativnim planom uskladiti sve aktivnosti tako da se izbjegne međusobno ometanje izvedbe radova.
Svi materijali za izradu fasadne skele moraju odgovarati važećim propisima i standardima:
- HRN C.B3.021. - za čelik ili jednakovrijedno
- HRN C.B5.021. - za valjane čelične profile ili jednakovrijedno
- HRN G.D9.220. - za čavle na pištolj ili jednakovrijedno
- HRN D.C1.021. - 041 za rezanu građu ili jednakovrijedno
- HRN M.B4.020. - 100 za čavle ili jednakovrijedno</t>
  </si>
  <si>
    <t>HRN U.F2.010/78 - Završni radovi u građevinarstvu ili jednakovrijedno. Tehnički uvjeti za izvođenje fasaderskih radova</t>
  </si>
  <si>
    <t>HRN EN 771-1:2005 Specifikacije za zidne elemente – 1. dio: Opečni zidni elementi (EN 771-1:2003+A1:2005), ili jednakovrijedno</t>
  </si>
  <si>
    <t>HRN EN 771-2:2005 Specifikacije za zidne elemente – 2. dio: Vapnenosilikatni zidni elementi (EN 771-2:2003+A1:2005) ili jednakovrijedno,</t>
  </si>
  <si>
    <t>HRN EN 771-3:2005 Specifikacije za zidne elemente – 3. dio: Betonski zidni elementi (gusti i lagani agregat) (EN 771-3:2003+A1:2005) ili jednakovrijedno,</t>
  </si>
  <si>
    <t>HRN EN 771-4:2004 Specifikacije za zidne elemente – 4. dio: Zidni elementi od porastoga betona (EN 771-4:2003) ili jednakovrijedno,</t>
  </si>
  <si>
    <t>HRN EN 771-4/A1:2005 Specifikacije za zidne elemente – 4. dio: Zidni elementi od porastoga betona (EN 771-4:2003/A1:2005) ili jednakovrijedno,</t>
  </si>
  <si>
    <t>HRN EN 771-5:2005 Specifikacije za zidne elemente – 5. dio: Zidni elementi od umjetnoga kamena (EN 771-5:2003+A1:2005) ili jednakovrijedno,</t>
  </si>
  <si>
    <t>HRN EN 771-6:2006 Specifikacije za zidne elemente – 6. dio: Zidni elementi od prirodnoga kamena (EN 771-6:2005) ili jednakovrijedno,</t>
  </si>
  <si>
    <t>HRN EN 12859:2002 Gipsani blokovi – Definicije, zahtjevi i ispitne metode (EN 12859:2001) ili jednakovrijedno,</t>
  </si>
  <si>
    <t>HRN EN 998-2:2003 Specifikacije morta za ziđe – 2. dio: Mort za ziđe (EN 998-2:2003) ili jednakovrijedno,</t>
  </si>
  <si>
    <t>HRN CEN/TR 15225:2006 Smjernice za tvorničku kontrolu proizvodnje za označavanje oznakom CE (potvrđivanje sukladnosti 2+) za projektirane mortove (CEN/TR 15225:2005) ili jednakovrijedno,</t>
  </si>
  <si>
    <t>HRN EN 13501-1:2002 Razredba građevnih proizvoda i građevnih elemenata prema ponašanju u požaru – 1. dio: Razredba prema rezultatima ispitivanja reakcije na požar (EN 13501-1:2002) ili jednakovrijedno,</t>
  </si>
  <si>
    <t>HRN EN 459-1:2004 Građevno vapno – 1. dio: Definicije, specifikacije i kriteriji sukladnosti (EN 459-1:2001 + AC:2002) ili jednakovrijedno,</t>
  </si>
  <si>
    <t>HRN EN 459-3:2004 Građevno vapno – 3. dio: Vrednovanje sukladnosti (EN 459-3:2001 + AC:2002) ili jednakovrijedno,</t>
  </si>
  <si>
    <t>HRN EN 413-1:2004 Zidarski cement – 1. dio: Sastav, specifikacije i kriteriji sukladnosti (EN 413-1:2004) ili jednakovrijedno,</t>
  </si>
  <si>
    <t>HRN EN 197-2:2004 Cement – 2. dio: Vrednovanje sukladnosti ili jednakovrijedno</t>
  </si>
  <si>
    <t>HRN CR 14245:2004 Vodič za primjenu EN 197-2 »Vrednovanje sukladnosti« ili jednakovrijedno</t>
  </si>
  <si>
    <t>HRN EN 13279-1:2006 Veziva i žbuke na osnovi gipsa – 1. dio: Definicije i zahtjevi (EN 13279-1:2005) ili jednakovrijedno</t>
  </si>
  <si>
    <t>HRN EN 13139:2003 Agregati za mort (EN 13139:2002) ili jednakovrijedno</t>
  </si>
  <si>
    <t>HRN EN 13055-1:2003 Lagani agregati – 1. dio: Lagani agregati za beton, mort i mort za zalijevanje (EN 13055-1:2002) ili jednakovrijedno</t>
  </si>
  <si>
    <t>HRN EN 13139/AC:2006 Agregat za mort (EN 13139:2002/AC:2004) ili jednakovrijedno</t>
  </si>
  <si>
    <t>HRN EN 13055-1/AC:2006 Lagani agregati – 1. dio: Lagani agregati za beton, mort i mort za zalijevanje (EN 13055-1:2002/AC:2004) ili jednakovrijedno</t>
  </si>
  <si>
    <t>HRN EN 998-1:2010 – Specifikacija morta za ziđe -- 1. dio: Vanjska i unutarnja žbuka (EN 998-1:2010) ili jednakovrijedno</t>
  </si>
  <si>
    <t>HRN EN 998-2:2010 – Specifikacija morta za ziđe -- 2. dio: Mort za ziđe (EN 998-2:2010) ili jednakovrijedno</t>
  </si>
  <si>
    <t>HRN EN 845-1:2008 – Specifikacije za pomoćne dijelove ziđa -- 1. dio: Spone, vlačne vezice, papuče za grede i konzole (EN 845-1:2003+A1:2008) ili jednakovrijedno</t>
  </si>
  <si>
    <t>HRN EN 845-3:2008 – Specifikacije za pomoćne dijelove ziđa -- 3. dio: Armatura horizontalnih sljubnica od čeličnih mreža (EN 845-3:2003+A1:2008) ili jednakovrijedno</t>
  </si>
  <si>
    <t>- cement mora odgovarati kvaliteti cementa PC-250 prema HRN B.C1.011 ili jednakovrijedno,</t>
  </si>
  <si>
    <t>- vapno mora odgovarati HRN B.C1.020 ili jednakovrijedno,</t>
  </si>
  <si>
    <t>- voda koja se koristi kod pripreme morta mora odgovarati HRN U.N2.022 ili jednakovrijedno,</t>
  </si>
  <si>
    <t>Cementni estrih HRN EN 13813 ili jednakovrijedno</t>
  </si>
  <si>
    <t>Samonivelirajuća podna masa HRN EN 13813 ili jednakovrijedno</t>
  </si>
  <si>
    <t>Izvođač mora izvoditi radove sukladno standardima i propisima HRN-a ili jednakovrijedno, Pravilniku o tehničkim mjerama i uvjetima za izvođenje zidova zgrada.</t>
  </si>
  <si>
    <t>Materijali moraju odgovarati gore spomenutim standardima i HRN-u ili jednakovrijedno. Posebno se skreće pažnja da izvođač mora prije izvedbe izvršiti pregled podloge te prodore u zidu prema nacrtu u prisutnosti nadzornog inženjera i upisati napomenu u građevinski dnevnik, da ne bi kasnije došlo do naknadnih radova.</t>
  </si>
  <si>
    <t>Sav upotrebljeni materijal kao i finalni proizvodi moraju odgovarati važećim tehničkim propisima i normama.
Popis propisa i normi kojih se treba pridržavati:
- Pravilnik o zaštiti na radu u građevinarstvu
- Pravilnik o tehničkim mjerama i uvjetima za završne radove u građevinarstvu
- HRN U.F2.013 – tehnički uvjeti za izvođenje soboslikarskih radova ili jednakovrijedno
- HRN U.F2.012 – tehnički uvjeti za izvođenje ličilačkih radova ili jednakovrijedno
- HRN B.C1.030 – gips neutralan i čist ili jednakovrijedno
- HRN H.K2.015 – kalijev sapun, ili jednakovrijedno
- HRN B.C1.020 – hidratizirao vapno ili jednakovrijedno
- HRN H.C5.020 – firnis lanenog ulja ili jednakovrijedno
- HRN H.C1.034 – cinkov kromat ili jednakovrijedno
- HRN H.C1.002 – uljene boje i lakovi ili jednakovrijedno
Svi radovi moraju se izvesti po izabranom uzorku i tonu, koje je ličilac dužan izvesti prije početka radova ili od materijala od kojeg će se radovi izvesti, a u svemu prema uputama proizvođača i predstavnika nadležnog konzervatorskog zavoda. Na tako izvedene uzorke izvoditelj mora ishoditi suglasnost predstavnika nadležnog konzervatorskog zavoda i nadzornog inženjera investitora, pa tek onda započeti sa izvođenjem radova.
Ukoliko se bojenje pročelja izvodi preko potpuno nove žbuke, tj. homogene površine, upotrijebiti će se silikatni premaz sa svim potrebnim predradnjama u skladu s uputstvom proizvođača, kao što je impregniranje površine pročelja.
Ukoliko se bojenje pročelja izvodi preko žbuke koja je samo djelomično sanirana tj. površina nije homogena već se sastoji iz dijelova stare i nove žbuke, upotrijebiti će se također silikatni premaz, ali tako da se prethodno nanese temeljni sloj koje će izjednačiti strukturu, upojnost i kemijsku reakciju podloge.
Bojenje mora biti kvalitetno i dobro izvedeno. Na obojenim površinama ne smije biti mrlja, površine moraju biti jednolične i čiste i ne smiju se ljuštiti. Kit za ispunjenje udubina i pukotina mora biti srodnog sastava podlozi i boji.
Ličenje bravarskih dijelova izvodi se nakon čišćenja rđe, premazom temeljne boje i potom liči vanjskom bojom za željezo u dva sloja.</t>
  </si>
  <si>
    <t>Svi radovi moraju se izvesti prema podacima iz projektne dokumentacije te prema Pravilniku o tehničkim mjerama i uvjetima za završne radove u zgradarstvu i Tehničkim uvjeti za izvođenje soboslikarskih i ličilačkih radova (HRN U.F2.012 i HRN U.F2.013) ili jednakovrijedno</t>
  </si>
  <si>
    <t xml:space="preserve">1). Alkidne smole - moraju udovoljavati zahtjevima HRN EN ISO 12944-6:1999 ili jednakovrijedno. </t>
  </si>
  <si>
    <t xml:space="preserve">2). Klor kaučuk - mora udovoljavati zahtjevima HRN EN ISO 12944-6:1999 ili jednakovrijedno. </t>
  </si>
  <si>
    <t xml:space="preserve">3). Poliuretan - mora udovoljavati zahtjevima HRN EN ISO 12944-6:1999 ili jednakovrijedno. </t>
  </si>
  <si>
    <t>4). Bitumenske prevlake - moraju udovoljavati zahtjevima HRN EN ISO 12944-6:1999 ili jednakovrijedno.</t>
  </si>
  <si>
    <t xml:space="preserve">1). Cink - mora udovoljavati zahtjevima danim u HRN EN 1461:2001 ili jednakovrijedno. </t>
  </si>
  <si>
    <t>2). Aluminij - mora udovoljavati zahtjevima danim u HRN EN 1461:2001 ili jednakovrijedno.</t>
  </si>
  <si>
    <t>borova i rezana građa HRN D.C1.040 ili jednakovrijedno</t>
  </si>
  <si>
    <t>jelova i smrekova rezana građa HRN D.C1.041 ili jednakovrijedno</t>
  </si>
  <si>
    <t>hrastova građa HRN D.C1.021 ili jednakovrijedno</t>
  </si>
  <si>
    <t>građ. stolarija metoda ispit. meh. Otpor. krila prema djelovanju vjetra HRN D.E8.232 ili jednakovrijedno</t>
  </si>
  <si>
    <t>građ. stolarija - provjera kvalitete izrade i obrade prozora HRN D.E8.233 ili jednakovrijedno</t>
  </si>
  <si>
    <t>građ. stolarija - metoda ispitivanja veza elem. od drva za krila prozora HRN D.E8.234 ili jednakovrijedno</t>
  </si>
  <si>
    <t>zahtjevi u pogledu propustljivosti vanjskih prozori i balkonska vrata HRN D.E8.193 ili jednakovrijedno</t>
  </si>
  <si>
    <t>metoda ispitivanja propustljivosti zraka i vode  HRN D.E8.235 ili jednakovrijedno</t>
  </si>
  <si>
    <t>Staklo u graditeljstvu -- Proizvodi od osnovnog natrij-kalcij-silikatnog stakla -- 1. dio: Definicije i opća fizikalna i mehanička svojstva (EN 572-1:2004) HRN EN 572-1:2005 HRN EN 410  ili jednakovrijedno</t>
  </si>
  <si>
    <t>HRN EN 1279-5:2010 – Staklo u graditeljstvu -- Izolacijsko staklo -- 5. dio: Vrednovanje sukladnosti (EN 1279-5:2005+A2:2010) ili jednakovrijedno</t>
  </si>
  <si>
    <t>ravno staklo vučeno HRN B.E1.011 ili jednakovrijedno</t>
  </si>
  <si>
    <t>ravno staklo armirano HRN B.E1.080 ili jednakovrijedno</t>
  </si>
  <si>
    <t>ravno staklo liveno HRN B.E1.050 ili jednakovrijedno</t>
  </si>
  <si>
    <t>staklarski kitovi HRN H.C6.050 ili jednakovrijedno</t>
  </si>
  <si>
    <t>ambalaža od drveta HRN D.F1.062 ili jednakovrijedno</t>
  </si>
  <si>
    <t>zrakopropusnosti - po normi HRN EN 12207   razred 4 ili jednakovrijedno</t>
  </si>
  <si>
    <t>vodonepropusnosti - po normi HRN EN 12208 razred E1350 ili jednakovrijedno</t>
  </si>
  <si>
    <t>otpornost na opterečenje vjetrom - po normi HRN EN 12210 razred C5/B5 ili jednakovrijedno</t>
  </si>
  <si>
    <t xml:space="preserve">Sav upotrebljeni materijal i finalni građevinski proizvodi moraju odgovarati važećim tehničkim propisima i normama.
Popis propisa i normi kojih se treba pridržavati:
- HRN C.B3.025 – plosno željezo ili jednakovrijedno
- HRN C.B3.024 – kvadratno željezo ili jednakovrijedno
Sva nova bravarija mora biti u potpunosti izvedena kao i postojeća i prije dostave na gradilište treba biti zaštićena antikorozivnim premazom.
 Svi detalji izvedbe i ugradnje bravarije moraju biti odobreni od predstavnika nadležnog konzervatorskog zavoda i nadzornog inženjera investitora.
 Snimanje postojeće bravarije i uzimanje uzoraka uključeno je u cijenu pojedine stavke i ne iskazuje se posebno.
 </t>
  </si>
  <si>
    <t xml:space="preserve">Antikorozivna zaštita čeličnih vrata provodi se temeljnim premazom (radionica) i sintetskom bojom (gradilište). Antikorozivna zaštita mora biti prema projektu i u skladu s HRN EN ISO 12944 ili jednakovrijedno.  </t>
  </si>
  <si>
    <t xml:space="preserve">izgled svakog sloja posebno, osušenost te eventualne nedostatke (oštećenost, mreškarenje, pojavu pukotina, pokožica, ljuštenje, ljepljivost i ostale nečistoće); to se radi vizualnim pregledom;  debljinu svakog sloja koji mora zadovoljiti zahtjeve projekta, odnosno najmanje debljine; prionjivost svakog sloja; to se provodi urezivanjem kvadratne rešetke prema normi HRN EN ISO 2409:2008 ili jednakovrijedno; ocjena prionjivosti mora biti zadana projektom zaštite od korozije. </t>
  </si>
  <si>
    <t>Uzorke organskih premaza, radi provjere deklarirane kvalitete, treba uzimati i ispitivati prema normi HRN EN ISO 12944-6:1999 ili jednakovrijedno. Uzorci se u principu ispituju na posebni zahtjev naručioca.</t>
  </si>
  <si>
    <t xml:space="preserve">Kod metalizacijske antikorozivne zaštite treba kontrolirati: izgled i pogreške; debljinu zaštitnog sloja; prionjivost prema HRN EN ISO 14713:2001 ili jednakovrijedno i HRN EN ISO 2063:2007 ili jednakovrijedno. </t>
  </si>
  <si>
    <t>Kakvoću materijala za metalizacijsku zaštitu treba po potrebi kontrolirati prema HRN EN ISO 14713:2001 ili jednakovrijedno i HRN EN ISO 2063:2007 ili jednakovrijedno.</t>
  </si>
  <si>
    <t xml:space="preserve">Sva vrata na evakuacijskim putevima opremiti odgovarajućim okovom prema normi HRN EN 1125 ili jednakovrijedno, i normi HRN EN 179 ili jednakovrijedno, sukladno opisima i zahtjevima definiranim projektiranim mjerama zaštite od požara. </t>
  </si>
  <si>
    <t xml:space="preserve">Na granicama požarnih sektora moraju se postaviti protupožarni elementi klase vatrootpornosti koje odgovaraju protupožarnom zidu u koji se ugrađuju, te moraju imati pripadajući odgovarajući atest (certifikat), a sukladno normi HRN DIN 4102 dio 5 ili jednakovrijedno. Sva protupožarna vrata moraju imati ugrađeni uređaj za stalno vraćanje u zatvoreni položaj kojim će se osigurati permanentno protupožarno odvajanje. </t>
  </si>
  <si>
    <t>HRN U.J6.151/82 – Akustika u građevinarstvu. Standardne vrijednosti za ocijenu zvučne izolacije ili jednakovrijedno</t>
  </si>
  <si>
    <t>HRN U.J6.201/89 – Akustika u građevinarstvu. Tehnički uvjeti za projektiranje i građenje zgrada ili jednakovrijedno.</t>
  </si>
  <si>
    <t>Tehnički uvjeti za izvođenje staklorezačkih radova – HRN U.F2.025 ili jednakovrijedno</t>
  </si>
  <si>
    <t>HRN EN 14351-1:2006  ili jednakovrijedno</t>
  </si>
  <si>
    <t>HRN EN 12020-1:2008 ili jednakovrijedno</t>
  </si>
  <si>
    <t>HRN EN 15088; 2008 ili jednakovrijedno</t>
  </si>
  <si>
    <t>HRN EN 485-1: 2008 ili jednakovrijedno
HRN EN 485-2; 2009 ili jednakovrijedno
HRN EN 485-3: 2008 ili jednakovrijedno
HRN EN 485-4: 2001 ili jednakovrijedno</t>
  </si>
  <si>
    <t>HRN EN 14024: 2008 ili jednakovrijedno</t>
  </si>
  <si>
    <t>brtvljenje profila, kao i utori predviđeni za postavljanje brtve unutar profila; brtvljenja moraju odgovarati propisima HRN-DIN 4102, dio 9 ili jednakovrijedno.</t>
  </si>
  <si>
    <t>HRN  B.E1.011 ravno staklo vučeno  ili jednakovrijedno</t>
  </si>
  <si>
    <t>HRN B.E3.701 sigurnosno staklo ili jednakovrijedno</t>
  </si>
  <si>
    <t>HRN U.F2.025 Tehnički uvjeti za izvođenje staklorezačkih radova ili jednakovrijedno</t>
  </si>
  <si>
    <t>Obračun izvedenih radova vrši se prema važećim HRN normama ili jednakovrijedno.</t>
  </si>
  <si>
    <t>lamel parket HRN D.D5.021 ili jednakovrijedno</t>
  </si>
  <si>
    <t>- mort za žbukanje HRN U.M2.012 ili jednakovrijedno</t>
  </si>
  <si>
    <t>- ispitivanje kvalitete morta za zidanje i žbukanje  HRN U.M8.015 ili jednakovrijedno</t>
  </si>
  <si>
    <t>1. SKELA I PRIPREMNI RADOVI</t>
  </si>
  <si>
    <t>3. KONZERVATORSKA ISTRAŽIVANJA</t>
  </si>
  <si>
    <t>4. KROVOPOKRIVAČKI RADOVI</t>
  </si>
  <si>
    <t>Sav upotrebljeni materijal i finalni građevinski proizvodi moraju odgovarati postojećim tehničkim propisima i HR normama ili jednakovrijedno.
 Prilikom izvedbe limarskih radova treba se u svemu pridržavati slijedećih propisa i normi:
- Pravilnik o zaštiti na radu u građevinarstvu,
- Pravilnik o tehničkim mjerama i uvjetima za završne radove u građevinarstvu
- Tehnički uvjeti za izvođenje limarskih radova,
- HR norme:
- pocinčani lim  HRN C.E4.020 ili jednakovrijedno
- bakreni lim  HRN C.D4.500, HRN C.D4.0200 ili jednakovrijedno
Pomoćni i vezivni materijali, kalaj, zakovice, zavrtnji i drugo, moraju odgovarati odredbama HR normi ili jednakovrijedno.
 Sve radove treba izvesti stručno i solidno, prema tehničkim propisima  i uzancama zanata. Izvoditelj je dužan na zahtjev investitora ili nadzornog inženjera predočiti uzorke i prospekte za pojedine materijale. Nestandardiziran materijal mora imati atest o kvaliteti izdane od organizacije ovlaštene za izdavanje atesta. Potrebno je da Izvoditelj  za svaku traženu stavku troškovnika izraditi detaljni crtež i ovjeriti ga kod nadzornog inženjera.
 Različite vrste metala, koje se uslijed elektrolitskih pojava međusobno spajaju, ne smiju se izravno dodirivati. Sve željezne dijelove koji dolaze u dodir s cinkom ili pocinčanim limom, treba preličiti asfaltnim lakom ili odgovarajućim sredstvom. Kod polaganja limarskih elemenata na masivne podloge, potrebno je podloge prije oblaganja obložiti slojem krovne ljepenke radi sprečavanja štetnih kemijskih utjecaja na lim.</t>
  </si>
  <si>
    <t>5. LIMARSKI RADOVI- VRIJEDI ZA SVE OBJEKTE</t>
  </si>
  <si>
    <t>STOLARSKI RADOVI UKUPNO</t>
  </si>
  <si>
    <t>BRAVARSKI RADOVI UKUPNO</t>
  </si>
  <si>
    <t>RUŠENJA I DEMONTAŽE UKUPNO</t>
  </si>
  <si>
    <t>BETONSKI I ARMIRANOBETONSKI RADOVI UKUPNO</t>
  </si>
  <si>
    <t>ARMIRAČKI RADOVI UKUPNO</t>
  </si>
  <si>
    <t>IZOLATERSKI RADOVI UKUPNO</t>
  </si>
  <si>
    <t>6. ZIDARSKO FASADERSKI RADOVI</t>
  </si>
  <si>
    <t>zapreminska masa i poroznost svježeg morta, EN 1015-7 ili jednakovrijedno</t>
  </si>
  <si>
    <t>konzistencija svježeg morta, EN 1015-3 ili jednakovrijedno</t>
  </si>
  <si>
    <t>tlačna i savojna vlačna čvrstoća morta, EN 1015-11 ili jednakovrijedno</t>
  </si>
  <si>
    <t>tlačna čvrstoća opeke,  EN 771-1, EN 772-1, EN 772-3, EN 772-13, EN 772-16 ili jednakovrijedno</t>
  </si>
  <si>
    <t>7. SOBOSLIKARSKO-LIČILAČKI RADOVI</t>
  </si>
  <si>
    <t>8. STOLARSKI RADOVI</t>
  </si>
  <si>
    <t>9. BRAVARSKI RADOVI</t>
  </si>
  <si>
    <t>Vodotijesnost:                                                                                   razred E900 (900 Pa) sukladno EN 1027; EN 12208 ili jednakovrijedno</t>
  </si>
  <si>
    <t>Zrakopropusnost:                                                                                   razred 4 (600 Pa) sukladno EN 1026; EN 12207 ili jednakovrijedno</t>
  </si>
  <si>
    <t>Zvučna zaštita:                                                                              Rw(C;Ctr) = 36 (-1;-4) dB / 42 (-2; -4) dB sukladno EN ISO 140-3; EN ISO 717-1 ili jednakovrijedno te u ovisnosti od odabrane kombinacije doprozornik/krilo i odabranom staklu.</t>
  </si>
  <si>
    <t>Protuprovalnost (u ovisnosti o zahtjevima):                                                                                   RC 2 ili RC 3 sukladno EN 1627; EN 1628; EN 1630 ili jednakovrijedno</t>
  </si>
  <si>
    <t>Tvrdoća, dimenzije i profiliranost brtvila moraju odgovarati različitim namjenama. Osnovu za određivanje tvrdoće predstavlja standard DIN 7863 ili jednakovrijedno.</t>
  </si>
  <si>
    <t>10. KERAMIČARSKI RADOVI</t>
  </si>
  <si>
    <t>11. PODOPOLAGAČKI RADOVI</t>
  </si>
  <si>
    <t>12. SPUŠTENI STROPOVI I OBLOGE STROPNIH KONSTRUKCIJA</t>
  </si>
  <si>
    <t>13. PREGRADNE STIJENE I OBLOGE</t>
  </si>
  <si>
    <t>14. BETONSKI I ARMIRANO BETONSKI RADOVI</t>
  </si>
  <si>
    <t>15. KRAJOBRAZNO UREĐENJE</t>
  </si>
  <si>
    <t>2. RUŠENJA I DEMONTAŽE</t>
  </si>
  <si>
    <t>LIMARSKI RADOVI UKUPNO</t>
  </si>
  <si>
    <t xml:space="preserve">Kapacitet, učinak ili ostale karakteristike opreme moraju ubiti u skladu sa ugovorom (opisom iz projekta).
Izvoditelj će obučiti rukovaoce postrojenjem – instalacijom, na zahtjev Investitora, bez posebne naknade.
Izvoditelj će izraditi upute za korištenje i održavanje instalacije, te ih predati Investitoru bez posebne naknade.
</t>
  </si>
  <si>
    <t xml:space="preserve">Sav upotrebljeni materijal i finalni građevinski proizvodi moraju odgovarati postojećim tehničkim propisima i HR normama ili jednakovrijedno.
Izvoditelj je dužan na zahtjev investitora i nadzornog inženjera predočiti uzorke i prospekte za pojedine materijale koji se planiraju upotrijebiti, kao i predočiti njihove ateste o kvaliteti, izdane od ovlaštene organizacije. Krovište mora biti pokriveno kvalitetnim materijalom, pravilnog oblika, traženih dimenzija, koji u potpunosti zadovoljava važeće propise i standarde i ne smije propuštati vodu. Pokrivanje se vrši po propisima i pravilima zanata. Pokrivene plohe moraju biti ravne, bez uvala koje bi omogućavale skupljanje i zadržavanje vode.
Prije početka pokrivanja krova sva limarija krova mora biti gotova i postavljena. Jedinična cijena obuhvaća sav rad, materijal, transport do gradilišta i sav horizontalan i vertikalan transport na gradilištu, te sav sitni spojni i pomoćni materijal.
Sve radove treba izvest stručno i solidno, prema tehničkim propisima i pravilima dobrog zanata.
Norme za pokrivačke radove:
- HRN S.B.D1.009. – vučeni crjepovi od gline ili jednakovrijedno
- HRN S.B.D1.010. – prešani crjepovi od gline      ili jednakovrijedno                                                                                                                                                      NAPOMENA: Sve radove koje se odnose na postojeći pokrov koji se  ručno demontira, numerira, čišti, premazuje, te odlaganje na gradilišnu deponiju na palete potrebno je izvoditi s povećanom pažanjom i oprezom, a sve prema uputi nadležnog konzervatorskog zavoda. 
</t>
  </si>
  <si>
    <t>Kontrolu zahtijevane kvalitete opeke i morta kao i kvalitete morta provesti i prema europskim normama ili jednakovrijedno:</t>
  </si>
  <si>
    <t xml:space="preserve">- prema EN 673 ili jedankovrijedno; Ug=1,0 W/(m²K)  </t>
  </si>
  <si>
    <t xml:space="preserve">- prema EN 410 ili jednakovrijedno;  solar faktor - max. g= 60 %   </t>
  </si>
  <si>
    <t>Svi hidraulički zatvarači za samozatvaranje protupožarnih vrata moraju biti u skladu s normom EN 1154 ili jednakovrijedno.</t>
  </si>
  <si>
    <t>Evakuacijska aluminjska vrata opremljena su nadgradnim okovom, prema normi EN 1125 ili jednakovrijedno, funkcije B (izvana panik kvaka, sa unutarnje strane panik letva) u sivoj boji.</t>
  </si>
  <si>
    <t>aluminij i aluminijske legure EN AW6060 (sukladno EN 573-3) ili jednakovrijedno</t>
  </si>
  <si>
    <t xml:space="preserve">Aluminijski profili napravljeni su od legureAlMgSi0.5F22 ( EN-AW6060 I AW 6063 ili jednakovrijedno sukladno sEN 573-3 ili jednakovrijedno s dodatnim zahtjevima na otpornost od korozije: Zn ≤ 0.15%, Cu ≤ 0.02%, Pb ≤ 0.022%, Si: 0.30 – 0.55%, Fe: 0.10 – 0.30%, Mg: 0.35 – 0.60%, Mn ≤ 0.10%,  Cr ≤ 0.05%, Ti ≤ 0.10%, ostali elementi pojedinačno ≤ 0.05%, zajedno ≤ 0.15%. </t>
  </si>
  <si>
    <t>Mehaničke značajke odgovaraju standardu EN 755-2 ili jednakovrijedno s naknadnom obradom T66 ili standardu DIN 1748-1 s F22 ili jednakovrijedno. Dozvoljena odstupanja temelje se na standardu EN 12020-2 ili jednakovrijedno ili DIN 17615-3 ili jednaovrijedno.</t>
  </si>
  <si>
    <t>Tolerancija oblika profila prema DIN 17 615 ili jednakovrijedno i EN 2020-2 ili jednakovrijedno</t>
  </si>
  <si>
    <r>
      <t xml:space="preserve">Profili moraju imati jamstvo na završnu obradu koja uključuje ljuštenje boje ili stvaranje mjehura ispod nje, otpornost na UV zrake - blijeđenje boje ili gubitak sjaja. Radi postizanja traženog jamstva profili moraju biti plastificirani minimalno 60 </t>
    </r>
    <r>
      <rPr>
        <sz val="12"/>
        <rFont val="Calibri"/>
        <family val="2"/>
        <charset val="238"/>
      </rPr>
      <t>µ</t>
    </r>
    <r>
      <rPr>
        <sz val="12"/>
        <rFont val="Arial Narrow"/>
        <family val="2"/>
        <charset val="238"/>
      </rPr>
      <t>m. .</t>
    </r>
  </si>
  <si>
    <t>Sustav aluminijskih profila s dubinom ugradnje doprozornika 68 mm i prozorskog krila 77 mm; krilo preklapa doprozornik za 5 mm. Najmanja vidljiva širina doprozornika u pogledu iznosi 51 mm. Vanjska i unutarnja polovica aluminijskog profila spojene su s višekomornim poliamidnim trakama kvalitete 6.6, omega oblika, dubine 32 mm, koje su ojačane staklenim vlaknama. Ostakljivanje se vrši uz pomoć višekomornih EPDM brtvi ili neutralnim silikonom.</t>
  </si>
  <si>
    <t>Sustav aluminijskih, horizontalnih i vertikalnih, pravokutnih profila s dubinom ugradnje sukladno statici, a vidljivom širinom 50 mm s vanjske strane (aluminijski ukrasni pokrovni profil) odnosno 50 mm s unutarnje strane (pravokutni aluminijski nosivi profili). Strukturalna izvedba fasade ima vanjsku vidljivu fugu širine 20,00 mm. Fuga može biti ispunjena strukturalnim silikonom ili sistemskom brtvom. Moguće kombiniranje pokrovnih kapa i strukturalnih fuga u horizontalnom i vertikalnom smjeru. U fasadu su ugrađeni prozori, vrata i klizne stijene čije vanjska i unutarnja polovica aluminijskog profila su spojene s poliamidnim trakama omega oblika koje su ojačane staklenim vlaknama. Ostakljivanje se vrši ugradnjom stakala uz korištenje EPDM brtvi i pričvrstnog aluminijskog profila preko kojeg se postavlja ukrasni profil u obliku i završnoj obradi prema izboru naručitelja.</t>
  </si>
  <si>
    <t>Zvučna zaštita:                                                                                           Rw(C;Ctr) = 33 (-1;-3) dB / 60 (-2; -6) dB sukladno EN ISO 140-3 ili jednakovrijedno; EN ISO 717-1 ili jednakovrijedno, sve u ovisnosti o odabrane kombinacije profila.</t>
  </si>
  <si>
    <t>Zrakopropusnost:                                                                                   razred AE1950 (1950 Pa) sukladno EN 12153 ili jednakovrijedno, EN 12152 ili jednakovrijedno</t>
  </si>
  <si>
    <t>Vodotijesnost:                                                                                                   razred RE1950 (1950 Pa) sukladno EN 12155 ili jednakovrijedno, EN 12154 ili jednakovrijedno</t>
  </si>
  <si>
    <t>Otpornost na opterećenje vjetrom:                                                                                  2.400 Pa (najveća ispitana vrijednost) sukladno EN 12179 ili jednakovrijedno, EN 13116 ili jednakovrijedno</t>
  </si>
  <si>
    <t>Otpornost na udar:                                                                                   I5/E5 sukladno EN 12600 ili jednakovrijedno, EN 14019 ili jednakovrijedno</t>
  </si>
  <si>
    <t>Protuprovalnost (u ovisnosti o zahtjevima):                                                                                   do WK3/RC3 sukladno EN 1627 ili jednakovrijedno do EN 1630 ili jednakovrijedno</t>
  </si>
  <si>
    <t>Proizvođač odnosno dobavitelj profilacije, mora po zahtjevu investitora priložiti ISO-9000 certifikacijsku dokumentaciju ili jednakovrijedno, proračune koeficijenata prolaza topline profila Uf i ukupnog koeficijenta prolaza topline Uw, Ud i Ucw sukladno EN ISO 10077-2 ili jednakovrijedno.</t>
  </si>
  <si>
    <t>Uglovni spojevi moraju u poprečnom presjeku odgovarati unutarnjim konturama profila. Svi spojevi moraju biti mehanički pričvršćeni i zapunjeni ljepilom. Pri spojevima pod 45°mora biti precizno izvedeno lijepljenje uglovnog spojnika i mjesta pričvršćenja profila. Kod T-spojeva i križnih spojeva mora se spriječiti prodor vode u konstrukciju. Radi spriječavanja korozije, a prije spajanja profila u cjelinu, rezovi profila moraju biti premazani zaštitnim sredstvom protiv korozije.</t>
  </si>
  <si>
    <t>Vodonepropusne i paronepropusne folije moraju biti minimalno 100mm zalijepljene na beton, a one koje se polažu iznad glave dodatno mehanički pričvrstiti s aluminijskom trakom da bi se osigurao položaj folije i ujedno funkcija. Treba postići klasu 9A prema EN 12208 ili jednakovrijedno.</t>
  </si>
  <si>
    <t>Faktor prigušenja zvuka Rw, koji je zahtjevan u popisu radova, mora biti dokazan A-testom po DIN 4109 ili jednakovrijedno autorizirane institucije.</t>
  </si>
  <si>
    <t>Na spojevima sa ab konstrukcijom, bez obzira na tip montaže, obavezno ugraditi vodonopropusnu foliju. Izbor vodonepropusne i paronepropusne folije vrši se prema elementima proračuna građevinske fizike, prema uputama proizvođača i vremenskim uvjetima ugradnje. Izbor vodonepropusne i paronepropusne folije vrši se prema elementima proračuna građevinske fizike, prema uputama proizvođača i vremenskim uvjetima ugradnje.</t>
  </si>
  <si>
    <t>Profili moraju biti ekstrudirani iz primarne aluminijske legure AW 6060 prema EN 573-3 ili jednakovrijedno, pogodne za eloksažu i plastifikaciju prema EN 755-2 ili jednakovrijedno, dimenzionirani prema statičkom proračunu, a dimenzionalne tolerancije moraju odgovarati standardima prema EN 12020-2 ili jednakovrijedno. Svi materijali, okov i pribor moraju biti izvorni i sastavni dio sustava, izrađeni bez štetnih tvari, otporni na atmosfersku koroziju (udio legirnih elemenata Zn ≤ 0.15%, Cu ≤ 0.02%, Pb ≤ 0.022%, Si: 0.30 – 0.55%, Fe: 0.10 – 0.30%, Mg: 0.35 – 0.60%, Mn ≤ 0.10%,  Cr ≤ 0.05%, Ti ≤ 0.10%, drugi elementi pojedinačno ≤ 0.05%, ukupno ≤ 0.15%), te moraju imati karakteristike koje osiguraju mehaničku čvrstoću, stabilnost i funkcionalnost za uvjete korištenja kojem su namijenjeni.</t>
  </si>
  <si>
    <t>Završna obrada profila plastificiranjem/eloksiranjem prema izboru naručitelja iz RAL-karte ili jednakovrijedno.</t>
  </si>
  <si>
    <t>U svim dijelovima fasade, u kontaktu sa ostakljenim površinama ili drugim vrstama ispune, te na spojevima između vertikalnih i horizontalnih dijelove fasadne konstrukcije, moraju biti postavljene perimetralne brtve od etilen-propilen elastomer (EPDM) sukladno TV 110, s lijepljenim ili vulkaniziranim spojevima na uglovima. Brtve moraju odgovarati standardima prema EN 12635-x ili jednakovrijedno.</t>
  </si>
  <si>
    <t>Na zahtjev voditelja gradnje svaki izvođač dužan je prije preuzimanja objekta očistiti elemente svojih radova izvana i iznutra.</t>
  </si>
  <si>
    <t>DIN 18056 ugrađivanje stakla u fasadne elemente ili jednakovrijedno</t>
  </si>
  <si>
    <t xml:space="preserve">Izrada, doprema i ugradnja aluminijske bravarije sukladno općim uvjetima i uvodnim napomenama, plastificirano u boji prema izboru naručitelja iz RAL-karte ili jednakovrijedno, sve u skladu sa Tehničkim propisom za prozore i vrata NN 69/06. 
</t>
  </si>
  <si>
    <t>Okov –komplet, zatvornici na sve četiri strane– kod ponude naglasiti koji tip okova je uključen.
Otklopno-klizne stijene u skladu s statičkim proračunom i uputama proizvođača profila-obavezna upotreba profila za klizne stijene.</t>
  </si>
  <si>
    <t>Oblaganje ker. pločicama HRN B.D1.300 ili jednakovrijedno</t>
  </si>
  <si>
    <t>Cement mora odgovarati standardu HRN B.C1.011-015 ili jednakovrijedno. Ukoliko se upotrebljava cement van standarda, treba ga ispitati prema HRN B.C8.020 ili jednakovrijedno i HRN B..C8.022 ili jednakovrijedno. Cementni mort mora odgovarati standardu HRN U.M8.050 ili jednakovrijedno. Cementni mort HRN U.M2.010 ili jednakovrijedno sa dodatkom za nepropusnost prema uputama proizvođača. Ljepilo - uvjeti HRN U.F2.011. ili jednakovrijedno</t>
  </si>
  <si>
    <t>Obračun izvedenih radova vrši se prema "Prosječnim normama u građevinarstvu" ili jednakovrijedno. Jediničnom cijenom treba obuhvatiti: sav materijal, alet, mehanizaciju i uskladištenje, troškove radne snage za kompletan rad opisan u troškovniku, sve horizontalne i vertikalne transporte do mjesta ugradbe, potrebnu radnu skelu, čišćenje prostorija i okoliša objekta od otpadaka, svu štetu kao i troškove popravka kao posljedica nepažnje u toku izvedbe, troškove zaštite na radu i troškove atesta.</t>
  </si>
  <si>
    <t>Obračun izvedenih radova vrši se prema "Prosječnim normama u građevinarstvu" ili jednakovrijedno. Jediničnom cijenom treba obuhvatiti: sav materijal, alet, mehanizaciju i uskladištenje, troškove radne snage za kompletan rad opisan u troškovniku, sve horizontalne i vertikalne transporte do mjesta ugradbe, skidanje i namještanje krila vratiju i prozora, potrebnu radnu skelu (izuzima se fasadna skela), čišćenje prostorija i okoliša objekta od otpadaka, svu štetu kao i troškove popravka kao posljedica nepažnje u toku izvedbe, troškove zaštite na radu, troškove atesta.</t>
  </si>
  <si>
    <t>Montažni zid zvučne izolacije izvesti od gipskartonskih ploča u standardnoj izvedbi prema DIN 18 183 ili jednakovrijedno sa zrakonepropusnim brtvljenjem priključaka po obodu na zidove, podne i stropne ploče, izvesti prema DIN 4109, Bbl 1, Tab. 23 ili jednakovrijedno upotrijebiti specijalne elastične čelične profile.</t>
  </si>
  <si>
    <t>Završno se otvori zatvaraju sa epoksidnim ljepilom</t>
  </si>
  <si>
    <t>Svi zidani elementi moraju biti izvedeni iz elemenata koji zadovoljavaju klasu vatrootpornosti REI60 i REI90, ili jednakovrijedno, prema podacima iz projektne dokumentacije, što je prije izvedbe zidova potrebno dokazati odgovarajućom atestnom dokumentacijom.</t>
  </si>
  <si>
    <t>građ. stolarija metoda ispit. - ponašanje krila i prozora pod uporabom RN D.E8.231 ili jednakovrijedno</t>
  </si>
  <si>
    <t>Staklo u graditeljstvu – Određivanje svjetlosnih i sunčanih značajka ostakljenja (EN 410:1998) ili jednakovrijedno</t>
  </si>
  <si>
    <t>Radovi se moraju izvesti prema projektu, prema uvjetima i opisima, kao i važećim propisima i normativima. Materijali, proizvodi, oprema i radovi moraju biti izrađeni u skladu s normama i tehničkim propisima navedenim u projektnoj dokumentaciji. Ako se u međuvremenu neka norma ili propis stavi izvan snage, važit će zamjenjujuća norma ili propis. Sav materijal za izradu bravarije mora zadovoljavati odgovarajuće propise i normative, te imati odgovarajuće ateste. Na temelju shema i detaljnih nacrta, izvođač radova je dužan zatražiti sve potrebne upute u pogledu eventualnih korekcija detalja ili promjena. U protivnom, eventualna šteta uslijed neadekvatnog materijala tereti izvođača. Ako koja stavka izvođaču nije jasna, mora prije predaje tražiti objašnjenje od projektanta.</t>
  </si>
  <si>
    <t>Protupožarna vrata koja se ujedno nalaze i na putovima evakuacije moraju dodatno biti opremljena panik okovima (push-barom), a koji je izveden sukladno normi EN 1125 (Panic application) ili jednakovrijedno. Sva vatrootporna vrata oznake 'S'  trebaju biti izvedena u dimonepropusnoj izvedbi.</t>
  </si>
  <si>
    <t>Prozori i vrata -- Norma za proizvod, izvedbene značajke -- 1.dio: Prozori i vanjska pješačka vrata (EN 14351-1:2006+A2:2016) ili jednakovrijedno</t>
  </si>
  <si>
    <t>Otpornost na udare vjetra:                                                                                   razred 5 (2000 Pa) sukladno EN 12211; EN 12210 ili jednakovrijedno</t>
  </si>
  <si>
    <r>
      <t>Otpornost na udare vjetra (deformacija doprozornika):                                                                                   razred C (</t>
    </r>
    <r>
      <rPr>
        <sz val="12"/>
        <rFont val="Calibri"/>
        <family val="2"/>
        <charset val="238"/>
      </rPr>
      <t>≤</t>
    </r>
    <r>
      <rPr>
        <sz val="12"/>
        <rFont val="Arial Narrow"/>
        <family val="2"/>
        <charset val="238"/>
      </rPr>
      <t>1/300) sukladno EN 12211; EN 12210 ili jednakovrijedno</t>
    </r>
  </si>
  <si>
    <t>Radi lakšeg održavanja i zamjene okova svi profili moraju imati Euro-žlijeb ili jednakovrijdan.</t>
  </si>
  <si>
    <t>Aluminijski profili moraju su oblikovani tako da im dimenzije odgovaraju EURONUT (Eurožlijeb) smjernicama ili jednakovrijedno kako bi omogućili ugradnju standardnog okova raspoloživog na tržištu EU u svrhu lakšeg održavanja.</t>
  </si>
  <si>
    <t>* sva priručna pomagala potrebna prema propisima zaštite na radu</t>
  </si>
  <si>
    <t>Ponuđač radova mora ponuditi sve stavke iz ovog troškovnika.
Oznake razdjelnika izvesti na plastičnoj graviranoj pločici, kao i sve natpise na vratima.</t>
  </si>
  <si>
    <t>Izvoditelj se obvezuje izraditi i ugraditi aluminijske elemente do potpune gotovosti, u već provjerenom i certificiranim sustavima, te se od njega očekuje visoka kvaliteta izvedbe. Prije početka radova, izvoditelj je dužan izvršiti pripremne radnje propisane Zakonom o gradnji (NN br.153/13 i 17/20) i Zakonom zaštite na radu (NN 071/2014). Sva tehnička rješenja koja izvoditelj predlaže i primjenjuje moraju biti usklađena s HRN-ma i propisima te usvojenim EN  ili jednakovrijedno (kada je zakonom utvrđena njihova obvezna primjena), a u u ostalom dijelu primjenjuju se sljedeće EN:</t>
  </si>
  <si>
    <r>
      <t xml:space="preserve">Jedinična cijena
U jediničnim cijenama za sve stavke troškovnika, ponuda mora sadržavati ukupne troškove materijala i rada do potpunog dovršenja cjelokupnog posla odnosno do pune funkcionalnosti.
Jedinična cijena, također, uključuje sva potrebna ispitivanja, kontrole i mjerenja za sve izvedene radove, ugrađene materijale i opremu, u svrhu dokazivanja njihove kvalitete i kompletiranja tehničke dokumentacije potrebne za ishođenje dozvola, te se prilikom primopredaje građevine, uručuje Investitoru odnosno krajnjem korisniku.
Navedena ispitivanja, kontrole i mjerenja izvode ovlaštene institucije, a odnose se na ispitivanje plinskih instalacija, ispitivanje vodonepropusnosti kanalizacije, uzimanje uzoraka i ispitivanje pitkosti vode, ispitivanje gromobranske instalacije, ispitivanje električne instalacije jake i slabe struje, pregled dimovodnih kanala, te ostala potrebna ispitivanja sukladno važećoj zakonskoj regulativi.
</t>
    </r>
    <r>
      <rPr>
        <sz val="10"/>
        <rFont val="Calibri"/>
        <family val="2"/>
        <charset val="238"/>
        <scheme val="minor"/>
      </rPr>
      <t>Napomena: 
Sve predmetno je obuhvaćeno jediničnom cijenom i ne navodi se kao zasebna stavka!</t>
    </r>
  </si>
  <si>
    <t xml:space="preserve">Važno je napomenuti da ako se glazura radi samo uz dodatak vlakana bilo bi poželjno svejedno postaviti komade tj. isječke mreža u području otvora vrata radi ojačanja. Moguće je uz vlakna postaviti i armaturne mreže npr. Q69, Q92 ili Q131, ali nije nužno. </t>
  </si>
  <si>
    <t>Točnost mjera pri montaži i ugradnji krila</t>
  </si>
  <si>
    <t>Kvalitetni sistemski originalni okovi moraju biti montirani prema uputi proizvođača okova odnosno profilacije. Potrebno je osigurati nesmetan rad okova, čime se omogućava redovito podmazivanje nesmetan rad okova. Radi lakšeg održavanja i zamjene okova profili moraju imati euro-žlijeb.</t>
  </si>
  <si>
    <t>Odredba o normama
U dokumentaciji su navedena tehnička pravila koja opisuju predmet nabave pomoću hrvatskih odnosno europskih odnosno međunarodnih normi. Ponuditelj treba ponuditi predmet nabave u skladu s normama iz dokumentacije o nabavi ili jednakovrijednim normama. Stoga za svaku navedenu normu navedenu pod dotičnom normizacijskom sustavu dozvoljeno je nuditi jednakovrijednu normu, tehničko odobrenje odnosno uputu iz odgovarajuće hrvatske, europske ili međunarodne nomenklature.</t>
  </si>
  <si>
    <t>Dobava i bojanje unutarnjih ožbukanih zidova iz opeke, zidova od betona i betonskih nadvoja u zidu iz opeke, te pregradnih stijena iz gipskartonskih ploča, unutarnjom disperzivnom visokopokrivnom bojom.</t>
  </si>
  <si>
    <t xml:space="preserve">Zaštitni sloj geotekstil - tkani polipropilenski, minimalnih karakteristika: 300 g/m2, debljine d=2,8 mm. </t>
  </si>
  <si>
    <t>U jediničnu cijenu uključen sav potreban rad, svi transporti, sortiranje, i zbrinjavanje građevinskog otpada prema važećem Pravilniku.</t>
  </si>
  <si>
    <t>Kompakt ploče trebaju biti vodootporne i ne smiju upijati vodu, trebaju biti antibakterijske, ne smiju upijati ili ispuštati bilo kakve mirise, tj. trebaju biti kemijski inertne i ekološki prihvatljive, minimalno B1 grupe vatrootpornosti ili jednakovrijedno, trebaju biti otporne i postojane (kako u boji tako i u strukturi materijala) na sva sredstva za čišćenje i dezinfekciju, te otporni na vrlo jaka otapala za pranje grafita i slično (nitrorazređivač, razne vrste alkohola i kiselina itd.), te biti antikorozivni.</t>
  </si>
  <si>
    <t>U jediničnu cijenu uključen sav potreban opisani rad, svi transporti, sortiranje, i zbrinjavanje građevinskog otpada prema važećem Pravilniku.</t>
  </si>
  <si>
    <t xml:space="preserve">Kod svih prozora jediničnom cijenom stavaka obuhvaćena je i izrada i postava metalne zaštitne rešetke  u prostoru između vanjskog i unutarnjeg prozorskog krila, u svemu prema prema postojećem stanju, te prema uputama konzervatorskog zavoda. Jediničnom cijenom obuhvaćena  antikorozivna obrada metalnih elemenata rešetke, te premaz temeljnom dvokomponentnom bojom i dvokratno ličenje lakom u tonu  i predstavnika konzervatorskog zavoda.  Rad izvesti u radionici na dijelovima ograde, a eventualno ličenje lakom izvesti nakon montaže na licu mjesta. </t>
  </si>
  <si>
    <t xml:space="preserve">Rušenje zida od opeke debljine 45 cm kako bi se izveli otvori za prozore. Stavka uključuje sav horizontalni i vertikalni te transport na gradilišnu deponiju, a obračun će vrši po stvarno izvedenoj količini. </t>
  </si>
  <si>
    <t xml:space="preserve">Demontaža postojećeg lima uvale krova od pocinčanog lima r.š. do 70 cm. U cijenu stavke uključiti  interne transporte, sav rad i materijal potreban za potpuno dovršenje radova, odvoz na gradilišnu deponiju. Demontažu obavezno izvodi limar koji je dužan uzeti mjere i uzorke te snimiti detalje izvedbe, što je uključeno u cijenu stavke. Prije demontaže limar je dužan uzeti sve mjere i detalje postojeće limarije za izvedbu nove limarije, čije nacrte je dužan dati na pregled nadzornom inženjeru i predstavniku nadležnog tijela za zaštitu spomenika kulture. </t>
  </si>
  <si>
    <t xml:space="preserve">Žbukanje profiliranih dijelova pročelja (vijenci, klupčice, nadstrešnice i sl.) produžnom žbukom debljine 3,5-4 cm uz prethodni nanos produžnog naštrca, te finom žbukom 0,5-1.5 cm uz izradu i upotrebu potrebnih vodilica i šablona. Žbuka se nanosi na površine pročelja gdje je postojeća žbuka otučena, reške očišćene, a površina otprašena i oprana. </t>
  </si>
  <si>
    <t>Profilacija vertikalna uz fasadnu opeku okvira vrata prizemlja r.š. do 20  cm (m1=6)</t>
  </si>
  <si>
    <t>Sonda</t>
  </si>
  <si>
    <t>Izrada elaborata istražnih radova</t>
  </si>
  <si>
    <t>Žbukanje sokla visine 50 cm vodoodbojnom i paropropusnom cemento vapnenom žbukom debljine 3-5 cm. Mjestimično ugraditi rabic mrežicu od alkalno otpornih staklenih vlakana.
Obračun po m2 izvedenog podnožja pročelja.</t>
  </si>
  <si>
    <t>Razgrađivanje i uklanjanje unutarnjih nosivih i pregradnih zidova iz opeke, uključivo sa obostranom završnom oblogom. Ukupna debljina zidova 20-50 cm.</t>
  </si>
  <si>
    <t>Zidanje dijela unutarnjih nosivih zidova iz opeke, starog formata (pretpostavka 30x15x8 cm), zidana u produženom mortu razredbe prema HRN EN998-2:M5 ili jednakovrijedno. U cijenu je uključena obrada rubova zidova i spojeva sa susjednim plohama. Detalje završetaka i rubove zidanja izvesti po pravilim struke, te praćenje postojećeg veza opeke. Radovi se izvode uz odobrenje nadležnog konzervatorsnkog nadzora i nadzornog inženjera.</t>
  </si>
  <si>
    <t>Jedinična cijena sadrži sitne popravke površina, impregnaciju, gletanje, brušenje i kitanje, te dvostruki premaz završnom bojom u tonu. Podloga mora biti čvrsta, nosiva, suha i čista. U cijenu je uključen sav potreban rad i materijal.</t>
  </si>
  <si>
    <t>Dobava i bojanje unutarnjih stropova iz gipskartonskih ploča, armirano betonskih ožbukanih stropova, unutarnjom disperzivnom visokopokrivnom bojom.</t>
  </si>
  <si>
    <t>U jediničnu cijenu uključen sav rad, materijal i pribor, sav pripadajući okov za vrata (brava, spojnice, kvake i rozete od nehrđajućeg čelika, cilindar, odbojnik za vrata), do pune funkcionalnosti vrata.</t>
  </si>
  <si>
    <t>Dobava i oblaganje zidova keramičkim glaziranim zidnim pločicama u sanitarijama. Pločice dimenzija 60x60 cm i 30x60 cm, I klase,  boje prema uzorku i odabiru projektanta, otporne na mehanička oštećenja, postavljaju se ljepljenjem na pripremljenu podlogu. Postava pločica u visini od 2,10 m zida. U cijenu uključen sav potreban rad, materijal i pribor.</t>
  </si>
  <si>
    <t>GIPSKARTONSKI RADOVI</t>
  </si>
  <si>
    <t>Kabine izrađene od kompakt ploča debljine 13 mm. Svi rubovi kompakt ploča završno obrađeni sa skošenim ili polukružno završenim rubovima. Kabine visine 210 cm uključivo stalke od inox materijala visine 15 cm.</t>
  </si>
  <si>
    <t>Svi spojevi međustijena i dovratnika sa zidovima, te međustijena sa dovratnicima, izvedeni su sa po tri kutne inox spojnice. Prednja linija ojačana je i ukrućena gornjom horizontalnom inox cijevi promjera 32 mm, učvršćenom za dovratnike inox spojnicama, a za bočne međustijene ili zidove spojnim elementom s ukrasnom rozetom. Dosjed dovratnika i vrata izveden je Z preklopom s ugrađenim silikonskim suzama za bešumno zatvaranje vrata.</t>
  </si>
  <si>
    <t>Pregradne stijene trebaju biti odignute od poda inox stalcima visine 15 cm. Stalci trebaju imati mogućnost regulacije visine, tako da su regulacijski vijci i vijci za učvršćenje stalaka u pod skriveni ukrasnim rozetama ili elementima od inoxa.  Za sva vrata na kabinama predvidjeti tri spojnice po vratima u inox izvedbi, sa integriranom oprugom za držanje vrata u otvorenom ili zatvorenom položaju. Vrata trebaju biti opremljena leptir bravom i kuglom u inox izvedbi, s oznakom položaja slobodno - zauzeto i mogućnošću sigurnosnog otvaranja izvana.</t>
  </si>
  <si>
    <t>GIPSKARTONSKI RADOVI UKUPNO</t>
  </si>
  <si>
    <t>KERAMIČARSKI RADOVI UKUPNO</t>
  </si>
  <si>
    <t>PODOPOLAGAČKI RADOVI UKUPNO</t>
  </si>
  <si>
    <t>DOGRADNJA</t>
  </si>
  <si>
    <t>A.</t>
  </si>
  <si>
    <t>B.</t>
  </si>
  <si>
    <t>GRAĐEVINSKI RADOVI</t>
  </si>
  <si>
    <t>I.</t>
  </si>
  <si>
    <t>II.</t>
  </si>
  <si>
    <t>1.12.</t>
  </si>
  <si>
    <t>III.</t>
  </si>
  <si>
    <t>ZEMLJANI RADOVI</t>
  </si>
  <si>
    <t>1.13.</t>
  </si>
  <si>
    <t>1.14.</t>
  </si>
  <si>
    <t>Shema - detaljna skica plohe arhitektonske plastike</t>
  </si>
  <si>
    <t>Ručni utovar, odvoz i istovar skinutog i demontiranog, odvojeno sakupljenog materijala i limarije (što neće biti oporabljeno na mjestu nastanka / gradilištu) u reciklažne centre. Stavka uključuje i eventualnu naknadu za odlaganje. 
Obračun stavke samo uz dostavu dokumenta o preuzetom materijalu (i eventualno plaćenoj naknadi).</t>
  </si>
  <si>
    <t>1.15.</t>
  </si>
  <si>
    <t>Doprema na gradilište, montaža, demontaža i odvoz s gradilišta cijevne fasadne skele izrađene od bešavnih cijevi ili tipskih montažnih elemenata, te i potrebnih spojnih sredstava i pribora, sa svim potrebnim ukrućenjima i sidrenjima. Skela obuhvaća cijelu dužinu pročelja sa istakama. Skelu je potrebno osigurati od prevrtanja sidrenjem u objekt, a od udara groma uzemljenjem. Potrebno je izvesti pomoćne željezne ili drvene ljestve - penjalice u svrhu osiguranja vertikalne komunikacije po skeli.</t>
  </si>
  <si>
    <t xml:space="preserve">Prije izvedbe skele izvođač je dužan izraditi projekt skele sa uključenim rješenjima statičke stabilnosti i osiguranja zaštite na radu  što je u cijeni stavke.                                                                                                                                                                                                        </t>
  </si>
  <si>
    <t>Stavkom obuhvatiti utovar i odvoz iskopanog materijala na gradski deponij, uključivo sa svim taksama i naknadama. Napomena: Prilikom izvođenja stavke obvezno prisustvo arheološkog nadzora.</t>
  </si>
  <si>
    <t>Sisak, Lađarska ulica 28A</t>
  </si>
  <si>
    <t>k.č.718/1 k.o. Novi Sisak</t>
  </si>
  <si>
    <t>TD 2/24</t>
  </si>
  <si>
    <t>Jasenka Žagar, dipl.ing.arh.</t>
  </si>
  <si>
    <t>Rekonstrukcija i dogradnja zgrade 3 (bivša stražarnica) u sklopu Domobranske vojarne u Sisku i prenamjena u RCK Tehnička škola Sisak</t>
  </si>
  <si>
    <t xml:space="preserve">Provjera sukladnosti
Provjera sukladnosti je dio vanjske provjere, a provodi se da bi se utvrdilo jesu li određena proizvodnja ili rad izvedeni prema ugovornim odredbama. Sustav potvrđivanja sukladnosti propisan je Pravilnikom o potvrđivanju sukladnosti, ispravama o sukladnosti i označavanju građevinskih proizvoda (NN. br. 103/08, 147/09, 87/10 i 129/11). 
Kvaliteta upotrebljavanog građevinskog materijala i kvaliteta izvedenih radova mora biti popraćena odgovarajućim certifikatima i izjavama o sukladnosti. Slijedeća tablica prikazuje građevnske proizvodi obuhvaćene TPBK-om s pripadajućim normama, specifikacijama i sustavom potvrđivanja sukladnosti.
Nadzor nad izvođenjem
Nadzor nad izvođenjem radova obavlja Nadzorni inženjer. 
MATERIJALI
Na osnovu rezultata početnih ispitivanja sastojaka i svojstava betona odabrati će se isporučioci sastojaka. 
Odabrani cement, agregat i voda moraju zadovoljavati uvjete propisane u normi HRN EN 206-1 i tamo navedenim normama ili jednakovrijedno.
Za proizvodnju betona mogu se upotrebljavati samo sastojci betona koji imaju propisanu deklaraciju i certifikat o sukladnosti s odgovarajućim specifikacijama.
Vrste i učestalost nadzora/kontrole i ispitivanja opreme i sastojaka betona uz betonaru provode se prema HRN EN 206-1 ili jednakovrijedno.
</t>
  </si>
  <si>
    <t xml:space="preserve">Cement
Za proizvodnju betona mogu se upotrebljavati samo cementi čija su osnovna svojstva uvjetovana propisima odgovarajućih standarda, prethodno dokazana. Prethodna ispitivanja i dokaze podobnosti cementa za betonske radoe obavlja institucija ovlaštena za poslove provođenja dokaza sukladnosti kvalitete cementa. Prethodni dokaz kvalitete mora se pribaviti za svaku vrstu I klasu cementa pri čemu se pod vrstom cementa podrazumjeva cement određene oznake I određenog proizvođača. 
Na prijedlog Izvođača, odluku o vrsti cementa donosi Projektant ili Nadzorni inženjer na temelju prethodnih ispitivanja i certifikata ovlaštene ustanove. Cementi trebaju biti razreda tlačne čvrstoće 42,5N prema HRN EN 197-1 ili jednakovrijedno.
Prije ugrađivanja cementa Nadzorni inženjer može izvršiti kontrolno ispitivanje u laboratoriju kojeg on odabere, a Izvođač je dužan staviti besplatno na raspolaganje potrebne uzorke. Od svake isporuke treba odvojiti uzorak od 6 kg cementa, koji se čuva, za slučaj da je potrebno kompletno ispitivanje u svrhu dokazivanja kvalitete betona.
Voda
Ako se koristi voda iz javnog vodovoda može se upotrebljavati bez potrebe dokazivanja uporabljivosti. Ako se za pripremanje betona koristi voda koja nije pitka Izvođač mora prethodno dokazati uporabljivost te vode u skladu s normom HRN EN 1008:2002 ili jednakovrijedno, najmanje jednom svaka tri mjeseca (postojanje soli, sadržaj organskih tvari). 
Ukoliko postoji sumnja o mogućnosti promjene kvalitete vode, treba češće ponovno ispitati uporabljivost vode za beton.
Voda ne smije sadržavati nikakve sastojke koji bi mogli ugroziti kvalitetu ili izgled betona ili morta. Isto vrijedi za vodu za njegovanje svježeg betona.
Kontrola vode za pripremu betona provodi se u centralnoj betonari (tvornici betona), u betonari pogona za proizvodnju predgotovljenih betonskih proizvoda i u betonari na gradilištu prije prve upotrebe.
Za pripremanje nearmiranog betona, može se uporabljivost vode provjeriti ispitivanjem vremena vezivanja cementa i čvrstoće betona pri pritisku na uzorcima, koji se paralelno pripreme s predviđenom i s destiliranom vodom. Vremenska razlika između početka i kraja vezivanja cementa ne smije iznositi više od 30 min, a smanjenje čvrstoće betona pri pritisku ne smije biti veća od 10%.
</t>
  </si>
  <si>
    <t xml:space="preserve">Agregat 
Tehnička svojstva  agregata, ovisno o porijeklu, opće i posebne zahtjeve bitne za krajnju namjenu u betonu, moraju biti specificirana prema normi  HRN EN 12620 ili jednakovrijedno, normama na koje ta norma upućuje kao i odredbama priloga D Tehničkog propisa za betonske konstrukcije.
Razred kvalitete i sva svojstva agregata određena su prema normi HRN EN 206-1 "Beton -1 dio Specifikacije, svojstva, proizvodnja i sukladnost" ili jednakovrijedno i drugim važećim HRN normama ili jednakovrijedno . 
Potvrđivanje sukladnosti agregata provodi se prema odredbama dodatka za norme HRN EN 12620 ili jednakovrijedno i odredbama posebnog propisa (Pravilnik o ocjenjivanju sukladnosti, ispravama sukladnosti i označavanju građevinskih proizvoda) 
Kontrola agregata prije proizvodnje betona provodi su u centralnoj betonari (tvornici betona), u betonari pogona za predgotovljene betonske proizvode i u betonari na gradilištu prema normi HRN EN 206-1 ili jednakovrijedno. Kontrola agregata provodi se odgovarajućom primjenom nizova normi HRN EN 932 ili jednakovrijedno, HRN EN 933 ili jednakovrijedno, HRN EN 1097 ili jednakovrijedno, HRN EN 174 ili jednakovrijedno i odredbi priloga D TPBK ili jednakovrijedno.
Sva ostala potrebna ispitivanja, naročito kod sumnjivih slučajeva, a sve prema zahtjevu Nadzornog inženjera.
Izvještaj o ispitivanju agregata za beton koji izdaje proizvođač betona treba sadržavati sljedeće podatke:
- podatke o agregatu za beton uključivo identifikacijsku oznaku,
- podatke o proizvođaču,
- ime, sjedište, evidencijski broj i oznaku ovlaštenja ovlaštene pravne osobe koja je provela ispitivanje,
- datum uzimanja uzoraka,
- podatke o razdoblju u kojem je ispitivanje provedeno,
- referencijsku oznaku normi kojima su provedena ispitivanja,
- rezultate ispitivanja,
- broj izvještaja o ispitivanju.
</t>
  </si>
  <si>
    <t xml:space="preserve">Dodaci betonu (kemijski i mineralni)
Kontrola kemijskog i mineralnog dodatka betonu provodi su u centralnoj betonari (tvornici betona), u betonari pogona za proizvodnju predgotovljenih betonskih proizvoda i u betonari na gradilištu prema normi HRN EN  206-1 ili jednakovrijedno. Preporučuje se uzimanje uzoraka i odlaganje za svaku isporuku.
Na otpremnici treba biti priložena izjava o sukladnosti ili certifikat o sukladnosti prema odgovarajućoj normi ili jednakovrijedno ili propisanim uvjetima
Kemijski dodaci betonu
Opća prikladnost kemijskih dodataka utvrđuje se ispitivanjem prema HRN EN 934-2 ili jednakovrijedno. Za konkretnu primjenu kemijskog dodatka izvođač mora pribaviti certifikat prije početka prethodnih ispitivanja.
Prethodna ispitivanja: Prikladnost kemijskih dodataka za konkretnu primjenu mora se utvrditi tijekom prethodnih ispitivanja betona.
Kontrolna ispitivanja: Izvođač je dužan predočiti certifikat za svaku pošiljku svih dodataka Nadzornom inženjeru, koji odobrava upotrebu dodatka za svaku vrstu i svaki cement posebno. Za svaku pošiljku kemijskog dodatka izvođač mora prije uporabe, u laboratoriju gradilišta provjeriti njegovu kompatibilnost s betonom.
Mineralni dodaci betonu
Za konkretnu primjenu mineralnih dodatka izvođač mora pribaviti certifikat prije početka prethodnih ispitivanja.
Prethodna ispitivanja: Prikladnost mineralnih dodataka za konkretnu primjenu mora se utvrditi tijekom prethodnih ispitivanja betona.
Kontrolna ispitivanja: Izvođač je dužan predočiti certifikat za svaku pošiljku svih mineralnih dodataka Nadzornom inženjeru, koji odobrava upotrebu dodatka za svaku vrstu i svaki cement posebno.
Čelik za armiranje 
Vrsta čelika za armiranje koja se upotrebljava mora biti sukladna Tehničkim propisima za betonske konstrukcije (NN 101/05; na čelik za armiranje se odnosi prilog B) i njegovim izmjenama i dopunama (NN 85/06). </t>
  </si>
  <si>
    <t>Čelik za armiranje mora imati isprave o sukladnosti u skladu s odredbama posebnog propisa kojim se uređuje ocjenjivanje sukladnosti, isprave o sukladnosti i označavanje građevinskih proizvoda (Pravilnik o ocjenjivanju sukladnosti, ispravama o sukladnosti i označavanju građevnih proizvoda NN 1/2005)
Za armirano betonske konstrukcije predviđen je slijedeći čelik za armiranje i zavarene mreže:
Čelik  B 500 razreda duktilnosti B  
Zavarene mreže  B 500 duktilnosti B  
Ispitivanje svojstava čelika za armiranje provodi se prema nizovima normi HRN EN 10080 ili jednakovrijedno, te prema nizu normi HRN EN ISO 15630 ili jednakovrijedno i prema normi HRN EN 10002-1 ili jednakovrijedno.
Popis normi za čelik za armiranje:
HRN 1130-1:2008 Čelik za armiranje betona -- Zavarljivi čelik za armiranje -- 1. dio: Tehnički uvjeti isporuke čelika razreda A ili jednakovrijedno
HRN 1130-2:2008 Čelik za armiranje betona -- Zavarljivi čelik za armiranje -- 2. dio: Tehnički uvjeti isporuke čelika razreda B ili jednakovrijedno
HRN 1130-3:2008 Čelik za armiranje betona -- Zavarljivi čelik za armiranje -- 3. dio: Tehnički uvjeti isporuke čelika razreda C ili jednakovrijedno
HRN 1130-4:2008 Čelik za armiranje betona -- Zavarljivi čelik za armiranje -- 4. dio: Tehnički uvjeti isporuke zavarenih mreža ili jednakovrijedno
HRN 1130-5:2008 Čelik za armiranje betona -- Zavarljivi čelik za armiranje -- 5. dio: Tehnički uvjeti isporuke rešetkastih nosača ili jednakovrijedno
HRN EN 10080:2005 Čelik za armiranje betona -- Zavarljivi čelik za armiranje -- Općenito (EN 10080:2005) ili jednakovrijedno
HRN EN 10020:2008 Definicija i razredba vrsta čelika (EN 10020:2000) ili jednakovrijedno
HRN EN 10027-1:2007 Sustavi označivanja za čelike -- 1. dio: Nazivi čelika (EN 10027-1:2005) ili jednakovrijedno
HRN EN 10027-2:1999 Sustavi označivanja čelika -- 2. dio: Brojčani sustav (EN 10027-2:1992) ili jednakovrijedno
HRN EN 10079:2008 Definicija čeličnih proizvoda (EN 10079:2007) ili jednakovrijedno
HRN EN ISO 17660-1:2008 Zavarivanje -- Zavarivanje čelika za armiranje -- 1. dio: Nosivi zavareni spojevi (ISO 17660-1:2006; EN ISO 17660-1:2006) ili jednakovrijednov
HRN EN ISO 17660-2:2008 Zavarivanje -- Zavarivanje čelika za armiranje -- 2. dio: Nenosivi zavareni spojevi (ISO 17660-2:2006; EN ISO 17660-2:2006) ili jednakovrijedno</t>
  </si>
  <si>
    <t>HRN EN 287-1:2004 Provjera osposobljenosti zavarivača -- Zavarivanje taljenjem -- 1. dio: Čelici (EN 287-1:2004) ili jednakovrijedno
HRN EN 287-1:2004/AC:2007 Provjera osposobljenosti zavarivača -- Zavarivanje taljenjem -- 1. dio: Čelici (EN 287-1:2004/AC:2004) ili jednakovrijedno
HRN EN 287-1:2004/A2:2008 Provjera osposobljenosti zavarivača -- Zavarivanje taljenjem -- 1. dio: Čelici (EN 287-1:2004/A2:2006) ili jednakovrijedno
HRN EN ISO 4063:2010 Zavarivanje i srodni postupci -- Nomenklatura postupaka i referentni brojevi (ISO 4063:2009; EN ISO 4063:2009) ili jednakovrijedno
Ispituju se slijedeća svojstva čelika za armiranje:
- granica razvlačenja,
- vlačna čvrstoća,
- postotak ukupnog izduljenja kod maksimalne sile, 
- povratno savijanje.
RAZREDBA BETONA – SPECIFIKACIJE BETONA
Beton i armirani beton će se proizvoditi, ugrađivati i kontrolirati u skladu s HRN EN 206-1 "Beton -1. dio: Specifikacije, svojstva, proizvodnja i sukladnost" ili jednakovrijedno, i HRN EN 13670-1 "Izvođenje betonskih konstrukcija" ili jednakovrijedno, te u njima propisanim normama ili jednakovrijedno. 
Beton nosive konstrukcije građevine je u elementima suhog unutarnjeg okoliša.Svi ab elementi su zaštićeni toplinskim i hidroizolacijama. Klasa izloženosti betona je XC 1. Uvjet za klasu čvrstoće betona ovisno razredu izloženosti okoliša je C25/30. Zaštitni sloj betona do armature je 2.0 cm, za ab ploče. Za ab grede i ab stupove zaštitni sloj iznosi minimalno 3.0 cm. Beton ploča, ab greda i zidova je C25/30, a ab stupova je C30/37.</t>
  </si>
  <si>
    <t xml:space="preserve">Beton temelja je klase čvrstoće C25/30. Zahtjevi projektanta konstrukcije su ispunjenje zahtjeva tlačne čvrstoće ab elemenata. Zahtjev za beton temelja i svih ukopanih dijelova građevine prema tlu je da dubina prodiranja vode prema HRN 12390-8 ili jednakovrijedno ne smije premašiti iznos od 20 mm. Dodacima ( superplastifikatorima ) osigurati ispunjenje navedenog zahtjeva. Zaštitni sloj za temelje građevine je 5.0 cm. 
Osnovni zahtijevi po dijelovima konstrukcije su:
a)    Nosivi elementi konstrukcije - svi nosivi AB elementi konstrukcije u unutarnjem okolišu 
 Oznaka klase A1
OSNOVNI ZAHTJEVI
razred tlačne čvrstoće C25/30
razred izloženosti XC1
najveće zrno agregata, 32mm
razred sadržaja klorida na masu cementa ( Cl  0.4% )
v/c omjer, max 0.65
razred konzistencije, (cm) S2
min. količina cementa (kg) 260
cementi koji se ne smiju koristiti za izradu betona  -
</t>
  </si>
  <si>
    <t xml:space="preserve">ISPORUKA SVJEŽEG BETONA
Informacije korisnika betona proizvođaču
Korisnik će usuglasiti s proizvođačem:
datum isporuke, vrijeme i količinu, i  informirati proizvođača o:
posebnom transportu na gradilište, posebnim postupcima ugradnje, ograničenjima vozila isporuke, npr. tipa (agitirajuća ili neagitirajuća oprema), veličine, visine ili bruto težine.
Informacije proizvođača betona korisniku
Kada naručuje beton, korisnik će zahtijevati informacije o sastavu mješavine betona radi primjene pravilne ugradnje i zaštite svježeg betona i utvrđivanja razvoja čvrstoće betona.
Te informacije mora na zahtjev korisnika dati proizvođač prije isporuke betona, već prema tome kako odgovara korisniku. 
Kad je posrijedi tvornički proizvedeni beton, informacije, kad se zatraže, mogu također biti dane i referencama proizvođačeva kataloga sastava mješavina betona, u kojima su iskazane pojedinosti o klasama čvrstoće, klasama konzistencije, težina mješavine i drugi mjerodavni podaci.
Proizvođač treba informirati korisnika o zdravstvenom riziku koji se može pojaviti tijekom rukovanja betonom.
</t>
  </si>
  <si>
    <t>Otpremnica za gotov (tvornički proizveden) beton
Pri isporuci betona proizvođač mora dostaviti korisniku otpremnicu za svaku transportnim sredstvom 
isporučenu količinu betona, na kojoj su otisnute, utisnute ili upisane najmanje sljedeće informacije:
ime tvornice betona,
serijski broj otpremnice,
datum i vrijeme utovara, tj. vrijeme prvog kontakta cementa i vode,
broj vozila,
ime kupca,
ime i lokacija gradilišta,
detalji ili reference uvjeta, npr. kodni broj, redni broj,
količina betona u m3,
deklaracija sukladnosti s referentnim uvjetima kvalitete i EN 206 ili jednakovrijedno,
ime ili znak certifikacijskog tijela ako je relevantno,
vrijeme kad beton stiže na gradilište,
vrijeme početka istovara,
vrijeme završetka istovara.</t>
  </si>
  <si>
    <t xml:space="preserve">Otpremne informacije za gradilišni beton
Odgovarajuća informacija tražena potpoglavljem 2.1.3. za otpremnicu betona mjerodavna je i za beton proizveden na velikom gradilištu, ili kad uključuje više tipova betona.
Konzistencija pri isporuci
Općenito je svako dodavanje vode ili kemijskih dodataka pri isporuci zabranjeno. U posebnim slučajevima voda ili kemijski dodaci mogu biti dodani kad je to pod odgovornošću proizvođača i primjenjuje se za dobivanje uvjetovane vrijednosti konzistencije, osiguravajući da uvjetovane granične vrijednosti nisu prekoračene i da je dodatak kemijskog dodatka uključen u projekt betona. Količina svakog dodatka vode ili kemijskog dodatka dodana u vozilo (mikser) mora biti upisana u otpremni dokument u svim slučajevima. 
Kontrola sukladnosti i kriteriji sukladnosti
Kontrola sukladnosti sastoji se od aktivnosti i odluka koje treba poduzeti u skladu s pravilima sukladnosti prilagođenim unaprijed radi provjere sukladnosti betona s propisanim uvjetima. Kontrola sukladnosti je integralni dio kontrole proizvodnje. 
Svojstva betona kojima se kontrolira sukladnost jesu ona koja se mjere odgovarajućim ispitivanjima prema normiranim postupcima. Stvarne vrijednosti svojstava betona u konstrukcijama mogu se razlikovati od tih utvrđenih ispitivanjima, npr. ovisno o dimenzijama konstrukcije, ugradnji, zbijanju, njegovanju i klimatskim uvjetima.
Plan uzorkovanja i ispitivanja te kriteriji sukladnosti trebaju zadovoljavati postupke navedene u ovom poglavlju. 
Mjesto uzimanja uzoraka za ispitivanje sukladnosti treba odabrati tako da se mjerodavna svojstva betona i sastav betona značajnije ne mijenjaju od mjesta uzorkovanja do mjesta isporuke. 
Kada su ispitivanja kontrole proizvodnje ista kao i ispitivanja uvjetovana za kontrolu sukladnosti, treba ih uzeti u obzir pri vrednovanju sukladnosti. Proizvođač može koristiti i druge rezultate ispitivanja isporučenog betona u prihvaćanju sukladnosti.
Sukladnost ili nesukladnost prosuđuje se prema kriterijima sukladnosti. Nesukladnost može voditi daljnjim akcijama na mjestu proizvodnje i na gradilištu.  
</t>
  </si>
  <si>
    <t>Kontrola proizvodnje
Proizvođač je odgovoran za besprijekorno upravljanje proizvodnjom betona. Sav beton mora biti predmet kontrole proizvodnje.
Kontrola proizvodnje obuhvaća sve mjere nužne za održavanje svojstava betona u sukladnosti s uvjetovanim svojstvima.
To uključuje:
izbor materijala,
projektiranje betona,
proizvodnju betona,
preglede i ispitivanja,
uporabu rezultata ispitivanja sastavnih materijala, svježeg i očvrslog betona i opreme 
kontrolu sukladnosti.</t>
  </si>
  <si>
    <t>Kontrola proizvodnje mora se odvijati prema načelima serije normi HRN EN ISO 9000 ili jednakovrijedno.
Sustav kontrole proizvodnje treba sadržavati odgovarajuće dokumentirani postupak i upute. Taj postupak i upute treba po potrebi utvrditi uzimajući u obzir potrebe kontrole iskazane u tablicama 22, 23 i 24 EN 206 ili jednakovrijedno. Namjeravanu učestalost ispitivanja i nadzora treba dokumentirati. Rezultate ispitivanja i kontrola treba evidentirati izvještajima.
Svi mjerodavni podaci o kontroli proizvodnje trebaju biti zapisani (sadržani u izvještajima),  Izvještaje o kontroli proizvodnje treba čuvati najmanje 3 godina, ako zakonske obveze ne traže duže razdoblje.
Vrednovanje i potvrđivanje sukladnosti
Proizvođač je odgovoran za ocjenu sukladnosti betona s uvjetovanim svojstvima te mora provoditi I sljedeće:
početno ispitivanje kad je traženo
kontrolu proizvodnje 
kontrolu sukladnosti 
Proizvođačevu kontrolu proizvodnje treba za sve betone klase iznad C16/20 vrednovati i pregledavati ovlašteno nadzorno tijelo i zatim ovjeriti ovlašteno certifikacijsko tijelo.
Proizvođač je odgovoran za održavanje sustava kontrole proizvodnje. 
Nosivi sloj od zrnatog kamenog materijala stabiliziranog (vezanog) hidrauličnim vezivom kao dio kolničke konstrukcije ugrađuje se, u pravilu, između nosivog sloja od zrnatog kamenog materijala bez veziva i bitumeniziranog nosivog sloja autocesta i cesta s vrlo teškim i teškim prometnim opterećenjem.
Vezani nosivi sloj izrađuje se od materijala opisanih idućim uvjetima. Specificiraju se vrste materijala, zahtjevi njihove kakvoće i ugradljivosti, kao i zahtjevi kakvoće ugrađenog nosivog sloja. Ugrađeni nosivi sloj od zrnatog kamenog materijala stabiliziran hidrauličnim vezivom u smjesi zrnja osnovnog zrnatog kamenog materijala, mješavini osnovnog materijala veziva i vode, te debljini i položaju treba biti sukladan projektu, odnosno OTU. Nosivi sloj stabiliziran hidrauličnim vezivom čini mješavinu kamenog materijala određenog stupnja zrnatosti s hidrauličnim vezivom i vodom. Glavna značajka kakvoće ovog sloja jest čvrstoća (nosivost) što se izražava tlačnom čvrstoćom i stupnjem zbijenosti.</t>
  </si>
  <si>
    <t>Ako se upotrebljava građa IV. klase, dozvoljeno višekratno korištenje je:
- daske 24 mm za oplatu 3x
- daske 48 mm za oplatu 5x
- gredice za oplatu 5x
- daske 24 mm za podgradu 5x
- gredice za podgradu 10x
Kad se upotrebljava bolji kvalitet građe od IV. klase višekratnost upotrebe može se povečati za 25 %. Sav materijal potreban za izradu oplate treba pravovremeno dostaviti na gradilište u dovoljnoj količini.
Mogu s koristiti i metalne oplate ali isključivo prema uputama proizvođača oplata.
Izrada:
Oplate moraju biti stabilne, otporne i dovoljno poduprte da se ne bi izvile ili popustile u bilo kojem pravcu. One moraju biti izrađene točno po mjerama označenim u crtežima za pojedine dijelove koji će se betonirati i to sa svim potrebnim podupiračima. Kod građenja na više katova, podupirače se mora rasporediti namjestiti da se teret gornjih podupirača prenese neposredno podupirače koji leže ispod njih.
Unutarnje površine oplate moraju biti ravne, bilo da su horizontalne, vertikalne ili nagnute, prema tome kako je to u crtežima predviđeno. Nastavci pojedinih oplata ne smiju izlaziti iz ravnine, tako da nakon njihovog skidanja vidljive površine betona budu ravne i s oštrim rubovima, te da se osigura dobro brtvljenje i sprečavanje deformacije.
Za oplatu se ne smiju koristiti takvi premazi koji se ne bi mogli oprati s gotovog betona ili bi nakon pranja ostale mrlje na tim površinama. Oplatu za betonske konstrukcije čije će površine ostati vidljive, potrebno je izvesti u glatkoj blanjanoj ili profiliranoj oplati, a prema nacrtu. Ako se u projektu traži blanjana oplata onda treba koristiti daske istih širina, osim ako nije drugačije predviđeno, s vidljivom strukturom drveta, a slaganje dasaka prema projektu ili uputama projektanta. Oplate betona koje se ne žbukaju ne smiju se vezati kroz beton limovima ili žicom.
Nadvišenje oplate ovisi o građevini, njenoj namjeni i estetskom izgledu. Za manje nosače elemenata čija je slobodna dužina veća od 6,0 ml., oplata se obično postavlja tako da nakon njezina opterećenja ostane nadvišenje veličine I/1000, gdje je l = raspon elemenata.
Kad su u betonskim zidovima i drugim konstrukcijama predviđeni otvori i udubine za vodovodne i kanalizacione cijevi, cijevi centralnog grijanja i sl, kao i dimovodne i ventilacione kanale i otvore, treba još prije betoniranja izvesti i postaviti oplate u tu svrhu.</t>
  </si>
  <si>
    <t>Kod nastavljanja betoniranja po visini, prilikom postavljanja oplate za tu konstrukciju treba izvesti i zaštitu površina betona, već gotovih konstrukcija od procjeđivanja cementnog mlijeka. Naposredno prije početka ugrađivanja betona oplata se mora očistiti.
Rovovi dubine do 1,0 m po pravilu se ne razupiru. Kod dubine rovova ili sondažnih jama preko 4,0 m, s jakim pritiskom zemlje treba raditi nabijenu oplatu. Bočne strane rovova razupiru se daskom debljine najmanje 48 mm, te oblim ili tesanim gredama i klinovima. Kad se radi nabijena oplata razupiranje vršiti daskama debljine ne manje od 48 mm, klinovima i okvirima za ukrućivanje od tesanih ili oblih greda. Oplate moraju biti tako izvedene da se mogu lako skidati bez potresa i oštećenja konstrukcije. Oplata se smije skinuti tek pošto ugrađeni beton postigne odgovarajuću čvrstoću.
Pod skidanjem oplate podrazumijeva se odstranjivanje iste sa zidova ili konstrukcija, sa svim njenim elementima, kao i slaganje i sortiranje građe na određenim mjestima. Također je uključeno i čišćenje dasaka gredica, potpora i vađenje čavala, siječenje vezne žice, vađenje klanfi i zavrtanja, kao i čišćenje tih elemenata od eventualnih ostataka stvrdnutog betona.
Izrađena oplata, s podupiranjem, prije betoniranja mora biti od strane izvođača statički kontrolirana. Prije nego što se počne ugrađivati beton moraju se provjeriti dimenzije oplate, kavkoče njihove izvedbe kao i čištoća i vlažnost oplate. Rezultati ispitivanja nivelete oplate, kao i zapisnik o prijemu tih konstrukcija čuvaju se u evidenciji koja se prilikom primopredaje izgrađene građevine ustupa korisniku te građevine. 
Promjeravanje i obračun izvršenih radova vršit će se prema " Prosječnim normama u građevinarstvu " ili jednakovrijedno. Tesarski radovi se obračunavaju po m² tlocrtne površine konstrukcije i to na osnovu opisa i nacrta. Izvođač je dužan sam iz nacrta i opisa izračunati potrebnu količinu građe i spojnih sredstava, rada i transporta koji svi ulaze u jediničnu cijenu.
Osnovni zahtjevi
Oplate, uključujući njihove potpore i temelje, reba projektirati i konstruirati tako da su:
-  otporne na svako djelovanje kojem su izložene tijekom izvedbe,
-  dovoljno čvrste da osiguraju zadovoljenje tolerancija uvjetovanih za konstrukciju i spriječe oštećivanje konstrukcije.
-   oblik, funkcioniranje, izgled i trajnost stalnih radova ne smiju biti ugroženi ni oštećeni svojstvima skela i oplate te njihovim uklanjanjem.
-   skele i oplate moraju zadovoljavati mjerodavne hrvatske i europske norme kao što je EN 1065 ili jednakovrijedno.</t>
  </si>
  <si>
    <t>Oplatna ulja
Oplatna ulja treba odabrati i primijeniti na način da ne štete betonu, armaturi ili oplati i da ne djeluju štetno na okolinu.
Nije li namjerno specificirano, oplatna ulja ne smiju štetno utjecati na valjanost površine, njezinu boju ili na posebne površinske premaze.
Oplatna ulja treba primjenjivati u skladu s uputama proizvođača ili isporučitelja.
Oplate
Oplata treba osigurati betonu traženi oblik dok ne očvrsne.
Oplata i spojnice između elemenata trebaju biti dovoljno nepropusni da spriječe gubitak finog morta.
Oplatu koja apsorbira značajniju količinu vode iz betona ili omogućava evaporaciju treba odgovarajuće vlažiti da se spriječi gubitak vode iz betona, osim ako nije za to posebno i kontrolirano namijenjena.</t>
  </si>
  <si>
    <t>b)    Nosivi elementi konstrukcije – Ab stupovi 
 Oznaka klase B1
OSNOVNI ZAHTJEVI
razred tlačne čvrstoće C30/37
razred izloženosti XC1
najveće zrno agregata, 32mm
razred sadržaja klorida  Cl  0.4
v/c omjer, max 0.55
razred konzistencije, (cm) S2
min. količina cementa (kg) 300
cementi koji se ne smiju koristiti za izradu betona  -
Sastav betona određuje se na osnovu početnih ispitivanja, koja se provode u laboratoriju proizvođača betona, a zatim s odabranim sastavima na betonari. 
Ukoliko se beton proizvodi na gradilištu, Izvođač radova mora sastaviti Program početnih ispitivanja betona i sastojaka i predati ga nadzornom inženjeru na odobrenje 14 dana prije početka ispitivanja. Početnim ispitivanjima moraju se dokazati sva svojstva predviđena prethodnom tablicom.
SASTAV BETONSKIH MJEŠAVINA
Proizvodnja betona smije početi na temelju recepture bazirane na temelju početnih ispitivanja materijala i betona kako je navedeno u ovom poglavlju (Tehnički uvjeti izvođenja radova i program kontrole kvalitete), s time da receptura bude odobrena od Nadzornog inženjera.
Usvojenom optimalnom recepturom treba postići kompaktan beton sa što manjom količinom cementa.
Sastav mora sadržavati težinske postotke pojedinih frakcija agregata, količinu i vrstu cementa i eventualnih dodataka, konzistenciju i vodovezivni faktor, sva fizikalna svojstva gotovog betona, te dokumentaciju o izvoru i kvaliteti upotrijebljenih materijala. Izvođač može započeti sa radovima tek nakon dobivanja pismenog odobrenja od Nadzornog inženjera. Odobrenje proizvodnje betona od Nadzornog inženjera ne znači da je Izvođač lišen odgovornosti za slučaj eventualnog neuspjeha u postizanju čvrstoća betona, već je dužan ukloniti nekvalitetan beton.</t>
  </si>
  <si>
    <t xml:space="preserve">Stabilizacijska mješavina sastavljena je od zrnatog kamenog materijala određene granulacije, hidrauličnog veziva određene klase u točno određenoj količini i optimalne količine vode, koja je dostatna za hidrataciju hidrauličnog veziva i obavijanje zrna, a određena je prethodnim sastavom.
Stupanj zbijenosti je omjer između suhe prostorne mase ugrađenog sloja određene prema normi HRN U.B1.016 ili jednakovrijedno i maksimalne suhe prostorne mase određene po modificiranom Proctorovu postupku prema normi HRN U.B1.048 ili jednakovrijedno, izražen kao postotak.
Tlačna čvrstoća je omjer jednoaksijalne sile i površine ispitnog uzorka na koju sila djeluje, uz slobodno bočno širenje, a prema normi HRN U.B1.030 ili jednakovrijedno.
Opći uvjeti:
Ovim uvjetima propisuje se način izrade i osobine materijala, čega se treba pridržavati kod izrade oplate, razupiranja i sličnih radova. Pri izradi se treba pridržavati:  pravilnika za beton i armirani beton, pravilnika o zaštiti na radu u građevinarstvu te  projekta i statičkog računa. Radionički nacrti su uključeni u jediničnu cijenu, a prije izvođenja potpisom ih ovjerava nadzorni inženjer i projektant konstrukcije.
Izvođač će prije izrade radioničkih nacrta kontrolirati mjere na gradilištu i izraditi dokumentaciju temeljem stvarnih mjera ugradnje.
Oplate kao i razna razupiranja moraju imati takvu sigurnost i krutost da bez slijegavanja i štetnih deformacija mogu primati opterećenja i uvjete koji nastaju za vrijeme izvedbe radova. Te konstrukcije moraju biti tako izvedene da osiguravaju punu sigurnost radnika i sredstava rada, kao i sigurnost prolaznika, promet, susjednih objekata i okolice.
Materijal:
Za izradu drvene oplate koristiti daske, gredice i letve od jelove rezane građe, prema HRN D.C1.041 ili jednakovrijedno ili vodootporne, ukočene ploče i iverice prema Pravilniku o tehničkim zahtjevima za drvne ploče (NN 24/11)i pripadajućim normama.
Čavlane i vijčane spojeve treba izvoditi nehrđajućim, galvanski zaštićenim, spojnim sredstvima. oplate
od ukočenih ploča, iverica ili dasaka uz vijčane ili metalne spojeve lijepiti vodootpornim ljepilom.
</t>
  </si>
  <si>
    <t xml:space="preserve">Unutarnja površina oplate mora biti čista. Ako se koristi za vidni beton, njezina obrada mora osigurati takvu površinu betona.
Površinska obrada
Posebnu površinsku obradu betona, ako se traži, treba utvrditi projektnim specifikacijama. 
Za prihvaćanje zadane kvalitete površinske obrade mogu biti uvjetovani pokusni betonski paneli. 
Vrsta i kvaliteta površinske obrade ovise o tipu oplate, betonu (agregatu, cementu, kemijskim i mineralnim dodacima), izvedbi i zaštiti tijekom izvedbe.
Oplatni ulošci i nosači
Privremeni držači oplate, šipke, cijevi i slični predmeti koji će se ubetonirati u sklop koji se izvodi i ugrađeni elementi kao npr. ploče, ankeri i distanceri trebaju:
•    biti čvrsto fiksirani tako da očuvaju projektirani položaj tijekom betoniranja,
•    ne uzrokovati neprihvatljive utjecaje na konstrukciju,
•    ne reagirati štetno s betonom, armaturom ili prednapetim čelikom,
•    ne uzrokovati neprihvatljivi površinski izgled betona,
•    ne štetiti funkcionalnosti i trajnosti konstrukcijskog elementa.
Svaki ugrađeni dio treba imati dovoljnu čvrstoću i krutost da zadrži oblik tijekom betoniranja. Ne smije sadržavati tvari koje mogu štetno djelovati na njih same, beton ili armaturu.
Udubljenja ili otvore za privremene radove treba zapuniti i završno obraditi materijalom kakvoće slične okolnom betonu, osim ako ne ostaju otvoreni ili im je drugi način obrade specificiran.
Uklanjanje oplate
oplate se ne smiju uklanjati dok beton ne dobije dovoljnu čvrstoću:
• otpornu na oštećenje površine skidanjem oplate,
• dovoljnu za preuzimanje svih djelovanja na betonski element u tom trenutku,
• da izbjegne deformacije veće od specificiranih tolerancija elastičnog ili neelastičnog ponašanja betona.
</t>
  </si>
  <si>
    <t xml:space="preserve">Uklanjanje oplate treba izvoditi na način da se konstrukcija ne preoptereti i ne ošteti.
Stabilnost oplate treba održavati pri oslobađanju i uklanjanju opterećenja.
Postupak podupiranja ili otpuštanja kad se primjenjuje za reduciranje utjecaja početnog opterećenja, sukcesivno opterećenje i/ili izbjegavanje velike deformacije treba detaljno utvrditi.
Obračun:
Jedinična cijena sadrži: sve troškove drvne građe, metalnih elemenata i cijevi te spojnih sredstava, troškove radne snage za izradu kompletnog rada prema opisu i troškovniku, troškove horizontalnog i vertikalnog transporta, montažu i demontažu, čišćenje oplate po završenoj montaži, čišćenje oplate nakon demontaže i uklanjanje otpadaka,  svu štetu oko popravka oplate ili skele, učinjene uslijed nepažnje u radu, troškove zaštite na radu, kontrolu ankera instrumentom.
Napomene:
Beton novih armiranobetonskih elemenata je razreda C 25/30. Beton nearmiranih elemenata je razreda C8/10. 
Beton armiranobetonskih elemenata temeljen konstrukcije u tlu je razreda C25/30 VDP2.
Odabrani zaštitni slojevi betona do armature su :
ab stropne ploče - 2,5cm
ab grede - 3,0cm
ab stupovi - 3,0cm
ab zidovi - 2,0cm
ab temeljne trake - 5,0cm
</t>
  </si>
  <si>
    <t xml:space="preserve">Sva ovješenja, oslonce, pričvrsnice, konzole, brtve kao i ostali sitni materijal, koji nije posebno specificiran dobavlja izvođač radova, koji je odgovoran za pravilno ovješenje, brtvljenje i nepropusnost izrađene cijevne instalacije, u skladu sa tehničkim standardima i uputama proizvođača.
</t>
  </si>
  <si>
    <t>nabavu, dopremu i raznošenje svog osnovnog i pomoćnog materijala, strojeva, alata, sav potreban spojni i pričvrsni materijal</t>
  </si>
  <si>
    <t xml:space="preserve">Svi vanjski armiranobetonski elementi, armiranobetonske ploče, temelji, rampe, stubišta C25/30,  vidljivi nezaštićeni ab elementi C30/37, izvode se sa dodatkom za vodonepropunost, što je obuhvaćeno jediničnom cijenom stavaka. Zaštitini slojevi betona za vanjske elemente su minimalno 5,0cm za temelje, i 3,5cm za ostale elemente.
Sve armiranobetonske elemente armirati u svemu prema statičkom proračunu i nacrtima armature. 
Sve armiranobetonske elemente u vanjskom prostoru armirati minimalnom konstruktivnom armaturom; ploče armirati obostrano mrežama Q-257.
Ispunjavanje zahtjeva tlačne čvrtoće konstruktivnih elemenata prema planu i kontroli ispitivanja. Ispunjavanje zahtjeva dubine prodiranja vode za ab temeljne trake od maksimalno 20mm prema HRN EN 12390 ili jednakovrijedno.
Napomena za povezivanje  postojećih konstruktivnih elemenata s novima:
Svi prodori i bušenja za postavu armaturnih šipki u postojećim konstruktivnim elementima radi povezivanja postojećih konstruktivnih elemenata s novima predviđeni su temeljem podataka o konstrukciji postojeće građevine dostupnim u fazi izrade projektne dokumentacije. Točan raspored i gustoća postave armaturnih šipki biti će poznat po otvaranju konstrukcije, utvrđivanju materijala i izmjere postojećih konstruktivnih elemenata, te provedbi eventualno potrebne dodatne statičke kontrole nosivosti po dobivanju tih podataka
U jediničnoj cijeni stavaka sadržan sav rad, materijal, postava armature konstruktivnih elemenata i armaturnih šipki u prodore u postojećim zidovima, zapunjavanje prodora u postojećim zidovima epoksidnim mortom, sve do pune gotovosti armiranobetonske konstrukcije. Količine armaturnih šipki za povezivanje postojećih konstruktivnih elemenata s novim elementima obračnate su u armiračkim radovima.
Svi otvori i prodori u armiranobetonskim konstruktivnim elementima izvode se prema planovima oplate, nacrtima armature i izvedbenoj projektnoj dokumentaciji, u toku beotniranja, a što je obuhvaćeno jediničnom cijenom stavaka.
Radi ograničenog uvida u postojeće stanje konstrukcije tijekom izrade projektne dokumentacije, i potrebe izmjene ili dopune pojednih projektnih rješenja, a koja su dana na temelj pretpostavki o postojećem stanju konstrukcije, Investitor je obvezan osigurati  projektantski nadzor projektanta konstrukcije, a sve sukladno važećim zakonima i propisima.
Sve radove potrebno je izvoditi pažljivo, kako prilikom izvođenja radova ne bi došlo do oštećivanja postojećih konstruktivnih elemenata i temeljne konstrukcije građevine.
</t>
  </si>
  <si>
    <t>Cijena za svaku točku ovog troškovnika mora obuhvatiti dobavu, montažu, spajanje, po potrebi uzemljenje, te dovođenje u stanje potpune funkcionalnosti.
U cijenu također ukalkulirati sav potreban spojni, montažni, pridržni i ostali materijal potreban za</t>
  </si>
  <si>
    <t>SKELA I PRIPREMNI RADOVI</t>
  </si>
  <si>
    <t>SKELA I PRIPREMNI RADOVI UKUPNO</t>
  </si>
  <si>
    <t>KONZERVATORSKI ISTRAŽNI RADOVI</t>
  </si>
  <si>
    <t>KONZERVATORSKI ISTRAŽNI RADOVI UKUPNO</t>
  </si>
  <si>
    <t>1.16.</t>
  </si>
  <si>
    <t>Ručna demontaža postojećeg crijepa i krovnih letvi do nosive konstrukcije krovišta, te odlaganje na gradilišnu deponiju. Obračun se vrši po stvarnoj površini krovnih ploha. U cijenu stavke uključiti interne transporte, pomičnu građevnu skelu, sav rad i materijal potreban za potpuno dovršenje radova.</t>
  </si>
  <si>
    <t>1.17.</t>
  </si>
  <si>
    <t xml:space="preserve">Demontaža unutarnjih stolarskih elemenata, vrata s dovratnicima. Stavka uključuje demontažu, odlaganje i zbrinjavanje demontirane postojeće stolarije te sve transporte. </t>
  </si>
  <si>
    <t>Obuhvatiti sva geodetska mjerenja, kojima se podaci iz projekta prenose na teren, osiguranje iskolčenih osi trase, profiliranje, obnavljanje i održavanje iskolčenih oznaka na terenu za sve vrijeme građenja, odnosno do predaje radova investitoru.</t>
  </si>
  <si>
    <t>Iskolčenje građevine mora obaviti osoba ovlaštena za obavljanje poslova izmjere. Ispravnost iskolčenja građevine potvrđuje ovlaštena osoba (prethodni pasus) upisom u građevinski dnevnik prije početka radova iskopa.</t>
  </si>
  <si>
    <t>Izrada geodetskog elaborata izvedene građevine i parcele, te instalacija s uplanjenjem u katastar. Izvesti po ovlaštenoj osobi.</t>
  </si>
  <si>
    <t>Prilikom iskopa za temeljenje objekta i pripreme temeljnog tla obvezan je nadzor od strane geomehaničara i kontrola kvalitete temeljnog tla uspoređivanjem s podacima iz geotehničkog elaborata.</t>
  </si>
  <si>
    <t>Investitor je dužan osigurati arheološki nadzor nad svim zemljanim radovima.</t>
  </si>
  <si>
    <t>1.18.</t>
  </si>
  <si>
    <t>1.19.</t>
  </si>
  <si>
    <t>Demontaža - razbijanje postojeće betonske ploče poda sa svim priradajućim podnim slojevima do dubine 50 cm od postojeće kote poda.</t>
  </si>
  <si>
    <t>Stavkom obuhvatiti utovar i odvoz iskopanog materijala na gradski deponij, uključivo sa svim taksama i naknadama. Napomena: Prilikom izvođenja stavke obvezno prisustvo arheološkog nadzora. Radove je potrebno izvoditi unutar postojeće zgrade te je prema tome potrebna primjena specijalne građevinske mehanizacije. Sva otežanja i potrebna prilagođenja u cijeni.</t>
  </si>
  <si>
    <t xml:space="preserve">Uključivo potrebno razupiranje i podupiranje iskopa i postojećih temelja, te bušenje rupe za povezivanje temelja svakih 150 cm prema opisu u projektu mehaničke otpornosti i stablinosti. Sva otežanja i potrebna prilagođenja u cijeni. </t>
  </si>
  <si>
    <t>2.9.</t>
  </si>
  <si>
    <t>Nabava, doprema i ugradnja pvc folije za zaštitu pokosa od erozije. Pvc folija od 200 microna, UV zaštita D-4. Površina povećana za 10% radi preklapanja.</t>
  </si>
  <si>
    <t>Obračun po m2 ugrađene pvc folije.</t>
  </si>
  <si>
    <t>Obračun po m3 izvedenog sloja nasipanog i zbijenog tla.</t>
  </si>
  <si>
    <t>Demontaža  postojećih limenih vertikalnih oluka sa svim pričvrsnicama, obujmicama, kukama, fazonskim komadima spojeva na horizontalni žlijeb i sl., spuštanje na tlo i odvoz na gradilišnu deponiju.  
Obračun po m1 lima i komadu obujmice.</t>
  </si>
  <si>
    <t>Rušenje svih dimnjaka u dijelu iznad krova. U cijenu stavke uključiti interne transporte, pomičnu građevnu skelu, sav rad i materijal potreban za potpuno dovršenje radova, odvoz razgrađenog materijala na gradilišnu deponiju.</t>
  </si>
  <si>
    <t>Ručni utovar građevinske šute, materijala od rušenja, materijala krovišta i slično, te odvoz na udaljenost do 10 km, istovar izvrtanjem i planiranjem na gradskoj planirki. Plaćanje svih pristojbi uključiti u jediničnu cijenu. Obračun stavke samo uz dostavu dokumenta o preuzetom materijalu (i eventualno plaćenoj naknadi).</t>
  </si>
  <si>
    <t>Stavkom obuhvatiti utovar i odvoz iskopanog materijala na gradski deponij, uključivo sa svim taksama i naknadama. Prilikom izvođenja stavke obvezno prisustvo arheološkog nadzora.</t>
  </si>
  <si>
    <t xml:space="preserve">Nabava i ugradnja zamjenskog materijala debljine 80 cm za pripremu temeljnog tla. Zamjenski materijal potrebno je izraditi od drobljenog kamenog materijala iz pozajmišta, uz obavezno zbijanje u slojevima. Maksimalna veličina zrna iznosi do 15 cm ili pola debljine sloja. Na uređenu posteljicu će se postaviti geotekstil (min 260 g/m2, vlačna sila min. 15 kN/m, minimalna otpornost na proboj CBR 1850) i nasip od drobljenog kamenog materijala do tražene kote. Sve nasipe vršiti u slojevima debljine do 30 cm uz dobro nabijanje da se dobije optimalna zbijenost, uz vlaženje materijala nasipa ako je potrebno. Izrada nosivog sloja od mehanički zbijenog drobljenog kamenog materijala kontinuiranog granulometrijskog sastava. Minimalna zapreminska gustoća materijala nasipa 1.50 t/m3. Zbijanje vršiti vibrovaljcima do traženog modula stišljivosti.
Karakteristike izvedenog nasipa moraju zadovoljavati slijedeće uvijete: MS = 60 MPa, SZ=100%.         </t>
  </si>
  <si>
    <t>IV.</t>
  </si>
  <si>
    <t>V.</t>
  </si>
  <si>
    <t xml:space="preserve">Dobava betona i izvedba ojačanja postojećih temeljnih traka, podbetoniravanje postojećih temelja, kampadna izvedba metodom šahovskog polja. Širina betonskog sloja koji se izvodi uz postojeći temelj je 20 cm. Svakih 150 cm uzduž postojeće temeljne trake predviđeno je povezivanje bočnih armiranobetonskih grednih pojačanja kako bi se formirao temeljni roštilj s ciljem jednolikog prijenosa opterećenja s postojećih temelja na bočna pojačanja, te je navedeno uključeno u cijenu. </t>
  </si>
  <si>
    <t>Armiranobetonske temeljne trake treba se izvoditi pažljivo u kampadama duljine do 100 cm, kako se ne bi poremetila postojeća konstrukcija, i sukladno planu i rasporedu izvedbe kampada u projektnoj dokumentaciji (nacrti armature).</t>
  </si>
  <si>
    <t>Obračun po m3 ugrađenog betona</t>
  </si>
  <si>
    <t xml:space="preserve">Demontaža slojeva međukatne konstrukcije iznad prizemlja. </t>
  </si>
  <si>
    <t>2.10.</t>
  </si>
  <si>
    <t>Armirano betonsku tlačnu ploču potrebno je izvesti na daščanoj oplati debljine 24 mm, te je po drvenim grednicima potrebno postaviti vijke za sprezanje 7.5 mm x 165 mm pod međusobnim kutom od 90 stupnjeva i kutom 45 stupnjeva u odnosu na grednik. Vijci se postavljaju u prvoj četvrtini raspona na razmaku od 10 cm dok se u ostalom području tj. sredini raspona postavljaju na razmaku od 20 cm. Spoj tlačne ploče i zidanog zida ostavriti s 2 sidra M20 dužine 150 cm koji se pod međusobnim kutom od 90 stupnjeva postavljaju u zidani nosivi zid, uz prethodno bušenje, ispuhivanje rupe s tlačenim zrakom, te injektiranjem epoxy smole u rupu oko sidra. Broj sidara po metru dužnom tlačne ploče odrediti prema projektu mehaničke otpornosti i stabilnosti, izvedbenom projektu, a prema uputi projektanta konstrukcije i nadzornog inženjera. Prilikom izvedbe tlačne ploče konstrukcija treba biti vertikalno pridržana na polovici raspona. Napomena: sve opisano uključeno je u cijenu stavke.</t>
  </si>
  <si>
    <t>Dobava betona, armiranje i izvedba armiranobetonske temeljne ploče debljine 100 cm.</t>
  </si>
  <si>
    <t>Dobava betona, armiranje i izvedba armiranobetonske temeljne ploče debljine 40 cm.</t>
  </si>
  <si>
    <t>Dobava betona, armiranje i izvedba armiranobetonskih ravnih greda prizemlja, dimenzija 50/180 cm.</t>
  </si>
  <si>
    <t>Maksimalna visina podupiranja 550 cm.</t>
  </si>
  <si>
    <t>Dobava betona, armiranje i izvedba armiranobetonskih ravnih greda prizemlja, dimenzija 50/170 cm.</t>
  </si>
  <si>
    <t>Dobava betona, armiranje i izvedba armiranobetonskih ravnih greda prizemlja, dimenzija 30/170 cm.</t>
  </si>
  <si>
    <t>Maksimalna visina podupiranja 400 cm.</t>
  </si>
  <si>
    <t>Dobava betona, armiranje i izvedba armiranobetonske ravne stropne ploče iznad prizemlja, debljine 20 cm, betonom C25/30.</t>
  </si>
  <si>
    <t>Dobava betona, armiranje i izvedba armiranobetonske ravne stropne ploče iznad prizemlja, debljine 25 cm, betonom C25/30.</t>
  </si>
  <si>
    <t>Visina podupiranja do 350 cm.</t>
  </si>
  <si>
    <t>Visina podupiranja do 710 cm.</t>
  </si>
  <si>
    <t>VI.</t>
  </si>
  <si>
    <t>Obračun po kg ugrađene armature.</t>
  </si>
  <si>
    <t>Izvesti prema statičkom računu i nacrtima savijanja armature. Količine u troškovniku računate u odnosu na m3 ugrađenog betona. Stvarne količine će se obračunati na temelju nacrta savijanja, računajući teoretske težine.</t>
  </si>
  <si>
    <t>Prije betoniranja nadzorni inženjer treba pregledati montiranu armaturu i upisom u građevinski dnevnik odobriti betoniranje.</t>
  </si>
  <si>
    <t>VII.</t>
  </si>
  <si>
    <t xml:space="preserve">Žbukanje  pročelja na ravnim plohama u svemu kao izvorna žbuka, u sloju debljine 3-5 cm. Obrada pročelja izvodi se produžnom grubom i finom žbukom razredbi prema HRN EN998-2:M5 ili jednakovrijedno, omjera 1:3:9 završne obrade u svemu identično izvornoj žbuci na pročelju. Žbuka se nanosi na ravne površine pročelja gdje je postojeća žbuka otučena, reške očišćene, a površina otprašena i oprana. Žbuku izvesti prema slijedećim fazama: površinu zida oprati vodom pod pritiskom na navlaženu površinu zida nanijeti rijetki cementni mort-špric omjera 1:2. </t>
  </si>
  <si>
    <t>Injektiranje pukotina u zidovima od opeke masom za injektiranje uz prethodno čišćenje pukotina i otprašivanje. Rad se izvodi u svemu prema uputama proizvođača mase za injektiranje i odredbama projektanta i to nakon otucanja žbuke i detaljnog pregleda strukture zidova (sa skele), ukoliko statičar ocijeni nužnim.</t>
  </si>
  <si>
    <t>VIII.</t>
  </si>
  <si>
    <t>Visina podupiranja do 400 cm.</t>
  </si>
  <si>
    <t>Obijanje unutarnje žbuke s nosivih zidanih zidova prizemlja, debljine 2-5 cm, uključivo sa završnom oblogom. Završna obloga može biti uljana boja, disprezivna boja ili keramičke pločice. Jediničnom cijenom obuhvaćeno čišćenje reški nakon uklanjanja žbuke.</t>
  </si>
  <si>
    <t>Ručno otucanje stare trošne žbuke debljine 3-5 cm, sa ravnih ploha pročelja, nakon završenih svih konzervatorskih istraživanja. Rad izvoditi pažljivo naročito u blizini profilacija i dekorativnih elemenata. Ziđe pročelja je od opeke. Nakon obijanja žbuke zid očistiti čeličnim četkama, a reške skobama do dubine od 1 cm. Potom cijelu površinu otprašiti i isprati vodom. Uključivo špalete otvora te prijenos i odlaganje šute na gradilišnu deponiju. Obračun po m2 ortogonalne projekcije pročelja, ne računajući površine prozorskih otvora i profilacija. Predviđeno otucanje 100% površine.</t>
  </si>
  <si>
    <t>Demontaža postojećeg horizontalnog žlijeba izrađenog od pocinčanog čeličnog lima d=0.55. Stavka obuhvaća i demontažu kuka. 
Obračun po m1  žlijeba te komadu kuke.</t>
  </si>
  <si>
    <t>Demontaža postojećeg opšava od pocinčanog lima na dimnjacima r.š. do 50 cm. U cijenu stavke uključiti interne transporte, sav rad i materijal potreban za potpuno dovršenje radova, odvoz materijala na gradilišnu deponiju. Obračun po m1 lima.</t>
  </si>
  <si>
    <t xml:space="preserve">Izvedba temeljne ploče betonom C25/30 s dodatkom aditiva za vodonepropusnost.         </t>
  </si>
  <si>
    <t>IX.</t>
  </si>
  <si>
    <t>GRAĐEVINSKI RADOVI UKUPNO</t>
  </si>
  <si>
    <t>OBRTNIČKI RADOVI</t>
  </si>
  <si>
    <t>Prekid toka kapilarne vlage injektiranjem zida debljine cca 60 cm, u visini oko 10 cm od kote terena - injektirajuća masa za prekid kapilarne vlage.</t>
  </si>
  <si>
    <t xml:space="preserve">U postojećim zidovima potrebno je izbušiti rupe 12 mm promjera koje trebaju biti horizontalno izbušene na razmacima centara ne većima od 120 mm, dubina rupa  40 mm od ukupne debljine zida.
Rupe se buše horizontalno, direktno kroz fugu, najbolje pri dnu zida od opeke, u odabranu fugu prema shemi izvođenja i tehnološkim uputama proizvođača sustava.
Nakon bušenja potrebno je svaku pojedinu rupu temeljito očistiti komprimiranim zrakom. </t>
  </si>
  <si>
    <t>Obračun po m1 obrađene površine zida.</t>
  </si>
  <si>
    <r>
      <t>minimalnih tehničkih karakteristika: epoksidno strukturalno tiksotropno ljepilo, bez otapala, predviđeno za ugradnju pri normalnim temperaturama 10-35</t>
    </r>
    <r>
      <rPr>
        <sz val="10"/>
        <rFont val="Calibri"/>
        <family val="2"/>
        <charset val="238"/>
      </rPr>
      <t>°</t>
    </r>
    <r>
      <rPr>
        <sz val="10"/>
        <rFont val="Calibri"/>
        <family val="2"/>
        <charset val="238"/>
        <scheme val="minor"/>
      </rPr>
      <t xml:space="preserve">C, za izvedbu sanacija, otporno na ulijeganje, max. debljina sloja 30 mm, vezanje bez skupljanja. </t>
    </r>
  </si>
  <si>
    <t>U sustavu je potrebno uključiti i postavljanje ploča od ekstrudiranog polistirena debljine 1 cm na spoju krute ploče "plivajućih podova" i svih obodnih zidova i drugih konstrukcija, uračunato je u stavci.</t>
  </si>
  <si>
    <t xml:space="preserve">Toplinska izolacija izvodi se iz ploča kamene vune - tvrdih ploča minimalnih karakteristika: gustoće 50 kg/m3, λ = 0,035 W/mK, otpora strujanju minimalno AF10, klasa gorivosti po HRN EN 13501-1: A1 ili jednakovrijedna, kaširane staklenim voalom. Kamenu vunu pričvrstiti na podlogu plastičnim pričvrsnicama sa širokom glavom (min. 6-8 kom/m2), te dodatno učvrstiti građevinskim ljepilom. Izvesti u svemu prema uputi proizvođača, uključivo sa svim potrebnim spojnim i pričvrsnim materijalom. </t>
  </si>
  <si>
    <t>Iskop tla A, B, C kategorije u debljini sloja potrebnog za izvedbu temeljnih traka i nadtemeljnih zidova nosivih armiranobetonskih zidova postojeće zgrade. Dubina sloja iskopa do 150 cm od kote zaravnatog terena.</t>
  </si>
  <si>
    <t xml:space="preserve">Iskop tla A, B, C kategorije u debljini 50 cm za izvedbu podne konstrukcije postojeće zgrade.  </t>
  </si>
  <si>
    <t xml:space="preserve">Armiranobetonske zidove potrebno je usidriti izvedbom tzv. čepa u zidu od opeke dubine do 25 cm u koji je potrebno postaviti 3 vilice promjera 10 mm na razmaku 75 mm, na koje će se povezati armaturne mreže zida. Raster i broj čepova u zidu te geometrija vilice definirana je statičkim proračunom i nacrtima armature, te je navedeno uključeno u jediničnu cijenu stavke. </t>
  </si>
  <si>
    <t xml:space="preserve">Dobava betona, armiranje i izvedba nosivih zidova prizemlja. Armiranobetonski zidovi debljine 25 cm, izvode se u dvostranoj glatkoj oplati, betonom C25/30. </t>
  </si>
  <si>
    <t>Dobava betona, armiranje i izvedba nosivih zidova prizemlja. Armiranobetonski zidovi debljine 20 cm, izvode se u dvostranoj glatkoj oplati, betonom C25/30.</t>
  </si>
  <si>
    <t>Dobava betona, armiranje i izvedba armiranobetonskih stupova prizemlja. Amiranobetonski stupovi dimenzija 50x50 cm, izvode se u glatkoj oplati, betonom C25/30.</t>
  </si>
  <si>
    <t>Amiranobetonske grede izvode se u glatkoj oplati, betonom C25/30.</t>
  </si>
  <si>
    <t xml:space="preserve">Amiranobetonske grede izvode se u glatkoj oplati, betonom C25/30. </t>
  </si>
  <si>
    <t>Armiranobetonska ploča izvodi se u glatkoj oplati.</t>
  </si>
  <si>
    <t>Dobava, izrada, siječenje, savijanje, postava i vezivanje armature kvalitete B500B ili jednakovrijedno (šipkasta armatura i mreže).</t>
  </si>
  <si>
    <t>- armatura B500B - šipke i mreže</t>
  </si>
  <si>
    <t>Dobava betona i izvedba armiranobetonske podne ploče debljine 20 cm, na zbijenom tamponskom sloju šljunka, betonom C25/30, s dodatkom aditivima za vodonepropusnost.</t>
  </si>
  <si>
    <t xml:space="preserve">Dobava i ugradnja toplinske izolacije na bazi ekstrudiranog polistirena XPS debljine d=5 cm, u svrhu zaštite hidroizolacije. Izolacija se lijepi na podlogu koristeći polimerbitumensko ljepilo (1,6 kg/m2) </t>
  </si>
  <si>
    <t>Ljepilo minimalnih tehničkih karakteristika: jednokomponentni premaz na bazi bitumenizirane gume, bez otapala, visoke gustoće, za hidroizolaciju podzemnih građevina i zaštitu od prodora vode, gustoća min. 1 kg/l, brzina vezanja: površina suha nakon maks. 4h, neljepljivo nakon maks. 10h, vezanje nakon maks. 4 dana, otpornost na vodene otopine: NaCl, CaCl2, Na2SO4, Na2CO3, KOH. Sloj premaza ukupne debljine min. 1 mm (min. 2,5 kg/m2).</t>
  </si>
  <si>
    <t xml:space="preserve">Dobava i postava vertikalne hidroizolacijske folije, izrađene na bazi PVC-a i to kao višeslojne, sintetičke membrane, UV stabilne i otporne na starenje. Trake se međusobno zavaruju upotrebom vrućeg zraka uz preklope od min. 10 cm. Mehaničko pričvršćenje izvodi se tipskim elementima sistema istovjetnog odabranoj hidroizolaciji. Hidroizolacija se učvrščuje na postojeći nadtemeljni zid od opeke i betonski temelj do razine gornje zone nove armiranobetonske podne ploče prizemlja, te razine terena s vanjske strane i to na čistu površinu. Napomena: Hidroizolacija se postavlja s unutarnje i vanjske strane objekta, bočno na temelje. Obračun po m2 površine temelja. </t>
  </si>
  <si>
    <t>Jednokrilni prozor 100x100 cm</t>
  </si>
  <si>
    <t>Vrata  do 2 m2</t>
  </si>
  <si>
    <t>Obujmice</t>
  </si>
  <si>
    <t xml:space="preserve">Horizontalni žlijeb,  Ø 12 cm  </t>
  </si>
  <si>
    <t xml:space="preserve">Kuke za pričvršćenje  </t>
  </si>
  <si>
    <t xml:space="preserve">Vertikalni oluk,  Ø12 cm   </t>
  </si>
  <si>
    <t xml:space="preserve">Dvokrilna puna vrata s nadsvjetlom 140x290 cm  </t>
  </si>
  <si>
    <t xml:space="preserve">Jednokrilna puna vrata s nadsvjetlom 100x270 cm  </t>
  </si>
  <si>
    <t xml:space="preserve">Jednokrilna puna vrata 100x250 cm  </t>
  </si>
  <si>
    <t>- drvolit ploče</t>
  </si>
  <si>
    <t xml:space="preserve">Dobava betona, armiranje i izvedba ravnih i kosih armiranobetonskih ploča i horizontalnih elemenata pristupnih rampi na tlu. </t>
  </si>
  <si>
    <t xml:space="preserve">Strojni iskop površinskog sloja zemlje-humusa prosječne debljine do 20 cm s deponiranjem zemlje na dogovorenom mjestu na parceli za potrebe konačnog uređenja okoliša novog dijela zgrade. </t>
  </si>
  <si>
    <t>Pažnju posvetiti odvajanju većeg kamena iz zemlje-humusa koja se zadržava na gradilištu.</t>
  </si>
  <si>
    <t>Napomena: Prilikom izvođenja stavke obvezno prisustvo arheološkog nadzora.</t>
  </si>
  <si>
    <t>Obračun prema m3 iskopanog površinskog sloja.</t>
  </si>
  <si>
    <t xml:space="preserve">Strojni široki iskop jame u tlu A, B, C kategorije, u debljini sloja potrebnog za izvedbu temeljne konstrukcije novog dijela zgrade. Dubina sloja iskopa do 200 cm od kote zaravnatog terena. </t>
  </si>
  <si>
    <t>Napomena: Zemljani radovi za instalacije uključeni su u troškovnike instalaterskih radova.</t>
  </si>
  <si>
    <t>Obračun po m2 površine ugrađenog estriha, bez dodataka i odbitaka.</t>
  </si>
  <si>
    <t>Dobava materijala i strojna izvedba plivajućeg rabiciranog cementnog estriha (2000 kg/m3) debljine 4-6 cm, armiran armaturnom mrežom (Q139/Q131/Q196) ili mikroarmaturom (staklena ili čelična vlakna), elastično dilatiran od podloge i obodnih pregrada, fino zaglađen u izvedbi. U mokrim prostorima estrih treba izvesti u blagom padu prema podnom sifonu, te postaviti kutne profile za pragove i denivelacije.</t>
  </si>
  <si>
    <t>U stavku je uključen sav potreban rad i materijal za dovršenje stavke do potpune gotovosti.</t>
  </si>
  <si>
    <t xml:space="preserve">Obračun po m2.. </t>
  </si>
  <si>
    <t>Nabava i ugradnja polimercementnog premaza za podove i zidove u "mokrim" prostorima sanitarija, s visokim modulom elastičnosti, u ukupnoj suhoj debljini 3 mm. HI premaz se izvodi u minimalno dva sloja na podu i po zidu u visini min. 15 cm, a u zoni prskanja u visini 200 cm.</t>
  </si>
  <si>
    <t>Sve radove izvesti u skladu s naputkom proizvođača za postavu izolacije.</t>
  </si>
  <si>
    <t>Nabava, dobava materijala i ugradnja ploča ekstrudiranog polistirena XPS (30 kg(m3), zahrapavljene površine, λ ≤ 0,038 W/mK, debljine 10 cm, za izolaciju vanjskih zidova prema tlu i u zoni podnožja visine do 50 cm (sokl). Ploče se postavljaju horizontalno s naizmjeničnim preklopom, na polimer ljepilo po cijeloj površini.</t>
  </si>
  <si>
    <t>Obračun po m2 površine ugrađenog betona.</t>
  </si>
  <si>
    <t>Uređenje i fino planiranje površine građevne jame na horizontalu sa točnošću +/-2 cm. Obračun po m2 uređene površine.</t>
  </si>
  <si>
    <t>REKONSTRUKCIJA POSTOJEĆE ZGRADE</t>
  </si>
  <si>
    <t>Dobava i izvedba cementnog šprica debljine 1 cm kao izravnavajućeg sloja unutarnjih zidova iz pune opeke, kao podloge za izvedbu gipskartonskih obloga.</t>
  </si>
  <si>
    <t>Nabava, dobava materijala i ugradnja ploča ekstrudiranog polistirena XPS (30 kg(m3), zahrapavljene površine, λ ≤ 0,038 W/mK, debljine 10 cm, za izolaciju podova prostora na tlu.</t>
  </si>
  <si>
    <t xml:space="preserve">Obračun po m2. </t>
  </si>
  <si>
    <t>Obračun po m2.</t>
  </si>
  <si>
    <t xml:space="preserve">Obračun po m2 ugrađenog materijala. </t>
  </si>
  <si>
    <t>2.13.</t>
  </si>
  <si>
    <t>2.14.</t>
  </si>
  <si>
    <t xml:space="preserve">Izvedba podbetoniranih temelja u jednostranoj glatkoj oplati, betonom C25/30 s dodatkom aditiva za vodonepropusnost, dubina prodiranja vode prema HRN 12390-8 ili jednakovrijedno ne smije premašiti iznos od 20 mm.                        </t>
  </si>
  <si>
    <t>Dobava betona i izvedba armiranobetonskih vertikalnih serklaža, koji se izvode u uglovima vanjskih zidanih nosivih zidova kao ojačanje konstrukcije. Amiranobetonski zidovi izvode se u jednostranoj oplati. Konstrukcija malog presjeka. Izvedba u glatkoj oplati, betonom C25/30.</t>
  </si>
  <si>
    <t>Dobava betona i izvedba armiranobetonskih nosivih zidova debljine 16 cm, koji se izvode uz postojeće zidane nosive zidove kao ojačanje konstrukcije. Amiranobetonski zidovi izvode se u jednostranoj oplati. Konstrukcija malog presjeka. Izvedba u glatkoj oplati, betonom C25/30.</t>
  </si>
  <si>
    <t>Kod izvedbe armiranobetonskih zidova uz vanjske nosive zidane zidove ugrađuje se sloj drvolit ploče debljine 5 cm.</t>
  </si>
  <si>
    <t>Dobava betona i izvedba armiranobetonskih horizontalnih serklaža, koji se izvode nad zidanim nosivim zidovima kao ojačanje konstrukcije. Amiranobetonski serklaži izvode se u dvostranoj oplati. Konstrukcija malog presjeka. Izvedba u glatkoj oplati, betonom C25/30.</t>
  </si>
  <si>
    <t xml:space="preserve">Izvedba vodonepropusnim betonom marke betona C25/30 s dodatkom aditiva za vodonepropusnost, dubina prodiranja vode prema HRN 12390-8 ili jednakovrijedno ne smije premašiti iznos od 20 mm.         </t>
  </si>
  <si>
    <t>Armiranobetonska podloga debljine 20 cm, izvodi se betonom marke C25/30 sa aditivima za vodonepropusnost.</t>
  </si>
  <si>
    <t>Nasipavanje i razastiranje materijala od iskopa uz vanjske nadtemeljne zidove, uz grubo poravnanje nivelete, s potrebnim razastiranjem u slojevima do 30 cm i nabijanjem. Koristiti materijal deponiran na gradilištu. Višak materijala iz iskopa potrebno je odvesti na gradsku deponiju, uključujući sve takse.</t>
  </si>
  <si>
    <t>Obračun prema m3.</t>
  </si>
  <si>
    <t>Dobava materijala i izrada tamponskog sloja ispod armiranobetonske podne ploče, šljunkom prirodne granulacije (1800 kg/m3) u sloju debljine 30 cm. Nabijanje do modula stišljivosti Ms= 40 MPa uz fino planiranje nivelete na +/- 2 cm.</t>
  </si>
  <si>
    <t>U dogovoru s konzervatorskim nadzorom odrediti koja se stabla mogu ukloniti.</t>
  </si>
  <si>
    <t>U cijenu je uključena i priprema podloge prije ugradnje hidroizolacijske membrane. Površina ne smije imati oštrih rubova i šupljina.</t>
  </si>
  <si>
    <t>Dobava materijala i izvedba sloja nearmiranog mršavog betona C 12/15, ispod podne ploče, u debljini 8 cm.</t>
  </si>
  <si>
    <t>Dobava materijala i izvedba sloja nearmiranog mršavog betona C 12/15, kao podloga temeljne konstrukcije, u debljini 10 cm.</t>
  </si>
  <si>
    <t>Dobava betona i izvedba armiranobetonske podloge vanjskih prostora na tlu (atrij, hodne staze oko objekta).</t>
  </si>
  <si>
    <t>Dobava betona i izvedba armiranobetonske podna ploča vanjskih prostora na tlu (hodna staza oko objekta), fino zaglađena u izvedbi i dilatirana u polja, površina brušena i impregnirana.</t>
  </si>
  <si>
    <t xml:space="preserve">Iskop tla A, B, C kategorije u debljini 60 cm za izvedbu podne ploče vanjskih prostora na tlu (atrij, hodne staze oko objekta).  </t>
  </si>
  <si>
    <t>Dobava materijala i izrada tamponskog sloja ispod podne ploče vanjskih prostora oko objekta, šljunkom prirodne granulacije (1800 kg/m3) u sloju debljine 30 cm. Nabijanje do modula stišljivosti Ms= 40 MPa uz fino planiranje nivelete na +/- 2 cm.</t>
  </si>
  <si>
    <t>Dobava i ugradnja kamenog drobljenog agregata, u visini cca 40 cm za izvedbu betonske ploče vanjskih prostora na tlu (atrij, hodne staze oko objekta), sa finim planiranjem nivelete na +/-2 cm. Podloga zbijena do modula stišljivosti 40 MN/m2, a istu kontrolirati na svakih cca 100 m2 izvedenog  sloja nasipanog i zbijenog tla.</t>
  </si>
  <si>
    <t xml:space="preserve">Iskop tla A, B, C kategorije u debljini do 50 cm za izvedbu pristupnih rampi na tlu.  </t>
  </si>
  <si>
    <t>Nabava, dobava i postava horizontalne hidroizolacije podne konstrukcije na tlu sintetskim hidroizolacijskim trakama s poliesterskim voalom s donje strane, u dva sloja 2x4 mm, trake mehanički učvršćene na podlogu, spojevi traka i prodori kroz trake zavareni. Na mjestima prodora, pregiba, uvala i sl. izvesti ojačanje dodatnim slojem iste trake.</t>
  </si>
  <si>
    <t>Nabava, dobava i postava horizontalne hidroizolacije u konstrukciji poda na tlu sintetskim hidroizolacijskim trakama s poliesterskim voalom s donje strane, u dva sloja 2x4 mm, trake mehanički učvršćene na podlogu, spojevi traka i prodori kroz trake zavareni. Na mjestima prodora, pregiba, uvala i sl. izvesti ojačanje dodatnim slojem iste trake.</t>
  </si>
  <si>
    <t>Nabava, dobava i postava vertikalne hidroizolacije vanjskih zidova prema tlu i u zoni podnožja visine do 50 cm (sokl) sintetskim hidroizolacijskim trakama s poliesterskim voalom s donje strane, u dva sloja 2x4 mm, trake mehanički učvršćene na podlogu, spojevi traka i prodori kroz trake zavareni. Na mjestima prodora, pregiba, uvala i sl. izvesti ojačanje dodatnim slojem iste trake.</t>
  </si>
  <si>
    <t>Nabava, dobava i postava vertikalne hidroizolacije vanjskih zidova u tlu sintetskim hidroizolacijskim trakama s poliesterskim voalom s donje strane, u dva sloja 2x4 mm, trake mehanički učvršćene na podlogu, spojevi traka i prodori kroz trake zavareni. Na mjestima prodora, pregiba, uvala i sl. izvesti ojačanje dodatnim slojem iste trake.</t>
  </si>
  <si>
    <t>Nabava, dobava materijala i ugradnja ploča ekstrudiranog polistirena XPS (30 kg(m3), zahrapavljene površine, λ ≤ 0,038 W/mK, debljine 10 cm, za izolaciju vanjskih zidova u tlu.</t>
  </si>
  <si>
    <t>Dobava i polaganje, te zaštita geotestilom PVC tvrde drenažne cijevi otporniih na dinamička opterećenja i vertikalna opterećenja sa unutarnjim stjenkama koje sprečavaju stvaranje mulja i taloga, DN 250. Drenažnu cijev postaviti na prethodno pripremljenu betonsku podlogu u nagibu minimalne širine 40 cm.</t>
  </si>
  <si>
    <t>Obračun po m2 površine stropa.</t>
  </si>
  <si>
    <t>Nabava, dobava materijala i ugradnja ploča ekstrudiranog polistirena XPS (30 kg(m3), zahrapavljene površine, λ ≤ 0,038 W/mK, debljine 8 cm, s unutarnje strane nadozida ravnog krova (atika).</t>
  </si>
  <si>
    <t>Dobava betona, armiranje i izvedba nadozida ravnog krova (atika). Armiranobetonski nadozid debljine 20 cm, izvodi se u dvostranoj glatkoj oplati, betonom C25/30.</t>
  </si>
  <si>
    <t>Nabava, dobava i postava vertikalne hidroizolacije s unutarnje strane nadozida ravnog krova (atika) jednoslojnom hidroizolacijom bijelim sintetskim trakama (1000 kg/m3) (TPO, PVC), UV stabilna, debljine 4 mm, zaštićena od odizanja vjetrom, odozdo obložena filcom - nastavak krovne izolacije.</t>
  </si>
  <si>
    <t>ZEMLJANI RADOVI UKUPNO</t>
  </si>
  <si>
    <t>ZIDARSKI I FASADERSKI RADOVI</t>
  </si>
  <si>
    <t>ZIDARSKI I FASADERSKI RADOVI UKUPNO</t>
  </si>
  <si>
    <t>Dobava i izvedba fasade sa toplinskom izolacijom vanjskih zidova kamenom vunom u skladu s uputama proizvođača ETICS sustava za oblogu slip opekom. Ploče toplinske izolacije od kamene vune su fasadne tvrde hidrofobne ploče povećane za ETICS sustave s λ≤0,037 W/mK (dvoslojne ploče ili ploče gustoće &gt;150 kg/m3), razred negorivosti A1 prema HRN EN 13501 ili jednakovrijedna norma. Ploče su lijepljene i mehanički dodatno učvršćene za podlogu prema uputama za učvršćenja proizvođača odabranog certificiranog ETUCS fasadnog sustava za učvršćenja u vjetrovitim područjima za završne obloge sa slip opekom. Na ploče se nanosi polimercementna podložna žbuka armirana dvostrukom staklenom mrežicom (1800 kg/m3) sa završnom oblogom klinker opekom - slip pločice, punoplošno lijepljene na podlogu na sloj fleksibilnog polimercementnog građevinskog ljepila za vanjske radove (2200 kg/m3) za certificirani ETICS fasadni sustav sa završnom oblogom klinker slip opekom. Boja završne obloge prema odabiru konzervatorskog nadzora.</t>
  </si>
  <si>
    <t>Demontaža postojeće drvene konstrukcije višestrešnog krovišta, te odlaganje na gradilišnu deponiju. Obračun se vrši po stvarnoj površini krovnih ploha. U cijenu stavke uključiti interne transporte, pomičnu građevnu skelu, sav rad i materijal potreban za potpuno dovršenje radova.</t>
  </si>
  <si>
    <t>Dobava drvene građe (rogova, podrožnica, nazidnica i stupova) i izrada krovne konstrukcije višestrešnog krovišta, sve prema izvornom stanju. Drvena građa je od dtva klase čvrstoće C24 ili jednakovrijedno. Sve spojeve izvesti standardnim tesarskim vezovima sa čeličnim spojnim sredstvima (čavli, skobe, vijci i dr.). Sve kao priprema za ugradnju pokrova. Stavka uključuje obradu drvene građe i zaštitni premaz protiv crvotočina. Vrstu drva i premaza određuje konzervatorski nadzor.</t>
  </si>
  <si>
    <t>TESARSKI I KROVOPOKRIVAČKI RADOVI</t>
  </si>
  <si>
    <t>Dobava i ugradnja drvenih grednika u stropnu konstrukciju iznad prizemlja postojeće zgrade, izblanjanih i premazanih protiv crvotočina. Drveni grednici su od drva klase čvrstoće C24 ili jednakovrijedno, dimenzije 14/20 cm, ugrađuju se na međurazmaku od 70 cm. Stavka obuhvaća i daščanu oplatu d=24 mm koja se postavlja preko drvenih gradnika za ugradnju tlačne ploče. U stavku je uključena obrada i zaštitni premaz protiv crvotočina. Vrstu drva i premaza određuje konzervatorski nadzor.</t>
  </si>
  <si>
    <t>TESARSKI I KROVOPOKRIVAČKI RADOVI UKUPNO</t>
  </si>
  <si>
    <t>Dobava i ugradnja daščane oplate debljine 24 mm za ugradnju krovnog pokrova. Pričvršćenje izvesti s pocinčanim čavlima.</t>
  </si>
  <si>
    <t>Dobava i postava tipskih rešetki uz okapnicu krova, pvc tipski elementi, visine 10 cm, komplet sa svim potrebnim radom i materijalom do potpune gotovosti.</t>
  </si>
  <si>
    <t>Dobava i postava točkastih snjegobrana na krovu. Montaža prema uputama proizvođača pokrova. Minimalno postaviti jedan snjegobran po m2 kose površine krova.</t>
  </si>
  <si>
    <t>Dobava i postava trakastih snjegobrana visine minimalno 15 cm (rešetka za hvatanje snijega) od čeličnih profila koje je potrebno sidriti vijcima u glavnu nosivu drvenu konstrukciju krovišta. Boju i izgled prilagoti izvorniku, uz odobrenje konzervatorskog nadzora.</t>
  </si>
  <si>
    <t>Dobava i montaža glinenog biber crijepa, svojstava, boje i oblika kao izvorni, u svemu prema uputi i odobrenju konzervatorskog nadzora. Stavka uključuje sve potrebne sljemene, grebene i pričvrsne elemente, sva potrebna rezanja crijepa. Postava prema uputi proizvođača crijepa.</t>
  </si>
  <si>
    <t>Dobava i postava kišne brane - paropropusne i vodonepropusne folije preko daščane oplate. Preklopi se ne računaju. Postava prema uputstvu proizvođača.</t>
  </si>
  <si>
    <t>Dobava i postava letvi 3/5 cm i kontraletvi 5/3 cm na daščanu oplatu za prihvat krovnog pokrova, u svemu prema uputstvu proizvođača krovnog pokrova.</t>
  </si>
  <si>
    <t>REKAPITULACIJA GRAĐEVINSKIH RADOVA</t>
  </si>
  <si>
    <t>Dvostruki trodjelni prozor 100x218 cm</t>
  </si>
  <si>
    <t>1.3</t>
  </si>
  <si>
    <t>Izrada, dobava i ugradnja vanjske drvene stolarije. Izrada svih dijelova prozora prema izvornom izgledu, a sve uz nadzor i odobrenje konzervatorskog nadzora. Prozori su drveni dvostruki trodjelni s otklopnim krilima, Ostakljenje na vanjskim krilima prozora je jednostruko staklo a na unutarnjim krilima je dvostruko IZO staklo najveće dopuštene vrijednosti prolaska topline Ug=1,1 W/m2K. Stavka uključuje impregnacijski premaz, sve transporte, rad sa uračunatim koeficijentima složenosti, do potpune gotovosti stavke.</t>
  </si>
  <si>
    <t>Dobava i montaža pregradnih stijena između wc kabina i pregradnih stijena sa vratima wc kabina koji su napravljeni od kombinacije plemenitog metala – inox i kompakt ploča.</t>
  </si>
  <si>
    <t>Iznad strukture pregradnih stijena potrebno je iste učvrstiti na horizontalnoj inox cijevi koja je montirana iznad linije vrata i učvrščena u bočne zidove između stijene, te sve dovratnike učvrstiti preko inox spojnica.</t>
  </si>
  <si>
    <t>BRAVARSKI RADOVI</t>
  </si>
  <si>
    <t xml:space="preserve">Izrada, dobava i ugradnja unutarnjih jednokrilnih punih zaokretnih vrata s obuhvatnim dovratnikom i glatkim zaokretnim krilom.. </t>
  </si>
  <si>
    <t>Napomena: Obvezna je izmjera građevinskog otvora u naravi.</t>
  </si>
  <si>
    <t>- pregradne stijene s jednokrilnim vratima visine 210 cm (uključivo inox stalke) i ukupne dužine 180 cm u kome su integrirana vrata svijetle širine 65 cm (otvaraju se u unutrašnjost kabine), 10 cm odmaknuta od bočnog panela</t>
  </si>
  <si>
    <t>VANJSKA ALUMINIJSKA BRAVARIJA</t>
  </si>
  <si>
    <t>Izrada, dobava i ugradnja vanjske drvene stolarije. Izrada svih dijelova vrata prema izvornom izgledu, a sve uz nadzor i odobrenje konzervatorskog nadzora. Vanjska ulazna vrata su drvena dvokrilna puna zaokretna s ostakljenim trodjelnim fiksnim nadsvjetlom. Nadsvjetlo je ostakljeno dvostrukim IZO staklom najveće dopuštene vrijednosti prolaska topline Ug=1,1 W/m2K. Stavka uključuje impregnacijski premaz, sve transporte, rad sa uračunatim koeficijentima složenosti, do potpune gotovosti stavke.</t>
  </si>
  <si>
    <t>U stavku uračunati svi opšavi, elementi ugradnje i sidrenja, brtvljenja, okovi, klupčica, sve komplet do potpune gotovosti.</t>
  </si>
  <si>
    <t>U stavku uračunati svi opšavi, elementi ugradnje i sidrenja, brtvljenja, okovi, sve komplet do potpune gotovosti.</t>
  </si>
  <si>
    <t>Dobava i ugradnja podiznih sekcijskih vrata s integriranim pješačkim, bez korištenja sistema torzijskih opruga, s toplinski izoliranim i svjetlopropusnim panelima od fiberglassa/stakloplastike. Podizna vrata sa svjetlopropusnim panelima, torzijskim ili vlačnim oprugama za kompenzaciju težine i/ili visećim kabelima ne smatraju se jednakovrijednima ni u jednom slučaju. Vrata moraju biti projektirana za godišnju izvedbu od 50 000 ciklusa otvaranja.</t>
  </si>
  <si>
    <t>Kvaliteta, funkcionalnosti i mogućnosti vrata moraju biti ispitane i certificirane u skladu sa standardom EN 13241-1 ili jednakovrijedno. Vrata udovoljavaju sljedećim minimalnim zahtjevima:
Propusnost zraka (EN 12426 ili jednakovrijedno): Klasa 3.
Otpornost na opterećenje vjetrom (EN 12424 ili jednakovrijedno): klasa 2 do klasa 4 (ovisno o veličini vrata)
Otpornost na prodiranje vode (EN 12425 ili jednakovrijedno): Klasa 2
Sekcijska vrata s integriranim pješačkim udovoljavaju sljedećim minimalnim zahtjevima:
Propusnost zraka (EN 12426 ili jednakovrijedno): Klasa 3.
Otpornost na opterećenje vjetrom (EN 12424 ili jednakovrijedno): klasa 2 do klasa 4 (ovisno o veličini vrata)
Otpornost na prodiranje vode (EN 12425 ili jednakovrijedno): Klasa 3 (do 100 Pa)</t>
  </si>
  <si>
    <t xml:space="preserve">Integrirana pješačka vrata unutar sekcijskih: širina 900 mm, visina 2000 mm. Ispuna identična ispuni panela sekcijskih vrata - dvostijeni svjetlopropusni fiberglass. Šarke vrata na lijevoj strani, otvaranje prema vanjskoj strani. Visina praga maksimalno 20 mm.  </t>
  </si>
  <si>
    <t>Paneli vrata: izrađeni od dvostjenih svjetlopropusnih fiberglass panela. Dimenzije panela: debljina 40 mm; visina cca 500 mm. Svjetlopropunost do 78%. Vrijednost toplinske prolaznosti Up = 2,5 W/m²K (opcija do 1,4 W / m²K). Profil okvira od aluminija.</t>
  </si>
  <si>
    <t>Električni pogon: motor s elektroničkim isključivanjem krajnjih položaja i toplinskom zaštitom od pregrijavanja, klasa zaštite IP 54.</t>
  </si>
  <si>
    <t xml:space="preserve">Brzina zatvaranja: do 20 cm/s.
Upravljanje u slučaju nužde: mehanički ručkom ili pomoću lančanika
Napajanje : 3/N/PE 400V 50 Hz, zaštićeno osiguračem C10A.
</t>
  </si>
  <si>
    <t>Upravljanje: Upravljačka jedinica, klasa zaštite IP 54. Upravljanje standardno u 'Dead-man' modu</t>
  </si>
  <si>
    <t>Sigurnost: Protupadna naprava integrirana u vodilice vrata; Senzor otvorenosti pješačkih vrata koji ne dozvoljava rad sekcijskim vratima ukoliko su pješačka vrata otvorena. Sigurnosne fotoćelije - par prijemnik+predajnik.</t>
  </si>
  <si>
    <t>Brtvljenje vrata: gumene brtve između panela vrata, četkasti profili između vodilica i panela vrata, gumene brtve za nadvoj, dvostruka gumena brtva (profil) prema podu. Brtve izrađene od EPDM-a.
Prihvat vrata: na otvor s masivnim pocinčanim nosačima ili unutar zaslona s pocinčanim čeličnim pločama.</t>
  </si>
  <si>
    <t>Okvir vrata: vodilice od trostruko zatvorenog aluminijskog profila (natur aluminij) s opcijom RAL plastifikacije ili eloksiranog aluminija prema DIN 17611 ili jenakovrijedno. Opšavi jednostavni za demontažu. Sav mehanizam skriven u vodilice vrata.</t>
  </si>
  <si>
    <t>Sve komplet do potpune gotovosti.</t>
  </si>
  <si>
    <t>VANJSKA ALUMINIJSKA BRAVARIJA UKUPNO</t>
  </si>
  <si>
    <t>UNUTARNJA ALUMINIJSKA BRAVARIJA</t>
  </si>
  <si>
    <t>Limeni opšav razvijene širine 1,2 m na spoju starog i novog objekta. U stavku je potrebno uračunati sav spojni materijal, sve nosače i spojna sredstva, brtve i elemente za završnu montažu. Sve prema uputama nadzornog inženjera i projektanta, do pune nepropusnosti elementa opšava. Obračun po m1 opšava.</t>
  </si>
  <si>
    <t>Dobava materijala, izrada i postava uvale krova r.š. do 70 cm od cinkotit lima debljine do 0,60 mm. Jediničnom cijenom obuhvatiti sve potrebne fazonske komade, držače i materijal za učvršćenje. Sve mjere kontrolirati na gradilištu.
Obračun po m1 lima. U svemu sukladno odluci predstavnika nadležnog konzervatorskog zavoda.</t>
  </si>
  <si>
    <t>- prednje linije koju čine dovratnici s dvama jednokrilnim zaokretnim vratima (otvaraju se u unutrašnjost kabine), visina stijene 210 cm (uključivo inox stalke), ukupne dužine prednje linije od 196 cm ravnomjerno podijeljene na dvije wc kabine pregradnim panelom, sa svijetlom širinom vrata od 65 cm za svaku od kabina.</t>
  </si>
  <si>
    <t xml:space="preserve">Izrada, dobava i ugradnja unutarnjih jednokrilnih punih zaokretnih vrata s obuhvatnim dovratnikom i glatkim zaokretnim krilom. </t>
  </si>
  <si>
    <t>Završna obrada okvira vrata i boja panela u svemu prema odabiru projektanta.</t>
  </si>
  <si>
    <t>Dobava, izrada i ugradnja ostakljene stijene od aluminijskih profila s prekinutim toplinskim mostom. Stijena je ostakljena dvostrukim IZO staklom 6(vanjsko sigurnosno lamistal)+16+6 mm,  Low-e premaz, ispuna argonom, najveće dopuštene vrijednosti prolaska topline Ug=1,1 W/m2K. Traženi ukupni koeficijent prolaza topline Uw≤ 1.20 W/m2K.</t>
  </si>
  <si>
    <t>Dobava, izrada i ugradnja jednokrilnog prozora od aluminijskih profila s prekinutim toplinskim mostom. Ostakljenje je dvostruko IZO staklo 6(lamistal)+16+6 mm, Low-e premaz, ispuna argonom, najveće dopuštene vrijednosti prolaska topline Ug=1,1 W/m2K. Traženi ukupni koeficijent prolaza topline Uw≤ 1.20 W/m2K.</t>
  </si>
  <si>
    <t>Dobava, izrada i ugradnja dvokrilnih ostakljenih zaokretnih vrata od aluminijskih profila s prekinutim toplinskim mostom.</t>
  </si>
  <si>
    <t>U stavku uračunati svi opšavi, elementi ugradnje i sidrenja, brtvljenja, okovi, nadgradne pante s uređajem za samozatvaranje, sve komplet do potpune gotovosti.</t>
  </si>
  <si>
    <t>Ostakljenje jednostrukim sigurnosnim lamistal staklom 3+3 mm.</t>
  </si>
  <si>
    <t>Dobava, izrada i ugradnja punih zaokretnih vrata od aluminijskih profila s prekinutim toplinskim mostom.</t>
  </si>
  <si>
    <t>Ugrađena vrata moraju zadovoljiti zahtjev za zvučnom izolacijom Rwmin=32 dB.</t>
  </si>
  <si>
    <t>U jediničnu cijenu uključen sav rad, materijal i pribor, sav pripadajući okov za vrata (brava, spojnice, kvake i rozete od nehrđajućeg čelika, cilindar, odbojnik za vrata), sve do pune funkcionalnosti vrata.</t>
  </si>
  <si>
    <t>Krilo izrađeno iz iveričnog vratnog panela, obostrano završno obrađeno laminatom i kantirano tvrdim drvetom. Dovratnik izrađen od čeličnih pocinčanih profila s kontinuiranim elastičnim brtvama na spoju krila i dovratnika.</t>
  </si>
  <si>
    <t>Dobava, izrada i ugradnja jednokrilnih punih zaokretnih vrata od aluminijskih profila s prekinutim toplinskim mostom. Vratno krilo toplinski izolirano, ispuna krila s kamenom vunom u pločama (&gt;80 kg/m3), debljine min. 4 cm.</t>
  </si>
  <si>
    <t>PROTUPOŽARNA BRAVARIJA</t>
  </si>
  <si>
    <t xml:space="preserve">  </t>
  </si>
  <si>
    <t>Sve u dogovoru s projektantom.</t>
  </si>
  <si>
    <t xml:space="preserve">Brtve: trostrane ekspandirajuće i spuštajuća u podu;  </t>
  </si>
  <si>
    <t>U stavku uračunati sve komplet do potpune gotovosti.</t>
  </si>
  <si>
    <t>Okov: za zaokretno otvaranje vrata s tri petlje, hidraulički zatvarač s klizačem, PP kvaka.</t>
  </si>
  <si>
    <t>Materijal krila: sendvič panel obostrano kaširan aluminijskim limom, ispuna kamena vuna, zahtjevane otpornosti na požar,</t>
  </si>
  <si>
    <t>Materijal okvira: aluminijski profili, zahtjevane otpornosti na požar;</t>
  </si>
  <si>
    <t>Staklo: sigurnosno laminirano, zahtjevane otpornosti na požar,</t>
  </si>
  <si>
    <t>Materijal dovratnika: čelični profili obloženi aluminijskim limom, zahtjevane otpornosti na požar;</t>
  </si>
  <si>
    <t>Izrada, doprema i montaža vatrootporne dvodjelne ostakljene stijene od aluminijskih profila s prekinutim toplinskim mostom - klasa otpornosti na požar EI60 .</t>
  </si>
  <si>
    <t>UNUTARNJA ALUMINIJSKA BRAVARIJA UKUPNO</t>
  </si>
  <si>
    <t>PROTUPOŽARNA BRAVARIJA UKUPNO</t>
  </si>
  <si>
    <t>CRNA BRAVARIJA</t>
  </si>
  <si>
    <t>d)</t>
  </si>
  <si>
    <t>c)</t>
  </si>
  <si>
    <t>b)</t>
  </si>
  <si>
    <t>a)</t>
  </si>
  <si>
    <t>Napomena: obvezna izmjera na gradilištu.</t>
  </si>
  <si>
    <t>Obračun po m1 komplet izvedenog rukohvata sa svim pričvrsnim materijalom do potpune gotovosti.</t>
  </si>
  <si>
    <t>CRNA BRAVARIJA UKUPNO</t>
  </si>
  <si>
    <t>Obračun po m1.</t>
  </si>
  <si>
    <t>Nabava i dobava materijala te ugradnja čeličnih profila IPBI 200 iznad stropne konstrukcije prizemlja postojeće zgrade. Čelični profili su nosive grede nove drvene konstrukcije višestrešnog krovišta, s oslanjanjem samo na nosive zidove, u svemu prema arhitektonskom izvedbenom projektu i projektu konstrukcije.</t>
  </si>
  <si>
    <t>Izvedba samostojeće zidne obloge u sanitarijama od dvoslojne obloge vodootpornom GK pločom d=12,5 cm, s jednostrukom metalnom potkonstrukcijom iz CD i UD profila i izolacijskim slojem mineralnom vunom d=10 cm, prema sustavu W623, zaglađeno i obrađeno u kvaliteti K2. Toplinska izolacija i parna brana obračunati u stavci. Stavka uključuje sav potreban rad i materijal za potpuno dovršenje stavke. Obračun po m2 izvedene zidne obloge.</t>
  </si>
  <si>
    <t>Izvedba pregradnog zida d=10 cm, s jednostrukom metalnom potkonstrukcijom iz CW i UW profila d=50 mm, jednostrana dvoslojna obloga standardnom GK pločom d=12,5 mm, druga strana prema vlažnim prostorima dvoslojna obloga vodootpornom GK pločom d=12,5 mm, sa samonosivom izolacijom d=5 cm, prema sustavu W112, zaglađeno i obrađeno u kvaliteti K2, visina zida do 4 m. Toplinsku izolaciju obračunati u stavci. Stavka uključuje sav potreban rad i materijal za potpuno dovršenje stavke. Obračun po m2 izvedenog pregradnog zida.</t>
  </si>
  <si>
    <t>Izvedba pregradnog zida d=10 cm, s jednostrukom metalnom potkonstrukcijom iz CW i UW profila d=50 mm, obostrana dvoslojna obloga standardnom GK pločom d=12,5 mm, sa samonosivom izolacijom d=5 cm, prema sustavu W112, zaglađeno i obrađeno u kvaliteti K2, visina zida do 4 m. Toplinsku izolaciju obračunati u stavci. Stavka uključuje sav potreban rad i materijal za potpuno dovršenje stavke. Obračun po m2 izvedenog pregradnog zida.</t>
  </si>
  <si>
    <t>Izvedba pregradnog zida d=10 cm, s jednostrukom metalnom potkonstrukcijom iz CW i UW profila d=50 mm, obostrana dvoslojna obloga vodootpornom GK pločom d=12,5 mm, sa samonosivom izolacijom d=5 cm, prema sustavu W112, zaglađeno i obrađeno u kvaliteti K2, visina zida do 4 m. Toplinsku izolaciju obračunati u stavci. Stavka uključuje sav potreban rad i materijal za potpuno dovršenje stavke. Obračun po m2 izvedenog pregradnog zida.</t>
  </si>
  <si>
    <t xml:space="preserve">Dobava i polaganje protukliznih podnih keramičkih pločica u sanitarijama. Pločice dimenzija 60x60 cm i 30x60 cm, I klase, debljina pločica 10 mm, klase protukliznosti R10/B ili jednakovrijedno, klase otpornosti na mehanička oštećenja 3, boje prema uzorku i odabiru projektanta.  </t>
  </si>
  <si>
    <t>Način polaganja s reškom 2 mm. Rezanje, brušenje, fugiranje i čišćenje opločenja sadržano je u jediničnoj cijeni.</t>
  </si>
  <si>
    <t xml:space="preserve">Dobava i polaganje protukliznih podnih keramičkih pločica u sanitarijama, praonici i pomoćnim prostorima. Pločice dimenzija 60x60 cm i 30x60 cm, I klase, debljina pločica 10 mm, klase protukliznosti R10/B ili jednakovrijedno, klase otpornosti na mehanička oštećenja 3, boje prema uzorku i odabiru projektanta.  </t>
  </si>
  <si>
    <t>SOBOSLIKARSKO-LIČILAČKI RADOVI</t>
  </si>
  <si>
    <t>Obrada pročelja zgrade na ožbukanim površinama kompletno obnovljenog pročelja, silikatnom bojom. Bojanje izvesti u skladu sa zahtjevima proizvođača. Cijenom je obuhvaćena završna obrada pročelja ravnih površina, kao i profilacija sa svim potrebnim predradnjama tj. impregnacija suhih površina i kitanje fasadnim kitom radi izravnanja i zaglađivanja neravnina, te dvostruki premaz silikatnom bojom. Predviđa se bojenje pročelja u dva tona. Boju za obradu pojedinih površina, način nanošenja i detalje primjene odredit će konzervatorski nadzor. Rad obuhvaća bojenje i svih ukrasnih elemenata ili profiliranih površina pa se obračun vrši po m2 ortogonalne projekcije pročelja bez ikakove primjene dodatnih faktora složenosti, tj. u ponudbenu cijenu obavezno uračunati adekvatan faktor složenosti.</t>
  </si>
  <si>
    <t>Bojanje kompletno obnovljenog sokla silikatnom bojom u dva sloja i dva tona. Boju i ton odredjuje konzervatorski nadzor. Bojanje izvesti u skladu sa zahtjevima proizvođača. Jediničnom cijenom obuhvatiti:
dubinsku impregnaciju odgovarajućim sredstvom, bojanje u dva sloja i dva tona.
Obračun po m2 ortogonalne projekcije pročelja bez primjene dodatnih koeficijenata.</t>
  </si>
  <si>
    <t>Obostrano ličenje vanjske ostakljene stolarije. Ton i boje kao i sve detalje obrade i primjene materijala i načina rada određuje konzervatorski nadzor. Obračun po m2 stolarije obostrano.</t>
  </si>
  <si>
    <t xml:space="preserve">- dvokrilna puna zaokretna vrata s ostakljenim fiksnim nadsvjetlom 140x200+90 cm (1 kom)  </t>
  </si>
  <si>
    <t>- dvostruki trodjelni prozor 100x220 cm (8 kom)</t>
  </si>
  <si>
    <t>- dvostruki trodjelni prozor 120x220 cm (2 kom)</t>
  </si>
  <si>
    <t>Dobava i bojanje unutarnjih armiranobetonskih stropova i greda, unutarnjom disperzivnom visokopokrivnom bojom.</t>
  </si>
  <si>
    <t>Dobava i bojanje unutarnjih armiranobetonskih zidova i stupova, te pregradnih stijena iz gipskartonskih ploča, unutarnjom disperzivnom visokopokrivnom bojom.</t>
  </si>
  <si>
    <t>SOBOSLIKARSKO-LIČILAČKI RADOVI UKUPNO</t>
  </si>
  <si>
    <t>Dobava i postava lijepljenjem višeslojne protuklizne podne obloge od pvc-a u uredima.</t>
  </si>
  <si>
    <t>Izrada izravnavajućeg sloja masom za izravnanje u debljini 1-2 mm, na suhu, čvrstu i ravnu podlogu. Dopuštene su granične vrijednosti neravnina gotove podloge mjerene na razmaku od 2 m – 7 mm, 0.20 m – 2 mm, a dozvoljena vlažnost estriha je 2% CM.</t>
  </si>
  <si>
    <t>Na ovako pripremljenu podlogu polaže se višeslojna protuklizna fleksibilna podna obloga od čistog pvc-a sa silikatnim česticama i trajnom SparClean zaštitom, ekstremne otpornosti na prljanje i mrlje, lako održavanje, te antibakterijskim djelovanjem, u boji po izboru projektanta.</t>
  </si>
  <si>
    <t>U cijenu stavke uključeno sve gore navedeno. Obračun po m2.</t>
  </si>
  <si>
    <t>- potpuno zalijepljena ljepilom prema preporuci proizvođača ljepila</t>
  </si>
  <si>
    <t>- rubovi traka krojeni i rezani za toplo zavarivanje elektrodom u boji po izboru projektanta</t>
  </si>
  <si>
    <t>- polaganje od strane ovlaštenog podopolagača</t>
  </si>
  <si>
    <t>Dobava i postava pvc tipske fleksibilne zidne lajsne visine 60 mm, boja prema izboru projektanta. Lajsna se lijepi na zid odgovarajućim kontaktnim ljepilom prema preporuci proizvođača. Obračun po m1.</t>
  </si>
  <si>
    <t>Priprema podloge, dobava i izrada do pune funkcije epoxy protukliznog poda
U cijenu uključiti:
1. Pripremu podloge strojno kugličnim sačmarenjem ili brušenjem. Priprema se izvodi u svrhu uklanjanja cementne skramice, ostataka ulja i drugih nečistoća.
2. Uklanjanje prašine postupkom usisavanja, a sve zbog potrebne prionjivosti podne obloge za podlogu (vlačna čvrstoća min. 1,5 N/mm).
3. Izrada podnog sustava na bazi epoksidne smole, koja je klasificirana kao SR-B2.0-Bf-s1 ili jednakovrijedno i u skladu s normom HRN EN 13813 ili jednakovrijedno, protuklizan te otporan na mehanička oštećenja, otporan na soli i kemikalije.
Pod se sastoji od temeljnog sloja sustava koji se izvodi nanošenjem dvokomponentnog epoksidnog premaza bez otapala, dok je proizvod još svjež posipati sa kvarcnim pijeskom granulacije 0,5 do punog zasićenja. Na tako pripremljenu podlogu izvodi se nanošenje 1. sloja epoksidne smole bez otapala, zamiješane sa kvarcnim pijeskom granulacije 0,25 kao i dok je proizvod još svjež posipava se kvarcnim pijeskom granulacije 0,5 do punog zasićenja, 3kg/m2 posip.</t>
  </si>
  <si>
    <t>Na pripremljenu podlogu sa 1. slojem
epoxy smole izvodi se nanošenje
2. sloja epoksidne smole bez otapala,
zamiješane s pigmentom
(boja antracit crna). U cijeni zaštita podnog sustava transparentnim mat lakom te zaštitnom politurom.
Obradu dilatacijskih reški izvesti jednokomponentnom brtvećom poliuretanskom masom, a reške prethodno obraditi temeljnim premazom.
Prije postave obavezno prekontrolirati vlagu u podlozi (max. 4%), kvalitetu podloge (ravnost, čvrstoća) i ostale uvjete na gradilištu potrebne za nesmetanu i kvalitetnu postavu.
Sve ostalo prema uputama proizvođača i prema pravilima za ljevane podove.</t>
  </si>
  <si>
    <t>- površinski tretman SparClean – uklanja potrebu za laštenjem, otpornost na kiseline i lužine, lako održavanje</t>
  </si>
  <si>
    <t>Dobava, doprema i montaža tavanskih ljestvi - klasa otpornosti na požar EI60.  Metalne sklopive ljestve za visoke prostore, dimenzije g.o. 70x114 cm, vanjske dimenzije kutije za ugradnju 68x142 cm, potpuno opremljene za ugradnju u strop, sa mehanizmom za otvaranje i rukohvatom, opremljene ručkom za rukovanje.</t>
  </si>
  <si>
    <t>Dobava i postava naljepnica sa oznakom položaja vatrogasnih aparata i oznakom vatrootpornih vrata.</t>
  </si>
  <si>
    <t>Dobava i postava naljepnica sa oznakom evakuacijskih izlaza.</t>
  </si>
  <si>
    <t xml:space="preserve">Izrada i isporuka završnog energetskog certifikata s izvještajem od ovlaštene osobe prema važećem Pravilniku o energetskom pregledu zgrade i energetskom certificiranju i Zakonu o gradnji prije izdavanja uporabne dozvole. </t>
  </si>
  <si>
    <t>Energetski certifikat se isporučuje u dva primjerka te jednim primjerkom veličine A3 za izlaganje za javne objekte. Izvještaj se isporučuje u jednom primjerku.</t>
  </si>
  <si>
    <t>Dobava i postava akrilnih pločica za vrata sa natpisom prostorije (teh. prostor, svlačionice, wc i sl.) s aluminijskim glavama. U stavku ulaze vijci za montažu na vrata ili zid te poluprozirni umetak za ispis natpisa na laserskom pisaču. Veličina pločice 210 x 148 mm, puni natpis i tip slova te boja pločice u dogovoru s projektantom.</t>
  </si>
  <si>
    <t>Dobava i postava aluminijskog otirača, aluminijske konstrukcije s gumenim umecima. Tip prostirke predviđen za veliki promet u vanjskom prostoru. Otirači se postavljaju ispred ulaza u zgradu. Tlocrtna veličina otirača - cca 180x120 cm.</t>
  </si>
  <si>
    <t>REKAPITULACIJA OBRTNIČKIH RADOVA</t>
  </si>
  <si>
    <t>OBRTNIČKI RADOVI UKUPNO</t>
  </si>
  <si>
    <t>C.</t>
  </si>
  <si>
    <t>POTPORNA KONSTRUKCIJA</t>
  </si>
  <si>
    <t>KONZERVATORSKI I ISTRAŽNI RADOVI</t>
  </si>
  <si>
    <t>OSTALI RADOVI</t>
  </si>
  <si>
    <t>OSTALI RADOVI UKUPNO</t>
  </si>
  <si>
    <t>Dobava i postava ručnih protupožarnih aparata za suho (početno) gašenje požara na prah S6+. U cijeni je uključen i ostakljeni ormarić. Obračun po komadu montiranog protupožarnog aparata.</t>
  </si>
  <si>
    <t>Iskolčenje građevine, tj, geodetski prijenos tlocrta vanjskih obrisa na terenu unutar građevne čestice sa izradom nacrta - situacija iskolčenja. Obuhvaća npr.: iskolčenje osi i poligonih točaka koje služe za rekonstrukciju osovine i visine; postavljanje poprečnih profila i drugo; tijekom rada izvođač obavlja pojedine izmjene pravca i visine koje su mu potrebne za izvođenje i obračun izvršenih radova; praćenje slijeganja dogradnje u odnosu na postojeću građevinu (broj repera 4, vrijeme praćenja 2 godine). U cijeni sav rad i materijal.</t>
  </si>
  <si>
    <t>Priprema i transport radne ekipe i opreme za izvedbu pilota i sidara.</t>
  </si>
  <si>
    <t>Iskolčenje osi pilota i sidara. Obračun po komadu.</t>
  </si>
  <si>
    <t xml:space="preserve">Izvedba vertikalnih bušotina za ab pilote promjera Ø400 mm duljine: 
L=9,0 m, 37 kom;                               
L=8,0 m, 58 kom;  </t>
  </si>
  <si>
    <t>Obračun po m1 izvedene bušotine.</t>
  </si>
  <si>
    <t>Dobava, doprema i ugradnja armaturnih koševa prema projektnoj dokumentaciji. Obračun po kg ugrađene armature.</t>
  </si>
  <si>
    <t>Dobava, doprema i ugradnja injekcijske smjese C30/37  0-8 mm za bušene pilote promjera Ø400 mm. Količina smjese je uvećana za 5% od idealnog volumena bušotine. Obračun po m1 pilota.</t>
  </si>
  <si>
    <t>8.</t>
  </si>
  <si>
    <t>Troškovi obrade glava pilota za potrebe izvedbe naglavne grede.</t>
  </si>
  <si>
    <t xml:space="preserve">Izvedba aktivnih štapnih sidara ANP 26,50 mm (SAS 950/1050).
Minimalna nosivost sidra: 457,0 kN. 
Trajnost od 50g.
Izvedba bušotina, nabava, doprema i ugradnja sidara, injektiranje te zatezanje. </t>
  </si>
  <si>
    <t>Obračun po m1 izvedenog sidra.</t>
  </si>
  <si>
    <t>Izvedba ab potpornog "L" zida; 
L=15,0 m, hprosj=2,0 m</t>
  </si>
  <si>
    <t>- beton C30/37</t>
  </si>
  <si>
    <t>- armatura B500B</t>
  </si>
  <si>
    <t>10.</t>
  </si>
  <si>
    <t>Izvedba ab naglavne grede mikropilota 
bxh = 50x50 cm; L=95,0 m</t>
  </si>
  <si>
    <t>Izvedba ab obložnog zida ispod naglavne grede; d=10,0 cm</t>
  </si>
  <si>
    <t>Izvedba bušotina Ø14 mm u duljini od cca 15-20 cm, ispuhivanje bušotine, zapunjavanje dvokomponentnim ljepilom za kemijsko sidrenje, te ugradnja kratkog sidra RA Ø10. 
Obračun po komadu izvedene bušotine u svakom pilotu.</t>
  </si>
  <si>
    <t>12.</t>
  </si>
  <si>
    <t>13.</t>
  </si>
  <si>
    <t>Otkop i uređenje tla između pilota za ugradnju vertikalnog plošnog drena. Pojas u širini od 50 cm, visinski od naglavne grede do drenažne cijevi i debljine 5,0 cm. U cijenu je uključen iskop, utovar i odvoz materijala na odlagalište udaljeno do 10 km.
Obračun po m2 uređene površine.</t>
  </si>
  <si>
    <t>14.</t>
  </si>
  <si>
    <t>15.</t>
  </si>
  <si>
    <t>Pažljivi kampadni strojni/ručni iskop tla A, B, C kategorije u debljini sloja potrebnog za izvedbu ojačanja temelja tj. podbetoniravanje temelja. Iskop tla dubine do 160 cm i širine do 70 cm sa svake strane postojećeg temelja unutarnjih nosivih zidova. Radove treba izvoditi pažljivo u kampadama duljine do 100 cm, kako se ne bi poremetila postojeća konstrukcija, te uskladiti s betoniranjem novih temelja. Iskop izvoditi sukcesivno, metodom šahovskog polja.</t>
  </si>
  <si>
    <t>Pažljivi kampadni strojni/ručni iskop tla A, B, C kategorije u debljini sloja potrebnog za izvedbu ojačanja temelja tj. podbetoniravanje temelja. Iskop tla dubine do 130 cm i širine do 70 cm s vanjske strane objekta i dubine do 160 cm i širine do 70 cm s unutanje strane objekta oko postojećih temelja vanjskih nosivih zidova. Radove treba izvoditi pažljivo u kampadama duljine do 100 cm, kako se ne bi poremetila postojeća konstrukcija, te uskladiti s betoniranjem novih temelja. Iskop izvoditi sukcesivno, metodom šahovskog polja.</t>
  </si>
  <si>
    <t>Dobava, doprema i ugradnja uvodnica za sidra u naglavnoj gredi. Uvodnica od PVC Ø100 mm, L=50 cm
Obračun po komadu uvodnice.</t>
  </si>
  <si>
    <t>16.</t>
  </si>
  <si>
    <t>17.</t>
  </si>
  <si>
    <t>18.</t>
  </si>
  <si>
    <t>19.</t>
  </si>
  <si>
    <t>20.</t>
  </si>
  <si>
    <t>21.</t>
  </si>
  <si>
    <t>Kontrolna ispitivanja kvalitete ugrađenog betona.</t>
  </si>
  <si>
    <t>Prethodna i kontrolna ispitivanja injekcijske smjese za sidra.</t>
  </si>
  <si>
    <t>Kontrola izvedbe radova inklinometarskim i geodetskim mjerenjima pomaka zaštitne konstrukcije, te izrada izvješća.</t>
  </si>
  <si>
    <t>POTPORNA KONSTRUKCIJA UKUPNO</t>
  </si>
  <si>
    <t>REKAPITULACIJA ZGRADA 3</t>
  </si>
  <si>
    <t>Popravak oštećenih dijelova nosivih zidova. Stavkom je obuhvaćeno vađenje iz ležajeva dotrajale opeke i ponovno zidanje novom punom opekom u produžnom mortu. Prilikom zidanja treba poštivati postojeći vez opeke. Obračun po m2 saniranog zida, a prema prethodnom pregledu i upisu nadzornog inženjera u građevinski dnevnik.</t>
  </si>
  <si>
    <t>Jedinična cijena obuvača sav materijal i rad kao i obveznu zaštitu stolarije, klupčica i okapa.</t>
  </si>
  <si>
    <t>Postav OSB ploča d=24 mm kao hodne plohe na prethodni sloj paropropusne vodonepropusne folije. OSB ploča minimalne klase OSB-3, po HRN EN 13986:2015 ili jednakovrijedno.</t>
  </si>
  <si>
    <t xml:space="preserve">Dobava materijala i izvedba sustava toplinske izolacije u sloju stropne konstrukcije negrijanih prema grijanim prostorima. Sustav se izvodi tako da se na izvedenu ab ploču, postavljaju slijedeći slojevi: 1. parna brana, 2. kamena vuna (tvrda ploča) d=20 cm, 3. paropropusna vodonepropusna folija, 4. OSB ploča debljine d= 24 mm, 5. geotekstil. </t>
  </si>
  <si>
    <r>
      <t>Parna brana minimalnih tehničkih karakteristika: debljina min. 0,3 mm, površinska težina min. 100 g/m2, razred reakcije na požar E, otpornost na kidanje 100/110N, temperaturna otpornost -40/+80</t>
    </r>
    <r>
      <rPr>
        <sz val="10"/>
        <rFont val="Calibri"/>
        <family val="2"/>
        <charset val="238"/>
      </rPr>
      <t>°</t>
    </r>
    <r>
      <rPr>
        <sz val="10"/>
        <rFont val="Calibri"/>
        <family val="2"/>
        <charset val="238"/>
        <scheme val="minor"/>
      </rPr>
      <t xml:space="preserve">C, relativni otpor difuziji vodne pare (Sd)=5 m. </t>
    </r>
  </si>
  <si>
    <r>
      <t>Paropropusna vodonepropusna folija minimlanih tehničkih karakteristika: materijal HDPe ili jednakovrijedno, površinska masa min. 80 g/m2, reakcija na požar B2, Sd vrijednost min. 0,02m, rastezanje pri kidanju max. 10%, temepraturna postojanost -73/+100</t>
    </r>
    <r>
      <rPr>
        <sz val="10"/>
        <rFont val="Calibri"/>
        <family val="2"/>
        <charset val="238"/>
      </rPr>
      <t>°</t>
    </r>
    <r>
      <rPr>
        <sz val="10"/>
        <rFont val="Calibri"/>
        <family val="2"/>
        <charset val="238"/>
        <scheme val="minor"/>
      </rPr>
      <t xml:space="preserve">C, nepropustan na vodu i vjetar. </t>
    </r>
  </si>
  <si>
    <t>Nabava i ugradnja polimercementnog premaza za podove i zidove u "mokrim" prostorima sanitarija, praonice i teh. prostorima, s visokim modulom elastičnosti, u ukupnoj suhoj debljini 3 mm. HI premaz se izvodi u minimalno dva sloja na podu i po zidu u visini min. 15 cm, a u zoni prskanja u visini 200 cm.</t>
  </si>
  <si>
    <t>Na izvedeni sloj toplinske izolacije potrebno je postaviti drenažnu čepastu HDPE membranu debljine 5 mm, čepovi prema sloju izolacije, a što je obuhvaćeno jediničnom cijenom stavke.</t>
  </si>
  <si>
    <t>Izvedba spuštenog stropa, vodoravni, dvostruka metalna potkonstrukcija iz CD profila, učvršćena u drvene grednike, jednoslojna obloga iz vatrootpornih GK ploča d=15 mm, prema sustavu D112, zaglađeno i obrađeno u kvaliteti K2. Visina ovješenja odredit će se na licu mjesta u dogovoru s izvođačem elektroinstalacija. Stavka uključuje sav potreban rad, materijal, bandažiranje spojeva i sl. do potpune gotovosti. Obračun po m2 izvedenog spuštenog stropa.</t>
  </si>
  <si>
    <t>Dobava materijala, izrada i postava opšava nadozida ravnog krova  r.š. do 60 cm. Opšav od cinkotit lima debljine do 0,60 mm. Jediničnom cijenom obuhvatiti sve potrebne fazonske komade, držače i materijal za učvršćenje. Sve mjere kontrolirati na gradilištu.
Obračun po m1 opšava.</t>
  </si>
  <si>
    <t xml:space="preserve">Viseći žlijeb,  Ø 12 cm  </t>
  </si>
  <si>
    <t xml:space="preserve">Odvodna cijev,  Ø10 cm   </t>
  </si>
  <si>
    <t>Dobava materijala, izrada i postava vertikalnih odvodnih cijevi izrađenih od aluminija, u boji prema izboru konzervatorskog nadzora, s bočnim uljevom za odvodnju ravnih krovova, sa svim pričvrsnicama, obujmicama, kukama, fazonskim komadima i sl.  
Obračun po m1 cijevi i komadu obujmice.</t>
  </si>
  <si>
    <t>Dobava materijala, izrada i postava polukružnog visećeg žlijeba izrađenog od aluminija, u boji prema izboru konzervatorskog nadzora. Stavka obuhvaća i kuke za pričvršćenje. 
Obračun po m1 žlijeba te komadu kuke.</t>
  </si>
  <si>
    <t>Dobava materijala, izrada i postava vertikalnih odvodnih cijevi izrađenih od aluminija, u boji prema izboru konzervatorskog nadzora, sa svim pričvrsnicama, obujmicama, kukama, fazonskim komadima spojeva na viseći žlijeb i sl.  
Obračun po m1 cijevi i komadu obujmice.</t>
  </si>
  <si>
    <t>Izrada, doprema i ugradnja rukohvata rampe od čeličnih okruglih profila promjera 40 mm. Rukohvat se postavlja na visinu od 60 cm i na visinu od 90 cm. Sve čelične dijleove premazati temeljnim premazom i završno bojati uljanom bojom prema izboru projektanta. U stavku ulazi izrada svih radioničkih detalja za izvedbu.</t>
  </si>
  <si>
    <t>Protupožarno brtvljenje (vatrootpornosti od 30-120 minuta) prolaza svih instalacija kroz požarne sektore. Obračun po komadu komplet izvedenih protupožarnih brtvljenja s certifikatom.</t>
  </si>
  <si>
    <t>Dobava i izvedba toplinske izolacije i sustava ozelenjenog ravnog krova u sljedećim slojevima, gledano odozgo prema dolje:</t>
  </si>
  <si>
    <t>Na spoju sa zidom toplinsku i hidrozolaciju poviti na zid do visine nadozida, cca 60 cm.</t>
  </si>
  <si>
    <t>5. Sintetska armirana hidroizolacijska folija, UV stabilna TPO/FPO traka, minimalne debljine 1,8 mm</t>
  </si>
  <si>
    <t>1. Nasip supsrata za ekstenzivno ozelenjavanje = 20 cm</t>
  </si>
  <si>
    <t>2. Razdjelni sloj geotekstila na bazi propilena (PP) s preklopima od 10 cm = 0,2 cm</t>
  </si>
  <si>
    <t>3. Akumulacijske i drenažne kadice u sustavima za ozelenjavanje krova = 5 cm</t>
  </si>
  <si>
    <t>4. zaštitni sloj za sintetske i bitumenske hidroizolacijske membrane = 0,4 cm</t>
  </si>
  <si>
    <t>6. Kamena vuna (dvoslojna za ravne zelene krovove) 16 cm</t>
  </si>
  <si>
    <t>7. Folija za apsolutnu parnu branu - polimerbitumenska hidroizolacijska traka s uloškom Al folije, trake za zavarivanje na hladnom bitumenskom prednamazu = 0,4 cm</t>
  </si>
  <si>
    <t>Na izvedeni sloj toplinske izolacije potrebno je postaviti zaštitni sloj geotekstila, u dva sloja, min. 300 g/m2, i čepastu HDPE membranu debljine 5 mm, a što je obuhvaćeno jediničnom cijenom stavke.</t>
  </si>
  <si>
    <t>Nabava, dobava materijala i ugradnja ploča ekstrudiranog polistirena XPS (30 kg/m3), zahrapavljene površine, λ ≤ 0,038 W/mK, debljine 10 cm, u konstrukciji poda na tlu prizemlja postojeće zgrade.</t>
  </si>
  <si>
    <t>Gornja površina mora biti izvedena ravna i obrađena tako da se na nju može postaviti ostali slojevi ravnog krova. Glazuru armirati sa armaturnom mrežom Q-188, što je sadržano u jediničnoj cijeni.</t>
  </si>
  <si>
    <t>Obračun po m3 ugrađenog materijala.</t>
  </si>
  <si>
    <t>2.15.</t>
  </si>
  <si>
    <t>Napomena: Alternativno je moguće u sustavu ozelenjenog krova ugraditi toplinsku izolaciju u dva sloja gornji sloj rezan u nagibu i tada se ne izvodi betonska podloga u nagibu.</t>
  </si>
  <si>
    <t>Napomena: Alternativno je moguće u sustavu ozelenjenog krova ugraditi toplinsku izolaciju u dva sloja gornji sloj rezan u nagibu, te se predmetna stavka ne izvodi i ne obračunava.</t>
  </si>
  <si>
    <t>Dobava betona i izvedba betonske podloge u nagibu min 1% prema pozicijama odvodnje na ravnom krovu u sloju prosječne debljine 10 cm.</t>
  </si>
  <si>
    <t xml:space="preserve">Dobava materijala i izvedba završne podne obloge na bazi polimercementa - samonivelirajući ili penetrirajući polimercementni premaz (microtopping), posip kvarcnim pijeskom, debljine 3 mm - klasa otpornosti na požar A2Cfl-s1, u svemu prema uputi proizvođača. </t>
  </si>
  <si>
    <t>U cijenu stavke uključen sav potreban materijal i rad do potpune gotovosti. Obračun po m2.</t>
  </si>
  <si>
    <t xml:space="preserve">Stavka uključuje sve elemente ugradnje i sidrenja, te zaštitni antikorozivni premaz, do potpune gotovosti ugrađenih elemenata. </t>
  </si>
  <si>
    <t>Obračun po m2 komplet izvedenog sustava.</t>
  </si>
  <si>
    <t>Popravak i restauracija šembrana od opeke iznad i oko prozora i vrata r.š. do 30 cm obuhvaća sva potrebna pažljiva ručna čišćenja opeke i fuga, popravak oštećenih postojećih elemenata od opeke materijalom prema odobrenju konzervatorskog nadzora, dograđivanjem manjih dijelova istovjetnom masom, te nanos zaštitnog premaza. Zaštitno stredstvo mora odbijati vodu od opeke, dubinski prodirati u bazu, biti potpuno nevidljivo i prozirno, ne mijenjati boju ni površinu tretiranog materijala, te zaštitno sredstvo mora štiti opeku od stvaranje plijesni, bakterija i kalijeva nitrata. Stavka predviđa zamjenu do 50% postojećih elemenata. Materijal, izgled i obrada prema izvornim, postojećim elementima i nalazu konzervatorskih istraživanja. U cijeni stavke je sav rad, materijal, pomoćni materijal, odljevi, kalupi, faktori i transport. Obračun po m1 elementa.</t>
  </si>
  <si>
    <t>Popravak i restauracija prozorskih kljupčica od opeke r.š. do 30 cm obuhvaća sva potrebna pažljiva ručna čišćenja opeke i fuga, popravak oštećenih postojećih elemenata od opeke materijalom prema odobrenju konzervatorskog nadzora, dograđivanjem manjih dijelova istovjetnom masom, te nanos zaštitnog premaza. Zaštitno stredstvo mora odbijati vodu od opeke, dubinski prodirati u bazu, biti potpuno nevidljivo i prozirno, ne mijenjati boju ni površinu tretiranog materijala, te zaštitno sredstvo mora štiti opeku od  stvaranje plijesni, bakterija i kalijeva nitrata. Stavka predviđa zamjenu do 50% postojećih elemenata. Materijal, izgled i obrada prema izvornim, postojećim elementima i nalazu konzervatorskih istraživanja. U cijeni stavke je sav rad, materijal, pomoćni materijal, odljevi, kalupi, faktori i transport. Obračun po m1 elementa.</t>
  </si>
  <si>
    <t>Popravak i restauracija krovnog vjenca od opeke r.š. do 60 cm obuhvaća sva potrebna pažljiva ručna čišćenja opeke i fuga, popravak oštećenih postojećih elemenata od opeke materijalom prema odobrenju konzervatorskog nadzora, dograđivanjem manjih dijelova istovjetnom masom, te nanos zaštitnog premaza. Zaštitno stredstvo mora odbijati vodu od opeke, dubinski prodirati u bazu, biti potpuno nevidljivo i prozirno, ne mijenjati boju ni površinu tretiranog materijala, te zaštitno sredstvo mora štiti opeku od stvaranje plijesni, bakterija i kalijeva nitrata. Stavka predviđa zamjenu do 50% postojećih elemenata. Materijal, izgled i obrada prema izvornim, postojećim elementima i nalazu konzervatorskih istraživanja. U cijeni stavke je sav rad, materijal, pomoćni materijal, odljevi, kalupi, faktori i transport. Napomena: stavka uključuje injektiranje specijalnim stredstvima krovnog vjenca u zoni nalijeganja žlijeba, kako bi se stvorila homogena struktura i speriječilo upijanje vode, ispod horizontalnog žlijeba, a sve prema uputi konzervatorskog nadzora. Obračun po m1 elementa.</t>
  </si>
  <si>
    <t xml:space="preserve">Strojni zasjek na pokosu brda u tlu A, B, C kategorije, u debljini sloja potrebnog za izvedbu novog dijela zgrade i potporne konstrukcije u širini do 6 m, a visine do 6 m prema izvedbenom projektu i projektu zaštite građevne jame. Iskop se vrši u više faza. </t>
  </si>
  <si>
    <t>22.</t>
  </si>
  <si>
    <t>23.</t>
  </si>
  <si>
    <t xml:space="preserve">- ukupna težina prema HRN EN ISO 23997:2013 ili jednakovrijedno   2460 g/m2 </t>
  </si>
  <si>
    <t>- širina role prema HRN EN ISO 24341:2013 ili jednakovrijedno   200 cm</t>
  </si>
  <si>
    <t>- duljina role prema HRN EN ISO 24341:2013 ili jednakovrijedno   20 m</t>
  </si>
  <si>
    <t>- klasifikacija prema HRN EN ISO 10582:2018 ili jednakovrijedno</t>
  </si>
  <si>
    <t>- europska klasifikacija prema HRN EN ISO 10874:2013 34-43 ili jednakovrijedno</t>
  </si>
  <si>
    <t xml:space="preserve">- vatrootpornost HRN EN 13501-1:2019 ili jednakovrijedno   Bfl-s1 </t>
  </si>
  <si>
    <t>- sklonost prema statičkom elektricitetu HRN EN 1815:2016 ili jednakovrijedno   &lt;2 kV</t>
  </si>
  <si>
    <t>- Pendulum test (suho i mokro) prema BS 7976-2 ili jednakovrijedno &gt;36 PTV (stupnjeva)</t>
  </si>
  <si>
    <t>- hrapavost površine   Rz≥20 µm</t>
  </si>
  <si>
    <t>- klasa protukliznosti (test rampa s uljem) prema DIN 51 130 ili jednakovrijedno   klasa R10</t>
  </si>
  <si>
    <t>- klasa protukliznosti (test rampa s vodom) prema DIN 51 097 ili jednakovrijedno   klasa B</t>
  </si>
  <si>
    <t>- toplinska provodljivost prema HRN EN ISO 10456:2008 ili jednakovrijedno   0,25 W/(m.K)</t>
  </si>
  <si>
    <t>- postojanost boja prema EN 20 105-B02 ili jednakovrijedno   ≥6 stupnjeva</t>
  </si>
  <si>
    <t>- antibakterijska aktivnost (MRSA) prema ISO 22196 ili jednakovrijedno sprječava rast  &gt;99%</t>
  </si>
  <si>
    <t xml:space="preserve">- izjava o svojstvima (DoP) prema HRN EN 14041:2018 ili jednakovrijedno </t>
  </si>
  <si>
    <t>Tehnički propis o građevnim proizvodima (NN 35/18, 104/19), Tehnički propis za građevinske konstrukcije (NN 17/17, 75/20, 7/22) , Tehnički propis o racionalnoj uporabi energije i toplinskoj zaštiti u zgradama (NN 128/15, 70/18, 73/18-ispravak, 86/18-ispravak, 102/20) ) s pripadajućim normama, te svim ostalim hrvatskim i europskim tehničkim propisima i normama i priznatim tehničkim pravilima.</t>
  </si>
  <si>
    <t>• zbrinjavanje otpada sa gradilišta (Zakon o gospodarenju otpadom (NN 84/21, 142/23)</t>
  </si>
  <si>
    <t>Zakon o prostornom uređenju (NN 153/13, 65/17, 114/18, 39/19, 98/19), Zakona o gradnji (NN 153/13, 20/17, 39/19,125/19), Zakon o državnom inspektoratu (NN 115/18, 117/21, 67/23), Zakon o građevnim proizvodima (NN 76/13, 30/14, 130/17, 32/19, 118/20), Zakon o tehničkim zahtjevima za proizvode i ocjenjivanju sukladnosti (NN 126/21), Zakon o zaštiti na radu (NN 71/14, 118/14, 154/14 , 94/18, 96/18), Zakon o zaštiti od buke (NN 30/09, 55/13, 153/13, 41/16, 114/18, 14/21), Zakon o zaštiti od požara (NN 92/10).</t>
  </si>
  <si>
    <t>Boje i strukture finalne obrade odredit će projektant i predstavnik nadležnog konzervatorskog zavoda, a sve u skladu sa skladu sa Zakonom o zaštiti i očuvanju kulturnih dobara (NN 69/99, 151/03, 157/03, 100/04, 87/09, 88/10, 61/11, 25/12, 136/12, 157/13, 152/14 , 98/15, 44/17, 90/18, 32/20, 62/20, 117/21, 114/22).</t>
  </si>
  <si>
    <t>Zakon o zaštiti od buke (NN 30/09, 55/13, 153/13, 41/16, 114/18, 14/21)</t>
  </si>
  <si>
    <t>Gospodarenje otpadom obaveza je izvođača i potrebno ga je riješiti u skladu s Prostornim planom Sisačko-moslavačke županije, Planom gospodarenja otpadom Grada Siska, Zakonom o gospodarenju otpadom (NN 84/21, 142/23) i Pravilnikom o građevnom otpadu i otpadu koji sadrži azbest (NN 69/16), te ostalim važećim propisima.</t>
  </si>
  <si>
    <t>ARHINGTRADE  d.o.o.</t>
  </si>
  <si>
    <t>Gajeva 47, 10000 Zagreb, tel.01/4922345,014922332, e-mail:info@arhingtrde.hr</t>
  </si>
  <si>
    <t>Investitor:</t>
  </si>
  <si>
    <t>Stjepana i Antuna Radića 36, 44000 Sisak</t>
  </si>
  <si>
    <t>Građevina:</t>
  </si>
  <si>
    <t>ZGRADA 3 (BIVŠA STRAŽARNICA)</t>
  </si>
  <si>
    <t xml:space="preserve">U SKLOPU DOMOBRANSKE VOJARNE U SISKU
Lađarska ulica 28A, 44000 Sisak
na k.č.br. 718/1, k.o. Novi Sisak
</t>
  </si>
  <si>
    <t>Zajednička oznaka projekta: MŽ-02/24</t>
  </si>
  <si>
    <t>Interni broj projekta: 02/24</t>
  </si>
  <si>
    <t>TROŠKOVNIK STROJARSKIH INSTALACIJA</t>
  </si>
  <si>
    <t>OPĆI UVJETI:</t>
  </si>
  <si>
    <t>Dimenzije za sve elemente opreme potrebno je provjeriti na licu mjesta.</t>
  </si>
  <si>
    <t>U jediničnim cijenama za sve stavke troškovnika, ponuda mora sadržavati dobavu, ukupne troškove materijala i rada do potpunog dovršenja cjelokupnog posla odnosno do pune funkcionalnosti.U slučaju odstupanja od projekta u tijeku izvođenja  radova isporučitelj je dužan izraditi elaborat izvedenog stanja.</t>
  </si>
  <si>
    <t>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korisniku.prije oštećenja.</t>
  </si>
  <si>
    <t>Navedena ispitivanja, kontrole i mjerenja izvode ovlaštene institucije, a odnose se na ispitivanje klimatizacije i ventilacije,te ostala potrebna ispitivanja sukladno važećoj zakonskoj regulativi.</t>
  </si>
  <si>
    <t>Kao dokaz usklađenosti sa specificiranim materijalom u troškovniku, ponuditelj je dužan obvezno dostaviti prije isporuke sljedeće dokumente:</t>
  </si>
  <si>
    <t>katalog sa opisom i fotografijom svih ponuđenih proizvoda, iz kojeg su vidljive sve tražene karakteristike proizvoda predmeta nabave,</t>
  </si>
  <si>
    <t>Isporučitelj je dužan prilikom isporuke, montaže i razmještaja opreme u okviru ugovorene cijene, preuzeti nekretninu, te obavijestiti investitora o početku radova. Od tog trenutka pa do primopredaje opreme, isporučitelj je odgovoran za stvari i osobe koje se nalaze u građevini.</t>
  </si>
  <si>
    <t>Za sav materijal, opremu i uređaje isporučitelj  je dužan prije isporuke dostaviti ateste i uvjerenja o kvaliteti, te garancijske listove i tehničku dokumentaciju sa podacima.</t>
  </si>
  <si>
    <t xml:space="preserve">Ukoliko isporučitelj isporuči robu na neodgovarajući način i od neodgovarajućih materijala,dužan je na svoj trošak izvesti iste iz materijala tražene kvalitete i na opisan </t>
  </si>
  <si>
    <t>način, uz prethodno otklanjanje nekvalitetnih dijelova.</t>
  </si>
  <si>
    <t>Pri radu treba obavezno primjenjivati sve potrebne mjere zaštite na radu, naročito zaštite od požara.</t>
  </si>
  <si>
    <t>Ukoliko se isporučitelj ne pridržava ovih pravila može mu se zabraniti daljnji rad dok ga ne</t>
  </si>
  <si>
    <t>organizira u skladu s pravilima.</t>
  </si>
  <si>
    <t>Troškovi zaštite uračunati su u jediničnu cijenu. Ukoliko ipak dođe do oštećenja prethodno izvedenih radova, isporučitelj je dužan oštećenja otkloniti o svom trošku  i dovesti u stanje prije oštećenja.</t>
  </si>
  <si>
    <t>Jednakovrijedni proizvodi moraju zadovoljiti opisane minimalne karakteristike i mora  postojati međusobna kompatibilnost.</t>
  </si>
  <si>
    <t>Zbrinjavanje otpada obaveza je izvoditelja radova.</t>
  </si>
  <si>
    <t>Po završetku montaže i razmještaja opreme i u toku radova isporučitelj je dužan čistiti prostor</t>
  </si>
  <si>
    <t>i susjedne prostore.</t>
  </si>
  <si>
    <t>U stavkama troškovnika predviđene su minimalne tehničke karakteristike uz dozvoljeno</t>
  </si>
  <si>
    <t>odstupanje u dimenzijama od +- 5%</t>
  </si>
  <si>
    <t xml:space="preserve">Ovi opći uvjeti i grafički prilozi sastavni su dio opisa svake pojedine stavke troškovnika. </t>
  </si>
  <si>
    <t>Red. broj</t>
  </si>
  <si>
    <t>Opis stavke</t>
  </si>
  <si>
    <t>Jed.mjera</t>
  </si>
  <si>
    <t>Količina</t>
  </si>
  <si>
    <t>Jed.cijena</t>
  </si>
  <si>
    <t>Iznos</t>
  </si>
  <si>
    <t>S1.</t>
  </si>
  <si>
    <t>GRIJANJE I HLAĐENJE</t>
  </si>
  <si>
    <t>Inverterski rashladnik vode sa stapnim kompresorima.</t>
  </si>
  <si>
    <t>Koristi prirodni radnim medij R290 (propan) s iznimno niskim GWP=3 i smanjenim utjecajem na okoliš.</t>
  </si>
  <si>
    <t>Struktura jedinice izrađena je od pocinčanog lima presvučenog poliesterskim prahom RAL 5017/7035 na 180 ° C, što je čini visoko otpornom na vremenske uvjete. Konstrukcija je nosivi okvir s uklonjivim oplatama obloženim prostirkom od poliuretana koja apsorbira zvuk. Svi vijci su od nehrđajućeg čelika.</t>
  </si>
  <si>
    <t xml:space="preserve">Kompresori su polu-hermetički klipni s dva kruga, frekventnim pretvaračem za svaki kompresor koji modulira radnu frekvenciju prema zahtjevu opterećenja. Inverterski kompresori promjenjive brzine povećavaju sezonsku učinkovitost i postižu stabilnu termodinamičku regulaciju u svim uvjetima opterećenja. </t>
  </si>
  <si>
    <t>Brzina modulirajućeg kompresora varira, ovisno o ukupnom toplinskom opterećenju između 30 i 105 o / min. 30Hz i 65Hz.</t>
  </si>
  <si>
    <t>Zrakom hlađeni i grijani toplinski izmjenjivač uređaja napravljen je od bakrenih cijevi te aluminijskih mikro kanala koji povećavaju površinu izmjene zraka. Izmjenivač je optimiziran za rad uređaja u grijanju te ima povećanu širinu i nagib lamela kako bi se smanjilo stvaranje leda i olakšao odljev kondenzirane vode tijekom odmrzavanja. Bakrene cijevi su povećane debljine kako bi se osigurala veća pouzdanost i trajnost tijekom radnog vijeka.</t>
  </si>
  <si>
    <t>Na dnu zrakom hlađenog i grijanog izmjenivača se nalazi posuda za sakupljanje kondenzata koja olakšava odvod kondenzata tijekom odmrzavanja. Uređaj je standardno opremljen grijaćim kabelom montiranim na dno posude za kondenzat kako bi se spriječilo stvaranje leda.</t>
  </si>
  <si>
    <t>Vodeni izmjenjivač je također opremljen termostatom grijačem protiv smrzavanja koji ga štiti od stvaranja leda kada uređaj ne radi. Rad uređaja optimiziran je u načinu grijanja, gdje se voda i tekućine rashladnog sredstva izmjenjuju u protustruji unutar pločastog izmjenjivača topline.</t>
  </si>
  <si>
    <t>Svaki krug rashladnog sredstva osnovne jedinice sadrži: elektromagnetni ventil na dovodu tekuće faze, 4-smjerni prekretni ventil, servisni ventili prije i nakon kompresora, reciever tekuće faze radnog medija, priključci za punjenje radnog medija, kontrolno staklo, filter za isušivanje, elektronski ekspanzijski ventil, prekidači visokog i niskog tlaka te separator usisne tekućine.</t>
  </si>
  <si>
    <t>Za napajanje sigurnosnih uređaja (osjetnik curenja i ventilatori za usisavanje) potrebna je dodatna namjenska linija napajanja 230V / 50Hz. Rad ove linije mora biti zajamčen neprekidnim napajanjem.</t>
  </si>
  <si>
    <t>Uređaj se standardno isporučuje s naprednim upravljačem i Ethernet serijski priključak s protokolom Modbus i integriranim BlueThink web preglednikom.</t>
  </si>
  <si>
    <t>Rashladni učinak ≥ 130 [kW] kod temperature vode u isparivaču 7/12 [°C] i temperature zraka na usisu u kondenzator 35 [°C]</t>
  </si>
  <si>
    <t>Apsorbirana el. snaga stroja: maks. 51 [kW]</t>
  </si>
  <si>
    <t>SEER ≥ 4,1</t>
  </si>
  <si>
    <t>µs,c ≥ 161</t>
  </si>
  <si>
    <t>min. broj rashladnih krugova: 2</t>
  </si>
  <si>
    <t>min. broj kompresora: 2</t>
  </si>
  <si>
    <t>način regulacije: inverterski za oba rashladna kruga</t>
  </si>
  <si>
    <t>prirodna radna tvar: R290 (GWP=3)</t>
  </si>
  <si>
    <t>ukupna količina radne tvari R290 (cijeli uređaj) ≤ 8,5 kg</t>
  </si>
  <si>
    <t>Maks. nivo zvučnog tlaka na 10 m od uređaja ≤ 57 dB(A)</t>
  </si>
  <si>
    <t>Maks. nivo zvučne snage ≤ 89 dB(A)</t>
  </si>
  <si>
    <t>dimenzije DxŠxV [mm]: 3756x1126x2405</t>
  </si>
  <si>
    <t>masa stroja: 1995 kg</t>
  </si>
  <si>
    <t>Radno područje: -15°C do + 52°C temp. zraka</t>
  </si>
  <si>
    <t>Dodatna oprema koja treba biti sadržana u isporuci rashladnika vode:</t>
  </si>
  <si>
    <t>1PS - hidro modul s jednom frekventnom regulacijskom pumpom, inercijskim spremnikom 200 lit , ekspanzijskom membranskom posudom 5 lit [min.raspoloživi eksterni pad tlaka pumpe 122 kPa kod MEG 35%]</t>
  </si>
  <si>
    <t>FVP - inverterska - fleksibilna radna točka pumpe</t>
  </si>
  <si>
    <t>TERM - daljinski regulator</t>
  </si>
  <si>
    <t>PBA - TCP-IP Bacnet komunikacijska kartica</t>
  </si>
  <si>
    <t>AG - gumene antivibracijske podloške</t>
  </si>
  <si>
    <t>Parametri i elementi koji su nužan uvjet kod dokazivanja jednakovrijednosti:</t>
  </si>
  <si>
    <t xml:space="preserve"> - minimalni broj rashladnih krugova</t>
  </si>
  <si>
    <t xml:space="preserve"> - Prirodna radna tvar sa (GWP ≤ 3) i radno područje</t>
  </si>
  <si>
    <t xml:space="preserve"> - inverterska regulacija svih kompresora</t>
  </si>
  <si>
    <t xml:space="preserve"> - dodatna oprema sadržana u sklopu rashladnika vode</t>
  </si>
  <si>
    <t xml:space="preserve"> - navedene tehničke karakteristike potvrđene Eurovent certifikatom</t>
  </si>
  <si>
    <t>Sve komponente se isporučuju sastavljene, tvornički ispitane i certificirane u jednom komadu.</t>
  </si>
  <si>
    <t>Recirkulacijska jedinica za grijanje i hlađenje prostorija za ugradnju pod strop na visini 4,2 m od poda s centralnim izvorom topline i rashladne energije (2-cjevni sustav); izvedena kao krovna jednica; s visokoučinkovitim distributerom zraka.</t>
  </si>
  <si>
    <t>Jedinica se sastoji od sljedećih komponenata:</t>
  </si>
  <si>
    <t xml:space="preserve"> - Krovne jedinice (s pristupom svim komponentama za servisiranje) dim.2795x1490x1439 mm(d x š x v) koja se sastoji od:</t>
  </si>
  <si>
    <t xml:space="preserve"> -ventilatora s visokoučinkovitem EC motorom</t>
  </si>
  <si>
    <t xml:space="preserve"> -visokoučinkovitog izmjenjivača za grijanje i hlađenje iz bakrenih cijevi</t>
  </si>
  <si>
    <t xml:space="preserve"> -odvajača kondenzata</t>
  </si>
  <si>
    <t xml:space="preserve">  -fitera</t>
  </si>
  <si>
    <t xml:space="preserve"> -Elektroničke ploče na bočnoj strani kućista sa svim potrebnim električnim komponentama, upravljačkom jedinicom (pričvršćenom) i priključnim stezaljkama za sljedeće vanjske veze:
  -- Ventil za grijanje/hlađenje
  -- Pumpa za grijanje/hlađenje
  -- Kontakt za vrata</t>
  </si>
  <si>
    <t>- Potkrovna jedinica, sastoji se od:</t>
  </si>
  <si>
    <t xml:space="preserve"> -Priključnog modula dim.110x1100x1300 mm(dxšxv) </t>
  </si>
  <si>
    <t xml:space="preserve"> -Rešetke za odsisni zrak
- Uvodnice za kabele električnog napajanja
- Uvodnice za hidrauličke cijevi</t>
  </si>
  <si>
    <t>- Air-Injectora</t>
  </si>
  <si>
    <t>Hidraulička grupa za zaporni krug sastoji se od:</t>
  </si>
  <si>
    <t xml:space="preserve"> - Mješajućeg ventila smotornim pogonom , kuglaste slavine i automatskog odzračnog ventila, ugrađenog i ožičenog u krovnoj jedinici</t>
  </si>
  <si>
    <t xml:space="preserve"> - Predizoliranog cjevovod ugrađen u potkrovnoj jedinici za spajanje na distribucijski sustav</t>
  </si>
  <si>
    <t xml:space="preserve"> -Odvojeno isporučene oklopljenje cijevi za spajanje cjevovoda krovne i potkrovne jedinice</t>
  </si>
  <si>
    <t>Krovni okvir:</t>
  </si>
  <si>
    <t>Sastoji se od 4 nosiva bočna zida od pocinčanog čeličnog lima s pričvrsnim utorima za krovnu jedinicu, isporučeno odvojeno s odgovarajućim spojnim vijcima</t>
  </si>
  <si>
    <t>Tehnički podaci:</t>
  </si>
  <si>
    <t>Brzina ventilatora: brzina 2</t>
  </si>
  <si>
    <t>Nominalna količina zraka:9000 m3/h</t>
  </si>
  <si>
    <t>Protok zraka:9000 m3/h</t>
  </si>
  <si>
    <t>Električna snaga: 2,0 kW</t>
  </si>
  <si>
    <t>Razina tlaka zvuka na 5 m udaljenosti: 59 dB(a)</t>
  </si>
  <si>
    <t>Maks. električno opterećenje:3,6 kW</t>
  </si>
  <si>
    <t>Jakost struje: 5,9 A</t>
  </si>
  <si>
    <t>Napon:3x400 V</t>
  </si>
  <si>
    <t>Frekvencija:50 Hz</t>
  </si>
  <si>
    <t>Masa:881 kg</t>
  </si>
  <si>
    <t>Sadržaj vode u izmjenjivaču (Hlađenje):19,2 l</t>
  </si>
  <si>
    <t>Maks. udaljenost od zida:15 m</t>
  </si>
  <si>
    <t>Min. udaljenost od zida:7 m</t>
  </si>
  <si>
    <t>Maks. udaljenost od jedinica:31 m</t>
  </si>
  <si>
    <t xml:space="preserve">Min. udaljenost od jedinica:14 </t>
  </si>
  <si>
    <t xml:space="preserve">Grijanje-topla voda
Polaz:	35	°C
Povrat:	30	°C
Učin grijanja:	8948 W	</t>
  </si>
  <si>
    <t xml:space="preserve">Hlađenje-hladna voda
Polaz:	7	°C
Povrat:	12	°C
Učin hlađenja:	20695 W
</t>
  </si>
  <si>
    <t>Recirkulacijska jedinica za grijanje i hlađenje prostorija za ugradnju pod strop na visini 4,9 m od poda s centralnim izvorom topline i rashladne energije (2-cjevni sustav); s visokoučinkovitim distributerom zraka;.</t>
  </si>
  <si>
    <t>- ventilatora s visokoučinkovitem EC motorom</t>
  </si>
  <si>
    <t>- visokoučinkovitog izmjenjivača za grijanje i hlađenje iz bakrenih cijevi</t>
  </si>
  <si>
    <t>-  Air-Injectora</t>
  </si>
  <si>
    <t>- pumpe  kondenzata</t>
  </si>
  <si>
    <t>- fitera</t>
  </si>
  <si>
    <t xml:space="preserve">Elektroničke ploče na bočnoj strani kućista sa svim potrebnim električnim komponentama, upravljačkom jedinicom (pričvršćenom) i priključnim stezaljkama za sljedeće vanjske veze:
 </t>
  </si>
  <si>
    <t>- Kontroler za jedinicu</t>
  </si>
  <si>
    <t xml:space="preserve"> - Glavnu sklopku</t>
  </si>
  <si>
    <t xml:space="preserve"> - Strujni prekidač</t>
  </si>
  <si>
    <t xml:space="preserve">  - Osigurač za elektroniku</t>
  </si>
  <si>
    <t xml:space="preserve"> - Transformator</t>
  </si>
  <si>
    <t xml:space="preserve"> - Spojne stezaljke</t>
  </si>
  <si>
    <t>Hidrauličke grupe za zaporni krug koja se sastoji se od:</t>
  </si>
  <si>
    <t>- Regulacijskog ventila s namještenim protokom, kuglaste slavine i automatskog odzračnog ventila, ugrađenog i ožičenog u krovnoj jedinici</t>
  </si>
  <si>
    <t>Električna snaga: 1,5 kW</t>
  </si>
  <si>
    <t>Masa:276 kg</t>
  </si>
  <si>
    <t xml:space="preserve">Grijanje-topla voda
Polaz:	35	°C
Povrat:	30	°C
Učin grijanja:	9247 W	</t>
  </si>
  <si>
    <t xml:space="preserve">Hlađenje-hladna voda
Polaz:	7	°C
Povrat:	12	°C
Učin hlađenja:	27811 W
</t>
  </si>
  <si>
    <t>Sustav upravljanja za decentralizirane ventilacijske uređaje, podjeljen u tri glavne razine koje su povezane pomoću sistem bus-a:
- Izvršna razina u kojoj korisnik vodi sustav. Dostupni su različiti načini rada prema specifičnim projektnim zahtjevima.
- Razina zona u kojima ventilacijski uređaji rade pod istim uvjetima. Kriteriji po kojima su kreirane zone: vrijeme rada, željena sobna temperatura (dnevna ili noćna), visina smještaja uređaja, količina vlage ili CO2 u prostoru...
Za svaku zonu instaliran je po jedan zonski kontroler u zonskom upravljačkom ormaru. Svaki zonski kontroler vodi pripadajuće ventilacijske uređaje po zadanom programu. U kontrolnu zonu obuhvaćeni su različiti tipovi uređaja, te razlikuju  tipove uređaja unutar pojedine zone:
•</t>
  </si>
  <si>
    <t>• Glavni uređaji (uređaj za svjež ili dovodni zrak)</t>
  </si>
  <si>
    <t>• Dodatni uređaji (optočni uređaji koji se ukjučuju u slučaju zahtjeva za grijanjem ili hlađenjem).</t>
  </si>
  <si>
    <t>Za dodatne uređaje u pojedinim ventilacijskim uređajima instaliran je kontroler za upravljanje jedinicom T-TTC.</t>
  </si>
  <si>
    <t xml:space="preserve"> - Razina uređaja-kontroler instaliran je u svaki glavni uređaj (uređaj za svjež ili dovedni zrak). On individualno kontrolira uređaj po lokalnim uvjetima.</t>
  </si>
  <si>
    <t xml:space="preserve">kom </t>
  </si>
  <si>
    <t>Rashladni učinak odabran je prema temperaturi prostora 26 °C suhog termometra / 19°C vlažnog termometra i temperaturi hladne vode 7/12°C.</t>
  </si>
  <si>
    <t>Ogrijevni učinak odabran je na temperaturi prostora 20 °C, i temperaturi tople vode 45 °C.</t>
  </si>
  <si>
    <t>Dodatna oprema koja se isporučuje u sklopu ventilokonvektora:</t>
  </si>
  <si>
    <t>* troputni ventil 220V; on-off tvornički montiran na ventilokonvektoru</t>
  </si>
  <si>
    <t>* nogice za podnu izvedbu</t>
  </si>
  <si>
    <t>* pomoćna tavica za kondenzat</t>
  </si>
  <si>
    <t>sljedećih tipova:</t>
  </si>
  <si>
    <t>5.1</t>
  </si>
  <si>
    <t>Totalni rashladni učinak : 2,88  kW(na srednjoj brzini)</t>
  </si>
  <si>
    <t>Sensibilni rashladni učinak: 2,32 kW</t>
  </si>
  <si>
    <t>Protok vode u režimu hlađenja: 495 l/h</t>
  </si>
  <si>
    <t>Pad tlaka na vodenoj strani u režimu hlađenja: 9,5 kPa</t>
  </si>
  <si>
    <t>Ogrijevni učinak:  3,16 kW(na srednjoj brzini)</t>
  </si>
  <si>
    <t>Protok vode u režimu grijanja: 544 l/h</t>
  </si>
  <si>
    <t>Pad tlaka na vodenoj strani u režimu grijanja: 9,75 kPa</t>
  </si>
  <si>
    <t>Nivo zvučne snage: 42 dB(A)</t>
  </si>
  <si>
    <t>Nivo zvučnog tlaka: 38 dB(A)</t>
  </si>
  <si>
    <t>Protok zraka : 420 m3/h</t>
  </si>
  <si>
    <t>Električna snaga: 27 W</t>
  </si>
  <si>
    <t>Dimenzije kućišta  DxŠxV:  1497 x 129 x 579 mm</t>
  </si>
  <si>
    <t>Masa: 28 kg</t>
  </si>
  <si>
    <t>5.2</t>
  </si>
  <si>
    <t>Totalni rashladni učinak :2,00  kW(na srednjoj brzini)</t>
  </si>
  <si>
    <t>Sensibilni rashladni učinak: 1,45 kW</t>
  </si>
  <si>
    <t>Protok vode u režimu hlađenja: 344 l/h</t>
  </si>
  <si>
    <t>Pad tlaka na vodenoj strani u režimu hlađenja: 12,3 kPa</t>
  </si>
  <si>
    <t>Ogrijevni učinak:  2,14 kW(na srednjoj brzini)</t>
  </si>
  <si>
    <t>Protok vode u režimu grijanja:368 l/h</t>
  </si>
  <si>
    <t>Pad tlaka na vodenoj strani u režimu grijanja: 11,83 kPa</t>
  </si>
  <si>
    <t>Nivo zvučne snage: 41 dB(A)</t>
  </si>
  <si>
    <t>Nivo zvučnog tlaka: 37 dB(A)</t>
  </si>
  <si>
    <t>Dimenzije kućišta  DxŠxV:  1097 x 129 x 579 mm</t>
  </si>
  <si>
    <t>Masa: 21 kg</t>
  </si>
  <si>
    <t>Individualni upravljač ventilokonvektora</t>
  </si>
  <si>
    <t>za kontrolu temperature u sustavima ventilokonvektora. Upravlja ventilokonvektorom, otvaranjem i zatvaranjem ventila u ovisnosti o temperaturnoj razlici između sobne i zadane temperature, a sve u svrhu postizanja odgovarajuće temperature i uštede energije.</t>
  </si>
  <si>
    <t>Primjenjuje tehnologiju digitalne kontrole s velikim LCD zaslonom, a prikazuje sljedeće: režim rada (hlađenje, grijanje, ventilacija), brzinu ventilatora, sobnu temperaturu, zadanu temperaturu.</t>
  </si>
  <si>
    <t>Mogućnosti regulatora:</t>
  </si>
  <si>
    <t>* postavke sobne temperature</t>
  </si>
  <si>
    <t>* ručno ili automatsko 3-brzinsko prebacivanje</t>
  </si>
  <si>
    <t>* defrost (zaštita od niskih temperatura)</t>
  </si>
  <si>
    <t>* 7dnevni program s 4 različita režima</t>
  </si>
  <si>
    <t>* plavo pozadinsko osvjetljenje LCD zaslona</t>
  </si>
  <si>
    <t>* mogućnost isključivanja ventilatora ukoliko nema zahtjeva za grijanje / hlađenje</t>
  </si>
  <si>
    <t>Relejna kutija za grupno vođenje 2 do  4 upravljača ventilokonvektora</t>
  </si>
  <si>
    <t xml:space="preserve">Čelični pločastii radijatori s ventilskim H-blokom s okretnim čepom za  odzračivanje,ventilskim čepom za ispuštanje vode,pomoćnim materijalom,  čepovima,brtvilima i setom za montažu(kom 13)   
</t>
  </si>
  <si>
    <t>TIP 22</t>
  </si>
  <si>
    <t>1400/900</t>
  </si>
  <si>
    <t>1200/900</t>
  </si>
  <si>
    <t>1000/900</t>
  </si>
  <si>
    <t>900/900</t>
  </si>
  <si>
    <t>600/900</t>
  </si>
  <si>
    <t>500/900</t>
  </si>
  <si>
    <t>400/500</t>
  </si>
  <si>
    <t xml:space="preserve">Termostatski radijatorski ventil s zaštitnom termostatskom glavom  s dvostrukom  regulacijom 
NO 15 
</t>
  </si>
  <si>
    <t xml:space="preserve">Radijatorski ventil s dvostrukom regulacijom  
                                                          </t>
  </si>
  <si>
    <t>NO 20</t>
  </si>
  <si>
    <t>Radijatorska prigušnica</t>
  </si>
  <si>
    <t>Bakrene cijevi s fitinzima</t>
  </si>
  <si>
    <t xml:space="preserve">Ф 76x1,5 mm </t>
  </si>
  <si>
    <t>m</t>
  </si>
  <si>
    <t xml:space="preserve">Ф 35x1,5 mm </t>
  </si>
  <si>
    <t xml:space="preserve">Ф 28x1,2 mm </t>
  </si>
  <si>
    <t xml:space="preserve">Ф 22x1,2 mm </t>
  </si>
  <si>
    <t xml:space="preserve">Ф 18x1 mm </t>
  </si>
  <si>
    <t xml:space="preserve">Bakrene cijevi za odvod kondenzata s toplinskom </t>
  </si>
  <si>
    <t>izolacijom debljine 6 mm s parnom branom,komplet s</t>
  </si>
  <si>
    <t>fazonskim komadima</t>
  </si>
  <si>
    <t>22x1,2 mm</t>
  </si>
  <si>
    <t>18x1 mm</t>
  </si>
  <si>
    <t>Visoko fleksibilna izolacija razvoda cijevi ,(klase B1 prema HRN EN 13501-1;2) tipskom izolacijom iz elastomene pjene na bazi sintetičkog kaučuka  s otporom prema difuziji vodene pare i  niskom toplinskom vodljivosti:</t>
  </si>
  <si>
    <t>Brtvljene svih prodora kroz požarne sektore s izolacijskim materijalom klase negorivosti A1 min 90 min EI 90 prema HRN EN 1366-3;2009 ili jednakovrijedno (negoriva s atestom),</t>
  </si>
  <si>
    <t>GRIJANJE I HLAĐENJE UKUPNO:</t>
  </si>
  <si>
    <t>S2.</t>
  </si>
  <si>
    <t>TOPLINSKA PODSTANICA</t>
  </si>
  <si>
    <t>Automatski uređaj za omekšavanje vode</t>
  </si>
  <si>
    <t>Stanice za pripremu vode namijenjena za sustave grijanja, koja se sastoji od:
• uređaja za omekšavanje vode s kontrolom volumena,
• dozator
Uređaj je potpuno automatski jednostavan za ugradnju i upravljanje.
Tehnički podaci:
Toplinski učin 100 kW
Dimenzije:
Visina 822 mm
Širina 302 mm
Dubina 480 mm
Maksimalni protok 1,2 m3/h
Volumen sloja filtera 25 dm3
Orijentacijska potrebna količina soli za
regeneraciju 2,5 kg
Orijentacijska potrebna količina vode za
regeneraciju 75 - 90 l
Raspon tlaka min/max 1,4 - 8,0 bar
Priključak 1 "</t>
  </si>
  <si>
    <t xml:space="preserve">      2.1</t>
  </si>
  <si>
    <t>Regeneracijska sol 25 kg</t>
  </si>
  <si>
    <t xml:space="preserve">      2.2</t>
  </si>
  <si>
    <t>Aquatest TH tester tvrdoće vode</t>
  </si>
  <si>
    <t>ispitivač za utvrđivanje tvrdoće pitke vode</t>
  </si>
  <si>
    <t>orijentacijski broj ispitivanja: 50 – 90 (zavisno o tvrdoći vode)</t>
  </si>
  <si>
    <t xml:space="preserve">      2.3</t>
  </si>
  <si>
    <t>Filter povratnog ispiranja vode RD1 1/4</t>
  </si>
  <si>
    <t xml:space="preserve">Zatvorena ekspanzijska membranska posuda sadržaja 18 lit 10 bar sa sigurnosnim ventilom NO 15 baždarnim  na 6 bar, za ugradnju na dovod hladne vode spremniku PTV,uključivo s baždarenim listom za ventil
</t>
  </si>
  <si>
    <r>
      <t xml:space="preserve">Elektronska cirkulacijska pumpa :                             -za grijanje radionice CNC                                                        </t>
    </r>
    <r>
      <rPr>
        <sz val="10"/>
        <color indexed="10"/>
        <rFont val="Arial"/>
        <family val="2"/>
        <charset val="238"/>
      </rPr>
      <t xml:space="preserve">         </t>
    </r>
    <r>
      <rPr>
        <sz val="10"/>
        <rFont val="Arial"/>
        <family val="2"/>
      </rPr>
      <t xml:space="preserve">                                                                                                  dobava:                      3100 lit/h                     man.tlak:                    80 kPa                  </t>
    </r>
  </si>
  <si>
    <r>
      <t xml:space="preserve"> -za grijanje radionice za izradu el.vozila                                                          </t>
    </r>
    <r>
      <rPr>
        <sz val="10"/>
        <color indexed="10"/>
        <rFont val="Arial"/>
        <family val="2"/>
        <charset val="238"/>
      </rPr>
      <t xml:space="preserve"> </t>
    </r>
    <r>
      <rPr>
        <sz val="10"/>
        <rFont val="Arial"/>
        <family val="2"/>
      </rPr>
      <t xml:space="preserve">                                           dobava:                      3200 lit/h                      man.tlak:                    80 kPa                </t>
    </r>
  </si>
  <si>
    <r>
      <t xml:space="preserve"> -za centralno grijanje sanitarija,spremišta i hodnika                                                    </t>
    </r>
    <r>
      <rPr>
        <sz val="10"/>
        <color indexed="10"/>
        <rFont val="Arial"/>
        <family val="2"/>
        <charset val="238"/>
      </rPr>
      <t xml:space="preserve"> </t>
    </r>
    <r>
      <rPr>
        <sz val="10"/>
        <rFont val="Arial"/>
        <family val="2"/>
      </rPr>
      <t xml:space="preserve">                                           dobava:                      750 lit/h                       man.tlak:                    80 kPa                  </t>
    </r>
  </si>
  <si>
    <r>
      <t xml:space="preserve"> -za ventilokonvektore-grijanje </t>
    </r>
    <r>
      <rPr>
        <sz val="10"/>
        <rFont val="Arial"/>
        <family val="2"/>
        <charset val="238"/>
      </rPr>
      <t xml:space="preserve">                                                                                                                                                                                      </t>
    </r>
    <r>
      <rPr>
        <sz val="10"/>
        <color indexed="10"/>
        <rFont val="Arial"/>
        <family val="2"/>
        <charset val="238"/>
      </rPr>
      <t xml:space="preserve">                                                                                  </t>
    </r>
    <r>
      <rPr>
        <sz val="10"/>
        <rFont val="Arial"/>
        <family val="2"/>
        <charset val="238"/>
      </rPr>
      <t xml:space="preserve">  </t>
    </r>
    <r>
      <rPr>
        <sz val="10"/>
        <rFont val="Arial"/>
        <family val="2"/>
      </rPr>
      <t xml:space="preserve">                                          dobava:                      2700 lit/h                        man.tlak:                   80</t>
    </r>
    <r>
      <rPr>
        <i/>
        <sz val="10"/>
        <rFont val="Arial"/>
        <family val="2"/>
        <charset val="238"/>
      </rPr>
      <t xml:space="preserve"> </t>
    </r>
    <r>
      <rPr>
        <sz val="10"/>
        <rFont val="Arial"/>
        <family val="2"/>
      </rPr>
      <t xml:space="preserve">kPa                            </t>
    </r>
  </si>
  <si>
    <r>
      <t xml:space="preserve"> -za pripremu PTV                                                            </t>
    </r>
    <r>
      <rPr>
        <sz val="10"/>
        <color indexed="10"/>
        <rFont val="Arial"/>
        <family val="2"/>
        <charset val="238"/>
      </rPr>
      <t xml:space="preserve"> </t>
    </r>
    <r>
      <rPr>
        <sz val="10"/>
        <rFont val="Arial"/>
        <family val="2"/>
      </rPr>
      <t xml:space="preserve">                                           dobava:                      430 lit/h                       man.tlak:                    60 kPa                  </t>
    </r>
  </si>
  <si>
    <r>
      <t xml:space="preserve"> -za recirkulaciju potrošne tople vode                                                                   </t>
    </r>
    <r>
      <rPr>
        <sz val="10"/>
        <color indexed="10"/>
        <rFont val="Arial"/>
        <family val="2"/>
        <charset val="238"/>
      </rPr>
      <t xml:space="preserve">                                          </t>
    </r>
    <r>
      <rPr>
        <sz val="10"/>
        <rFont val="Arial"/>
        <family val="2"/>
      </rPr>
      <t xml:space="preserve">                                                                  dobava:                     1000 lit/h                       man.tlak:                   22 kPa                                                    </t>
    </r>
  </si>
  <si>
    <r>
      <t xml:space="preserve"> -za hlađenje radionice CNC                                                        </t>
    </r>
    <r>
      <rPr>
        <sz val="10"/>
        <color indexed="10"/>
        <rFont val="Arial"/>
        <family val="2"/>
        <charset val="238"/>
      </rPr>
      <t xml:space="preserve">         </t>
    </r>
    <r>
      <rPr>
        <sz val="10"/>
        <rFont val="Arial"/>
        <family val="2"/>
      </rPr>
      <t xml:space="preserve">                                                                                                  dobava:                      7200 lit/h                     man.tlak:                    80 kPa                  </t>
    </r>
  </si>
  <si>
    <r>
      <t xml:space="preserve"> -za hlađenje radionice za izradu el.vozila                                                          </t>
    </r>
    <r>
      <rPr>
        <sz val="10"/>
        <color indexed="10"/>
        <rFont val="Arial"/>
        <family val="2"/>
        <charset val="238"/>
      </rPr>
      <t xml:space="preserve"> </t>
    </r>
    <r>
      <rPr>
        <sz val="10"/>
        <rFont val="Arial"/>
        <family val="2"/>
      </rPr>
      <t xml:space="preserve">                                           dobava:                      9600 lit/h                      man.tlak:                    80 kPa                </t>
    </r>
  </si>
  <si>
    <r>
      <t xml:space="preserve"> -za ventilokonvektore-hlađenje </t>
    </r>
    <r>
      <rPr>
        <sz val="10"/>
        <rFont val="Arial"/>
        <family val="2"/>
        <charset val="238"/>
      </rPr>
      <t xml:space="preserve">                                                                                                                                                                                      </t>
    </r>
    <r>
      <rPr>
        <sz val="10"/>
        <color indexed="10"/>
        <rFont val="Arial"/>
        <family val="2"/>
        <charset val="238"/>
      </rPr>
      <t xml:space="preserve">                                                                                  </t>
    </r>
    <r>
      <rPr>
        <sz val="10"/>
        <rFont val="Arial"/>
        <family val="2"/>
        <charset val="238"/>
      </rPr>
      <t xml:space="preserve">  </t>
    </r>
    <r>
      <rPr>
        <sz val="10"/>
        <rFont val="Arial"/>
        <family val="2"/>
      </rPr>
      <t xml:space="preserve">                                          dobava:                      2400 lit/h                        man.tlak:                   80</t>
    </r>
    <r>
      <rPr>
        <i/>
        <sz val="10"/>
        <rFont val="Arial"/>
        <family val="2"/>
        <charset val="238"/>
      </rPr>
      <t xml:space="preserve"> </t>
    </r>
    <r>
      <rPr>
        <sz val="10"/>
        <rFont val="Arial"/>
        <family val="2"/>
      </rPr>
      <t xml:space="preserve">kPa                            </t>
    </r>
  </si>
  <si>
    <t>Slog automatske regulacije  - elementi u polju :</t>
  </si>
  <si>
    <t xml:space="preserve"> - mikroprocesorski LONworks regulator</t>
  </si>
  <si>
    <t xml:space="preserve"> - vanjski osjetnik temperature (NTC 20kΩ)</t>
  </si>
  <si>
    <t xml:space="preserve"> - uronski osjetnik temperature (NTC 20kΩ) duljine 135 mm</t>
  </si>
  <si>
    <t xml:space="preserve"> - uronski osjetnik tlaka s LED displayom (0-10 bar; IP65)+ 2 x ST12</t>
  </si>
  <si>
    <t xml:space="preserve"> - Troputni regulacijski ventil (navojni spoj)  PN6, DN50,protok 9,6 m3/h,kvs 50 m3/h,dp=6 kPa</t>
  </si>
  <si>
    <t xml:space="preserve"> - Troputni regulacijski ventil (navojni spoj)  PN6, DN40, protok 7,2 m3/h,kvs 40 m3/h,dp=10 kPa</t>
  </si>
  <si>
    <t xml:space="preserve"> - Troputni regulacijski ventil (navojni spoj)  PN6, DN25,protok 2,4-3,2 m3/h, kvs 6,3 m3/h,dp=9 kPa</t>
  </si>
  <si>
    <t xml:space="preserve"> - Troputni regulacijski ventil (navojni spoj)  PN6, DN20,protok 0,75m3/h, kvs 6,3 m3/h,dp=12 kPa</t>
  </si>
  <si>
    <t xml:space="preserve"> - Holender spojnica DN50</t>
  </si>
  <si>
    <t xml:space="preserve"> - Holender spojnica DN40</t>
  </si>
  <si>
    <t xml:space="preserve"> - Holender spojnica DN25</t>
  </si>
  <si>
    <t xml:space="preserve"> - Holender spojnica DN20</t>
  </si>
  <si>
    <t xml:space="preserve"> - Elektromotorni pogon ventila 24V, 0-10V, 300N</t>
  </si>
  <si>
    <r>
      <t>Elektrokomadni i upravljački (EMP+DDC) ormar za regulaciju toplinske podstanice.</t>
    </r>
    <r>
      <rPr>
        <b/>
        <sz val="10"/>
        <rFont val="Arial"/>
        <family val="2"/>
        <charset val="238"/>
      </rPr>
      <t xml:space="preserve"> </t>
    </r>
    <r>
      <rPr>
        <sz val="10"/>
        <rFont val="Arial"/>
        <family val="2"/>
        <charset val="238"/>
      </rPr>
      <t xml:space="preserve">U ormaru su integrirani potrebni sklopovi EMP-a za sve elektro potrošače kao i komplente međuveze sa DDC automatikom . Ormar se isporučuje kompletno ožičen i ispitan,sa svom potrebnom tehničkom dokumentacijom. Elektrokomadni ormar je zidne izvedbe za unutarnju ugradnju u zaštiti IP55. 
Signalizacija stanja elektromotornih potrošača prikazana je pomoću dvobojnih led-dioda integriranih u strojarskoj aplikaciji u boji koja se ugrađuje na unutarnjim vratima ormara (grafička aplikacija).
El.ormar osigurava napajanje i zaštitu za pet cirkulacijskih pumpi.
</t>
    </r>
  </si>
  <si>
    <t>Ugradba elemenata u polju (ne uključuje ugradbu ventila i čahura za cijevne osjetnike) - elementi automatske regulacije (osjetnici,elektromotorni pogon ventila,zaštitni termostati,...), prema projektnoj dokumentaciji uz preporuku isporučioca opreme automatske regulacije.</t>
  </si>
  <si>
    <t>Električno spajanje elemenata u polju automatske regulacije i elektromotornih potrošača. Svi elektromotorni potrošači moraju biti startani u ručnom radu i svo ožičenje elektrokomandnog ormara mora biti napravljeno na objektu prije izlaska servisera na puštanje u rad. Trasiranje i kabliranje nije u opisu ove stavke.</t>
  </si>
  <si>
    <t>Doprema na mjesto ugradnje i postavljanje elektroormara. Spajanje svih kabela u ormaru. Označavanje kabela. Spajanje glavnog napajanja i uzemljenje. Trasiranje i kabliranje, te ispitivanje instalacije nije u opisu ove stavke.</t>
  </si>
  <si>
    <t xml:space="preserve">Inženjering  specijalističke usluge na nivou mikroprocesorskih (DDC) elemenata:
Specijalistički automatičarski radovi podešavanja, programiranja i puštanja u rad mikroprocesorskih (DDC) regulatora  ugrađenih u elektrokomandi ormar.
Stavka obuhvaća sljedeće: 
- izradu potrebne dokumentacije i uputstava za DDC regulatore;
- izradu programa za mikroprocesorske regulatore;
- unos programa za mikroprocesorske regulatore;
- statičku i dinamičku simulaciju rada sustava;
- usklađivanje kontrolnih parametara s projektantom (krajnjim korisnikom);
- puštanje u rad i testiranje DDC uređaja;
- obuka krajnjeg korisnika i njegovo upoznavanje s elementima aut. regulacije.
</t>
  </si>
  <si>
    <r>
      <rPr>
        <sz val="10"/>
        <rFont val="Arial"/>
        <family val="2"/>
        <charset val="238"/>
      </rPr>
      <t>Razdjelnik tople vode izrađen iz čelične bešavne cijevi Φ 65 x 1800 mm sa 9 priključaka</t>
    </r>
    <r>
      <rPr>
        <b/>
        <sz val="10"/>
        <rFont val="Arial"/>
        <family val="2"/>
        <charset val="238"/>
      </rPr>
      <t xml:space="preserve">
</t>
    </r>
  </si>
  <si>
    <r>
      <rPr>
        <sz val="10"/>
        <rFont val="Arial"/>
        <family val="2"/>
        <charset val="238"/>
      </rPr>
      <t>Sabirnik tople vode izrađen iz čelične bešavne cijevi Φ 65 x 1800 mm sa 10 priključaka</t>
    </r>
    <r>
      <rPr>
        <b/>
        <sz val="10"/>
        <rFont val="Arial"/>
        <family val="2"/>
        <charset val="238"/>
      </rPr>
      <t xml:space="preserve">
</t>
    </r>
  </si>
  <si>
    <r>
      <rPr>
        <sz val="10"/>
        <rFont val="Arial"/>
        <family val="2"/>
        <charset val="238"/>
      </rPr>
      <t>Razdjelnik hladne vode izrađen iz čelične bešavne cijevi Φ 150 x 1500 mm sa 9 priključaka</t>
    </r>
    <r>
      <rPr>
        <b/>
        <sz val="10"/>
        <rFont val="Arial"/>
        <family val="2"/>
        <charset val="238"/>
      </rPr>
      <t xml:space="preserve">
</t>
    </r>
  </si>
  <si>
    <r>
      <rPr>
        <sz val="10"/>
        <rFont val="Arial"/>
        <family val="2"/>
        <charset val="238"/>
      </rPr>
      <t>Sabirnik tople vode izrađen iz čelične bešavne cijevi Φ 150 x 1500 mm sa 8 priključaka</t>
    </r>
    <r>
      <rPr>
        <b/>
        <sz val="10"/>
        <rFont val="Arial"/>
        <family val="2"/>
        <charset val="238"/>
      </rPr>
      <t xml:space="preserve">
</t>
    </r>
  </si>
  <si>
    <t xml:space="preserve">Čelične cijevi prema HRN EN 10216-1:201 ili jednakovrijedno   NO 100(Ф114,3x3,6)
</t>
  </si>
  <si>
    <t xml:space="preserve">Ф 54x1,5 mm </t>
  </si>
  <si>
    <t xml:space="preserve">Ф 42x1,5 mm </t>
  </si>
  <si>
    <t xml:space="preserve">Kompenzator vibracija NP 6 s prirubnicama, protuprirubnicama,brtvilom,vijcima i maticama                      </t>
  </si>
  <si>
    <t xml:space="preserve">NO 100                  </t>
  </si>
  <si>
    <t xml:space="preserve">NO 65                 </t>
  </si>
  <si>
    <t>Kompenzator vibracija na navoj NP6</t>
  </si>
  <si>
    <t xml:space="preserve">NO 50                           </t>
  </si>
  <si>
    <t xml:space="preserve">NO 40                              </t>
  </si>
  <si>
    <t xml:space="preserve">NO 25                                </t>
  </si>
  <si>
    <t>Kuglasta slavina NP 6 s prirubnicama, protuprirubnicama,brtvilom,vijcima i maticam</t>
  </si>
  <si>
    <t xml:space="preserve">NO 65                  </t>
  </si>
  <si>
    <t>Kuglasta slavina na navoj NP6</t>
  </si>
  <si>
    <t xml:space="preserve">NO 40                           </t>
  </si>
  <si>
    <t xml:space="preserve">NO 20                               </t>
  </si>
  <si>
    <t>Nepovratni ventil NP 6 s prirubnicama, protuprirubnicama,brtvilom,vijcima i maticam</t>
  </si>
  <si>
    <t>Nepovratni ventil na navoj NP6</t>
  </si>
  <si>
    <t>NO 50</t>
  </si>
  <si>
    <t>NO 40</t>
  </si>
  <si>
    <t>NO 25</t>
  </si>
  <si>
    <t>Hvatač nečistoće NP 6 s prirubnicama, protuprirubnicama,brtvilom,vijcima i maticam</t>
  </si>
  <si>
    <t>24.</t>
  </si>
  <si>
    <t>Hvatač nečistoće NP 6 na navoj</t>
  </si>
  <si>
    <t>25.</t>
  </si>
  <si>
    <t>Balans ventil NP 6 s prirubnicama, protuprirubnicama,brtvilom,vijcima i maticam</t>
  </si>
  <si>
    <t>26.</t>
  </si>
  <si>
    <t>Balans ventil na navoj NP6</t>
  </si>
  <si>
    <t>27.</t>
  </si>
  <si>
    <t>Troputni termostatski mješajući ventil za regulaciju temperature potrošne sanitarne tople vode, izrađen od mesinga. 
Maximalna temperatura ulazne tople vode 90°C.
Raspon podešavanja temperature na izlazu iz ventila od 20-65°C
Tvorničko podešenje 55°C
Dozvoljeni pritisak vode PN10
Navojni priključak 1/2”, kvs 8,5 m3/h</t>
  </si>
  <si>
    <t>NO15</t>
  </si>
  <si>
    <t>28.</t>
  </si>
  <si>
    <t>Odzračna posuda izrađena iz čelične bešavne cijevi prema HRN C.B5.221 ili jednakovrijedno               NO 100 (f 114, 3x3,6) x 250 mm uključivo</t>
  </si>
  <si>
    <t xml:space="preserve"> -automatski odzračni ventil NO 10 </t>
  </si>
  <si>
    <t xml:space="preserve"> -kuglasta slavina na navoj NO 15 </t>
  </si>
  <si>
    <t xml:space="preserve"> -bakrena cijev Ф18x1,l=2m</t>
  </si>
  <si>
    <t>29.</t>
  </si>
  <si>
    <t>Termomanometar</t>
  </si>
  <si>
    <t>30.</t>
  </si>
  <si>
    <t>Manometar 0-6 bar</t>
  </si>
  <si>
    <t>31.</t>
  </si>
  <si>
    <t xml:space="preserve">Termometar mesingani kutni 0-100°C.
</t>
  </si>
  <si>
    <t>32.</t>
  </si>
  <si>
    <t>Čelične cijevi</t>
  </si>
  <si>
    <t xml:space="preserve">NO 100(Ф114,3x3,6)      </t>
  </si>
  <si>
    <t>Cu cijevi</t>
  </si>
  <si>
    <t>33.</t>
  </si>
  <si>
    <t xml:space="preserve">Set armature na hladnoj vodi sastojeći se:                           
-kuglaste slavine NO 20 kom 2                                                                                              
-manometra 0-16 bar s kuglastom slavinom  kom 1
-nepovratnog ventila NO 20 kom 2
-hvatača nečistoće NO 20 kom 1   
-regulatora tlaka NO 20 kom 1  </t>
  </si>
  <si>
    <t>TOPLINSKA PODSTANICA UKUPNO:</t>
  </si>
  <si>
    <t>S3.</t>
  </si>
  <si>
    <t>TOPLOVOD</t>
  </si>
  <si>
    <t>S3.1</t>
  </si>
  <si>
    <t>STROJARSKA DIO</t>
  </si>
  <si>
    <r>
      <t>NO 50 (</t>
    </r>
    <r>
      <rPr>
        <sz val="10"/>
        <rFont val="Calibri"/>
        <family val="2"/>
        <charset val="238"/>
      </rPr>
      <t>Ф</t>
    </r>
    <r>
      <rPr>
        <sz val="10"/>
        <rFont val="Arial"/>
        <family val="2"/>
        <charset val="238"/>
      </rPr>
      <t xml:space="preserve"> 60,3 x 2,9/ </t>
    </r>
    <r>
      <rPr>
        <sz val="10"/>
        <rFont val="Calibri"/>
        <family val="2"/>
        <charset val="238"/>
      </rPr>
      <t>Ф</t>
    </r>
    <r>
      <rPr>
        <sz val="10"/>
        <rFont val="Arial"/>
        <family val="2"/>
        <charset val="238"/>
      </rPr>
      <t xml:space="preserve"> 125).
Isporuka u dužinama od 12 m.
Masa je 68,4 kg/12 m. 
</t>
    </r>
  </si>
  <si>
    <r>
      <t>NO 50 (</t>
    </r>
    <r>
      <rPr>
        <sz val="10"/>
        <rFont val="Calibri"/>
        <family val="2"/>
        <charset val="238"/>
      </rPr>
      <t>Ф</t>
    </r>
    <r>
      <rPr>
        <sz val="10"/>
        <rFont val="Arial"/>
        <family val="2"/>
        <charset val="238"/>
      </rPr>
      <t xml:space="preserve"> 60,3 x 2,9/ </t>
    </r>
    <r>
      <rPr>
        <sz val="10"/>
        <rFont val="Calibri"/>
        <family val="2"/>
        <charset val="238"/>
      </rPr>
      <t>Ф</t>
    </r>
    <r>
      <rPr>
        <sz val="10"/>
        <rFont val="Arial"/>
        <family val="2"/>
        <charset val="238"/>
      </rPr>
      <t xml:space="preserve"> 125).
Isporuka u dužinama od 6 m.
Masa je 34,2 kg/6 m. 
</t>
    </r>
  </si>
  <si>
    <t xml:space="preserve">Dobava i ugradnja brtvenog prstena  
(Ugrađuju se 2 prstena za 1 cijev)
</t>
  </si>
  <si>
    <t>Ф 125</t>
  </si>
  <si>
    <t xml:space="preserve">Dobava i ugradnja završne kape </t>
  </si>
  <si>
    <t xml:space="preserve"> Ф60,3x 2,9/ Ф 125</t>
  </si>
  <si>
    <t xml:space="preserve">Predizolirani montažni luk sa sustavom za detekciju vlage-IPS dim.500x500 mm 
</t>
  </si>
  <si>
    <r>
      <t xml:space="preserve">  NO 50,R=1,5 d /90</t>
    </r>
    <r>
      <rPr>
        <sz val="10"/>
        <rFont val="Calibri"/>
        <family val="2"/>
        <charset val="238"/>
      </rPr>
      <t>°</t>
    </r>
    <r>
      <rPr>
        <sz val="10"/>
        <rFont val="Arial"/>
        <family val="2"/>
        <charset val="238"/>
      </rPr>
      <t xml:space="preserve">
  (</t>
    </r>
    <r>
      <rPr>
        <sz val="10"/>
        <rFont val="Calibri"/>
        <family val="2"/>
        <charset val="238"/>
      </rPr>
      <t>Ф</t>
    </r>
    <r>
      <rPr>
        <sz val="10"/>
        <rFont val="Arial"/>
        <family val="2"/>
        <charset val="238"/>
      </rPr>
      <t xml:space="preserve">60,3 x 2,9/ </t>
    </r>
    <r>
      <rPr>
        <sz val="10"/>
        <rFont val="Calibri"/>
        <family val="2"/>
        <charset val="238"/>
      </rPr>
      <t>Ф</t>
    </r>
    <r>
      <rPr>
        <sz val="10"/>
        <rFont val="Arial"/>
        <family val="2"/>
        <charset val="238"/>
      </rPr>
      <t xml:space="preserve"> 125)
</t>
    </r>
  </si>
  <si>
    <t xml:space="preserve">Termostežuća spojnica,komplet s priborom 
</t>
  </si>
  <si>
    <r>
      <t xml:space="preserve">NO 125 / </t>
    </r>
    <r>
      <rPr>
        <sz val="10"/>
        <color indexed="8"/>
        <rFont val="Calibri"/>
        <family val="2"/>
        <charset val="238"/>
      </rPr>
      <t>Ф</t>
    </r>
    <r>
      <rPr>
        <sz val="10"/>
        <color indexed="8"/>
        <rFont val="Arial"/>
        <family val="2"/>
        <charset val="238"/>
      </rPr>
      <t xml:space="preserve"> 225</t>
    </r>
  </si>
  <si>
    <t xml:space="preserve">komponenete A(40%)  </t>
  </si>
  <si>
    <t xml:space="preserve">komponenete B(60%)  </t>
  </si>
  <si>
    <t xml:space="preserve">Kompenzacijskii jastuk na montažnim lukovima veličine 1000x240x40 mm
</t>
  </si>
  <si>
    <t xml:space="preserve">Podložna PUR gredice dim.460x100x100 mm
</t>
  </si>
  <si>
    <t xml:space="preserve">Plastična traka za označavanje trase toplovoda.
</t>
  </si>
  <si>
    <t>Laminat traka za oblaganje kompenzacijskih jastuka u roli širine 1m i duljine  25 m</t>
  </si>
  <si>
    <t xml:space="preserve">Masna ovojna trake na prolazu kroz zidove.Računato je s trostrukim ovojem po cijevi i preklopom  od 50% tj.10 mm.
</t>
  </si>
  <si>
    <t xml:space="preserve">Hladna tlačna proba na 2,5 MPa dionice toplovoda
u dužini trase 50 m,
</t>
  </si>
  <si>
    <t xml:space="preserve">Topla proba toplovoda u dužini trase 50 m u vremenu koje odredi nadzorni inženjer.Izvodi se uz ispuštanje taloga na ispusnim mjestima,a odzračivanje na odzračnim mjestima.
</t>
  </si>
  <si>
    <t xml:space="preserve">Geodetska kontrola visine polaganja toplovoda
</t>
  </si>
  <si>
    <t>STROJARSKI DIO UKUPNO:</t>
  </si>
  <si>
    <t>S3.2</t>
  </si>
  <si>
    <t>GRAĐEVINSKI DIO</t>
  </si>
  <si>
    <t xml:space="preserve">Geodetsko snimanje trasa postojećih instalacija sa određivanjem dubina istih (kanalizacija, vodovod, energetskih kablova itd.). Trase instalacija označiti trajnom bojom na trasi toplovoda (asfalt) i kolcima (zemlja). Radove izvršiti prije iskopa rova. Cijena radova uzeta je po metru dužnom trase a obračun izvršiti prema stvarno izvršenim radovima.
</t>
  </si>
  <si>
    <t xml:space="preserve">Betonske polucijevi Ф 200 mm  za ugradnju na svim križanjima toplovoda sa drugim komunalnim instalacijama. Polucijev je dužine 2,5 m. Nakon polaganja instalacije u polucijev, prostor oko instalacije  zapuniti suhim pijeskom.Obračun se vrši po komadu stvarno ugrađene cijevi.
</t>
  </si>
  <si>
    <t xml:space="preserve">Izrada armirano betonskog okna dim.2x2x1,3 m s metalnim poklopcima za ulaz u okno dim.Ф 800 mm(kom 2) i penjalicama
</t>
  </si>
  <si>
    <t xml:space="preserve">Uređenje radnog pojasa nakon zatrpavanja rova, sa uklanjanjem svih ostataka građevinskog materijala te zasijavanje travom, sadnjom ukrasnog bilja i drveća. Obračun po kvadratu stvarno izvršenih radova.
</t>
  </si>
  <si>
    <t>GRAĐEVINSKI DIO UKUPNO:</t>
  </si>
  <si>
    <t>REKAPITULACIJA TOPLOVOD</t>
  </si>
  <si>
    <t>STROJARSKI DIO</t>
  </si>
  <si>
    <t>TOPLOVOD UKUPNO:</t>
  </si>
  <si>
    <t>S4.</t>
  </si>
  <si>
    <t>VENTILACIJA</t>
  </si>
  <si>
    <t>Rekuperatorska jedinica za vanjsku ugradnju s panelnim filtrima F7 i M5 i pločastim protusmjernim aluminijskim rekuperatorom topline temperaturne iskoristivosti do 93%. Kućište rekuperatora sastavljeno je od duplostjenih nezapaljivih termoakustički izoliranih panela debljine 25 mm. Jedinica je opremljena s EC ventilatorima, by-pass zaklopkom i integriranim el. dogrijačem zraka.
Jedinicom upravlja sustav automatske regulacije s daljinskim upravljačem sa zaslonom osjetljivim na dodir. Regulacija kontrolira sve upravljačke i sigurnosne funkcije rekuperatorske jedinice.
Mogućnost komunikacije preko Modbus-RTU (RS-485) i Bacnet TCP/IP.
Jedinica odgovara zahtjevima za ekološki dizajn ventilacijskih jedinica određenim europskom uredbom br.1253/2014 (ErP2018)</t>
  </si>
  <si>
    <t>Odabrani su sljedeći uređaji:</t>
  </si>
  <si>
    <t>1.1</t>
  </si>
  <si>
    <t>Za ventilaciju radionice za izradu električnih vozila</t>
  </si>
  <si>
    <t xml:space="preserve">Minimalne tehničke karakteristike uz dozvoljeno </t>
  </si>
  <si>
    <t>Tehničke karakteristike:</t>
  </si>
  <si>
    <t>katna(podna) izvedba</t>
  </si>
  <si>
    <r>
      <t>Dobava zraka: 4200 m3/h, ∆p</t>
    </r>
    <r>
      <rPr>
        <vertAlign val="subscript"/>
        <sz val="10"/>
        <rFont val="Arial"/>
        <family val="2"/>
        <charset val="238"/>
      </rPr>
      <t>ext</t>
    </r>
    <r>
      <rPr>
        <sz val="10"/>
        <rFont val="Arial"/>
        <family val="2"/>
        <charset val="238"/>
      </rPr>
      <t>=300 Pa</t>
    </r>
  </si>
  <si>
    <r>
      <t>Odvod zraka:   4200 m3/h, ∆p</t>
    </r>
    <r>
      <rPr>
        <vertAlign val="subscript"/>
        <sz val="10"/>
        <rFont val="Arial"/>
        <family val="2"/>
        <charset val="238"/>
      </rPr>
      <t>ext</t>
    </r>
    <r>
      <rPr>
        <sz val="10"/>
        <rFont val="Arial"/>
        <family val="2"/>
        <charset val="238"/>
      </rPr>
      <t>=300 Pa</t>
    </r>
  </si>
  <si>
    <t>Učinkovitost: 88.5%</t>
  </si>
  <si>
    <r>
      <t>Ukupna priključna snaga: P</t>
    </r>
    <r>
      <rPr>
        <vertAlign val="subscript"/>
        <sz val="10"/>
        <rFont val="Arial"/>
        <family val="2"/>
        <charset val="238"/>
      </rPr>
      <t>el</t>
    </r>
    <r>
      <rPr>
        <sz val="10"/>
        <rFont val="Arial"/>
        <family val="2"/>
        <charset val="238"/>
      </rPr>
      <t>=13,4 kW,, I</t>
    </r>
    <r>
      <rPr>
        <vertAlign val="subscript"/>
        <sz val="10"/>
        <rFont val="Arial"/>
        <family val="2"/>
        <charset val="238"/>
      </rPr>
      <t>max</t>
    </r>
    <r>
      <rPr>
        <sz val="10"/>
        <rFont val="Arial"/>
        <family val="2"/>
        <charset val="238"/>
      </rPr>
      <t>=20 A</t>
    </r>
  </si>
  <si>
    <t xml:space="preserve"> 3~400V/50 Hz</t>
  </si>
  <si>
    <t>Maksimalni učin el.dogrijača: 9 kW</t>
  </si>
  <si>
    <t xml:space="preserve">Dimenzije: </t>
  </si>
  <si>
    <t>LxBxH (mm): 2100x1120x1580</t>
  </si>
  <si>
    <t>Priključak: 600x400 mm</t>
  </si>
  <si>
    <t>Masa: 602 kg</t>
  </si>
  <si>
    <t>Uključivo s:</t>
  </si>
  <si>
    <t>- antivibracijskim podloškama (4 kom)</t>
  </si>
  <si>
    <t>- fleksibilnim spojevima (4 kom)</t>
  </si>
  <si>
    <t xml:space="preserve"> - pokrov za vanjsku ugradnju </t>
  </si>
  <si>
    <t>1.2</t>
  </si>
  <si>
    <t>Za ventilaciju CNC radionice</t>
  </si>
  <si>
    <r>
      <t>Dobava zraka: 2850 m3/h, ∆p</t>
    </r>
    <r>
      <rPr>
        <vertAlign val="subscript"/>
        <sz val="10"/>
        <rFont val="Arial"/>
        <family val="2"/>
        <charset val="238"/>
      </rPr>
      <t>ext</t>
    </r>
    <r>
      <rPr>
        <sz val="10"/>
        <rFont val="Arial"/>
        <family val="2"/>
        <charset val="238"/>
      </rPr>
      <t>=300 Pa</t>
    </r>
  </si>
  <si>
    <r>
      <t>Odvod zraka:  2850 m3/h, ∆p</t>
    </r>
    <r>
      <rPr>
        <vertAlign val="subscript"/>
        <sz val="10"/>
        <rFont val="Arial"/>
        <family val="2"/>
        <charset val="238"/>
      </rPr>
      <t>ext</t>
    </r>
    <r>
      <rPr>
        <sz val="10"/>
        <rFont val="Arial"/>
        <family val="2"/>
        <charset val="238"/>
      </rPr>
      <t>=300 Pa</t>
    </r>
  </si>
  <si>
    <t>Učinkovitost: 88,6%</t>
  </si>
  <si>
    <r>
      <t>Ukupna priključna snaga: P</t>
    </r>
    <r>
      <rPr>
        <vertAlign val="subscript"/>
        <sz val="10"/>
        <rFont val="Arial"/>
        <family val="2"/>
        <charset val="238"/>
      </rPr>
      <t>el</t>
    </r>
    <r>
      <rPr>
        <sz val="10"/>
        <rFont val="Arial"/>
        <family val="2"/>
        <charset val="238"/>
      </rPr>
      <t>=9,8 kW,, I</t>
    </r>
    <r>
      <rPr>
        <vertAlign val="subscript"/>
        <sz val="10"/>
        <rFont val="Arial"/>
        <family val="2"/>
        <charset val="238"/>
      </rPr>
      <t>max</t>
    </r>
    <r>
      <rPr>
        <sz val="10"/>
        <rFont val="Arial"/>
        <family val="2"/>
        <charset val="238"/>
      </rPr>
      <t>=15,7 A</t>
    </r>
  </si>
  <si>
    <t>Maks. učin el. grijača: 7.5 kW</t>
  </si>
  <si>
    <t>LxBxH (mm): 1750x1170x1270</t>
  </si>
  <si>
    <t>Priključak: Ø400 mm</t>
  </si>
  <si>
    <t>Masa: 424 kg</t>
  </si>
  <si>
    <t xml:space="preserve"> - pokrov za vanjsku ugradnju</t>
  </si>
  <si>
    <t xml:space="preserve">Rekuperatorska jedinica za unutarnju ugradnju s panelnim filtrima F7 i M5 i pločastim protusmjernim aluminijskim rekuperatorom topline temperaturne iskoristivosti do 93%. Kućište rekuperatora sastavljeno je od duplostjenih nezapaljivih termoakustički izoliranih panela debljine 25 mm. Jedinica je opremljena s EC ventilatorima, by-pass zaklopkom i integriranim el. dogrijačem zraka.
Jedinicom upravlja sustav automatske regulacije s daljinskim upravljačem sa zaslonom osjetljivim na dodir. Regulacija kontrolira sve upravljačke i sigurnosne funkcije rekuperatorske jedinice.
Mogućnost komunikacije preko Modbus-RTU (RS-485) i Bacnet TCP/IP.
Jedinica odgovara zahtjevima za ekološki dizajn ventilacijskih jedinica određenim europskom uredbom br.1253/2014 (ErP2018)
</t>
  </si>
  <si>
    <t>Odabran je sljedeći uređaj:</t>
  </si>
  <si>
    <t>2.1</t>
  </si>
  <si>
    <t>Za ventilaciju laboratorij:</t>
  </si>
  <si>
    <t>položena(podstropna)izvedba</t>
  </si>
  <si>
    <r>
      <t>Dobava zraka: 600 m3/h, ∆p</t>
    </r>
    <r>
      <rPr>
        <vertAlign val="subscript"/>
        <sz val="10"/>
        <rFont val="Arial"/>
        <family val="2"/>
        <charset val="238"/>
      </rPr>
      <t>ext</t>
    </r>
    <r>
      <rPr>
        <sz val="10"/>
        <rFont val="Arial"/>
        <family val="2"/>
        <charset val="238"/>
      </rPr>
      <t>=150 Pa</t>
    </r>
  </si>
  <si>
    <r>
      <t>Odvod zraka:  600 m3/h, ∆p</t>
    </r>
    <r>
      <rPr>
        <vertAlign val="subscript"/>
        <sz val="10"/>
        <rFont val="Arial"/>
        <family val="2"/>
        <charset val="238"/>
      </rPr>
      <t>ext</t>
    </r>
    <r>
      <rPr>
        <sz val="10"/>
        <rFont val="Arial"/>
        <family val="2"/>
        <charset val="238"/>
      </rPr>
      <t>=150 Pa</t>
    </r>
  </si>
  <si>
    <t>Učinkovitost: 87,1%</t>
  </si>
  <si>
    <r>
      <t>Ukupna priključna snaga: P</t>
    </r>
    <r>
      <rPr>
        <vertAlign val="subscript"/>
        <sz val="10"/>
        <rFont val="Arial"/>
        <family val="2"/>
        <charset val="238"/>
      </rPr>
      <t>el</t>
    </r>
    <r>
      <rPr>
        <sz val="10"/>
        <rFont val="Arial"/>
        <family val="2"/>
        <charset val="238"/>
      </rPr>
      <t>=2,5 kW,, I</t>
    </r>
    <r>
      <rPr>
        <vertAlign val="subscript"/>
        <sz val="10"/>
        <rFont val="Arial"/>
        <family val="2"/>
        <charset val="238"/>
      </rPr>
      <t>max</t>
    </r>
    <r>
      <rPr>
        <sz val="10"/>
        <rFont val="Arial"/>
        <family val="2"/>
        <charset val="238"/>
      </rPr>
      <t>=12 A</t>
    </r>
  </si>
  <si>
    <t xml:space="preserve"> 1~230V/50 Hz</t>
  </si>
  <si>
    <t>Maks. učin el. grijača: 2 kW</t>
  </si>
  <si>
    <t>LxBxH (mm): 1750x1035x425</t>
  </si>
  <si>
    <t>Priključak: Ø250 mm</t>
  </si>
  <si>
    <t>Masa: 185 kg</t>
  </si>
  <si>
    <t>Elektroparni ovlaživač zraka za kanalno olaživanje</t>
  </si>
  <si>
    <t>zraka higijenskom parom  bez kamenca,</t>
  </si>
  <si>
    <t xml:space="preserve">za izravan priključak na vodovodnu mrežu </t>
  </si>
  <si>
    <t xml:space="preserve">(tlak 1-10 bara),kompletiran sa trajnim, čistivim </t>
  </si>
  <si>
    <t>parnim cilindrom od INOX-a i elektrootpornim grijačima,</t>
  </si>
  <si>
    <t>za rad s demineraliziranom ili vodovodnom vodom,</t>
  </si>
  <si>
    <t>s patentiranom sistemom upravljanja kamencem,</t>
  </si>
  <si>
    <t>posudom za skupljanje kamenca, koja se nalazi</t>
  </si>
  <si>
    <t>ispod uređaja i lako se prazni, čime se se znatno</t>
  </si>
  <si>
    <t xml:space="preserve">olakšavaju i produžuju intervali održavanja, </t>
  </si>
  <si>
    <t>LCD ekranom osjetljivim na dodir za praćenje i</t>
  </si>
  <si>
    <t>podešavanje rada uređaja, elektromagnetnim ventilom</t>
  </si>
  <si>
    <t xml:space="preserve">za dovod vode i robusnom pumpom za ispumpavanje </t>
  </si>
  <si>
    <t>vode iz cilindra, sa satom sa realnim vremenom i</t>
  </si>
  <si>
    <t>brojačem sati rada i potrebnog servisa, integriranim</t>
  </si>
  <si>
    <t>relejima za daljinsko signaliziranje statusa uređaja,</t>
  </si>
  <si>
    <t xml:space="preserve">(uključenost,rad,greška) sustavom samodijagnosti- </t>
  </si>
  <si>
    <t xml:space="preserve">ciranja i bilježenja podataka na USB sa ugrađenim </t>
  </si>
  <si>
    <t xml:space="preserve">kontrolerom (s ulaznim signalima  0-10 VDC       </t>
  </si>
  <si>
    <t>0-20 VDC,0-20mADC,4-20mADC i dr.)</t>
  </si>
  <si>
    <t>i automatskom kontinuiranom regulacijom  rada</t>
  </si>
  <si>
    <t>uređaja pomoću senzora vlage, visoke preciznosti</t>
  </si>
  <si>
    <t>rada do +/- 5% RV (sa netretiranom, vodovodnom</t>
  </si>
  <si>
    <t>vodom), odnosno +/- 2% RV (sa potpuno</t>
  </si>
  <si>
    <t xml:space="preserve">demineraliziranom vodom i adekvatnim senzorom    </t>
  </si>
  <si>
    <t>karakteristika:</t>
  </si>
  <si>
    <t>3.1</t>
  </si>
  <si>
    <t xml:space="preserve">  Za kanalno ovlaživanje zraka u radionici za izradu                   električnih vozila:</t>
  </si>
  <si>
    <t xml:space="preserve"> - kapacitet ovlaživanja: 30 kg/h </t>
  </si>
  <si>
    <t xml:space="preserve"> - proizvodnja pare: 0:100%</t>
  </si>
  <si>
    <t xml:space="preserve"> - snaga: 22,5 kW</t>
  </si>
  <si>
    <t xml:space="preserve"> - napon: 400V/3Ph/50Hz</t>
  </si>
  <si>
    <t xml:space="preserve"> - kontrolni napon:230V/1Ph/50H</t>
  </si>
  <si>
    <t xml:space="preserve"> - pritisak vode:1-10 bar</t>
  </si>
  <si>
    <t xml:space="preserve"> - kvaliteta vode:deminerilizirana ili vodovodna</t>
  </si>
  <si>
    <t xml:space="preserve"> - priključak vode:3/4"</t>
  </si>
  <si>
    <t xml:space="preserve"> - odvod vode (kondenzata):30 mm</t>
  </si>
  <si>
    <t xml:space="preserve"> - dozvoljena temperatura vode:1..40°C</t>
  </si>
  <si>
    <t xml:space="preserve"> - dozvoljena temperatura zraka:1..40°C</t>
  </si>
  <si>
    <t xml:space="preserve"> - dozvoljena rel. vlaga zraka u prostoru:1-75% RV</t>
  </si>
  <si>
    <t xml:space="preserve"> - dozvoljen tlak u kanalu: -1000...+1500 Pa</t>
  </si>
  <si>
    <t xml:space="preserve">   (za ostale tlakove obavezan komplet za </t>
  </si>
  <si>
    <t xml:space="preserve">    za izjednačavanje tlaka do maks. 10000 Pa)</t>
  </si>
  <si>
    <t xml:space="preserve"> - temperatura vode iz parnog cilndra:60..90°C</t>
  </si>
  <si>
    <t xml:space="preserve"> - težina uređaja prazan/pun:40,3/65,8 kg</t>
  </si>
  <si>
    <t xml:space="preserve"> - dimenzije (vxdxš):780x530x406 mm</t>
  </si>
  <si>
    <t>U kompletu sa priborom i opcijama:</t>
  </si>
  <si>
    <t>- distributor pare od inox-a, L = 200 mm*,kom 1</t>
  </si>
  <si>
    <t>- parna gumena cijev (Ø57/45),l=2m</t>
  </si>
  <si>
    <t>- cijev za kondenzat (Ø12/8),l=3m)</t>
  </si>
  <si>
    <t>- kanalni senzor vlage (kontinuirana regulacija)*kom 1</t>
  </si>
  <si>
    <t>- granični kanalni higrostat* kom 1</t>
  </si>
  <si>
    <t>3.2</t>
  </si>
  <si>
    <t xml:space="preserve">  Za kanalno ovlaživanje zraka u radionici CNC:</t>
  </si>
  <si>
    <t xml:space="preserve"> - kapacitet ovlaživanja: 20 kg/h </t>
  </si>
  <si>
    <t xml:space="preserve"> - snaga: 15 kW</t>
  </si>
  <si>
    <t>3.3</t>
  </si>
  <si>
    <t xml:space="preserve">   za kanalno ovlaživanje zraka u laboratoriju:</t>
  </si>
  <si>
    <t xml:space="preserve"> - kapacitet ovlaživanja: 16 kg/h </t>
  </si>
  <si>
    <t xml:space="preserve"> - snaga: 12 kW</t>
  </si>
  <si>
    <t xml:space="preserve">Radijalni cijevni  ventilator za ventilaciju sanitarija i spremišta za ugradnju u pocinčanu spiro cijev s nepovratnom zaklopkom ,s zvučno izoliranim kućištem, ovjesom,antivibracijskim obujmicama,timerom
</t>
  </si>
  <si>
    <t xml:space="preserve">dobava              290 m3/h
tot.tlak              160 Pa   
</t>
  </si>
  <si>
    <t xml:space="preserve">dobava              210 m3/h
tot.tlak              140 Pa   
</t>
  </si>
  <si>
    <t xml:space="preserve">dobava              80-120 m3/h
tot.tlak              200-220 Pa   
</t>
  </si>
  <si>
    <t xml:space="preserve">Kanalski prigušivač buke
</t>
  </si>
  <si>
    <t>Ф 500 mm, l=1200 mm</t>
  </si>
  <si>
    <t>Ф 400 mm, l=1200 mm</t>
  </si>
  <si>
    <t>Ф 225 mm, l=900 mm</t>
  </si>
  <si>
    <t>Difuzor s horizontalno-vertikalnim istrujavanjem za velike i visoke prostorije za ugradnju na visine 4-15m</t>
  </si>
  <si>
    <t xml:space="preserve">za dobavu 1400 m3/h za ugradnju na visini 6,3 m                        </t>
  </si>
  <si>
    <t xml:space="preserve">za dobavu 950 m3/h za ugradnju na visini 4,9 m                        </t>
  </si>
  <si>
    <t xml:space="preserve">za dobavu 300 m3/h za ugradnju na visini 5,0 m                        </t>
  </si>
  <si>
    <t>Aluminijska odsisna rešetka s jednim redom horizontalno podesivim lamelama i ugradbenim okvirom</t>
  </si>
  <si>
    <t xml:space="preserve">625x325 mm                         </t>
  </si>
  <si>
    <t xml:space="preserve">525x325 mm                         </t>
  </si>
  <si>
    <t xml:space="preserve">425x125 mm                         </t>
  </si>
  <si>
    <t xml:space="preserve">Prestrujna rešetka za ugradnju u vrata 
</t>
  </si>
  <si>
    <t xml:space="preserve">525x325 mm                          </t>
  </si>
  <si>
    <t xml:space="preserve">425x225 mm                          </t>
  </si>
  <si>
    <t xml:space="preserve">425x125 mm                          </t>
  </si>
  <si>
    <t xml:space="preserve">325x125 mm                          </t>
  </si>
  <si>
    <t>Zračni odsisni ventil</t>
  </si>
  <si>
    <t>Ф100</t>
  </si>
  <si>
    <t xml:space="preserve">Aluminijska fiksna žaluzija s zaštitnom mrežicom 
</t>
  </si>
  <si>
    <t xml:space="preserve">1197x497 mm                          </t>
  </si>
  <si>
    <t xml:space="preserve">797x497 mm                          </t>
  </si>
  <si>
    <t xml:space="preserve">497x297 mm                          </t>
  </si>
  <si>
    <t xml:space="preserve">397x197 mm                          </t>
  </si>
  <si>
    <t xml:space="preserve">Protupožarna zaklopka s toplinskim i daljinskim aktiviranjem i s elektromotornim pogonom s povratnom oprugom ,klase otpornosti na požar EI 90
</t>
  </si>
  <si>
    <t xml:space="preserve">Ф 500 mm, l=500 mm               </t>
  </si>
  <si>
    <t xml:space="preserve">Ф 400 mm, l=500 mm               </t>
  </si>
  <si>
    <t xml:space="preserve">Ф 200 mm, l=400 mm               </t>
  </si>
  <si>
    <t xml:space="preserve">Limeni kanali za zrak izvedeni iz pocinčanog lima
debljine 0,5 mm do širine kanala 250 mm, 0,75 mm,do1000 mm i 1 mm - do 1500 mm i 1,25 mm – iznad 1500 mm. dulja staranica od 300 mm ojačana savijanjem (ili slično) uključivo prirubnice, koljena sa skretnim limovima i fazonskim komadima regulacijske zaklopke s mehanizmom za fiksiranje, kontrolni otvori bez  zavjesnog i pričvrsnog materijala.
</t>
  </si>
  <si>
    <t>Pocinčana spiro cijev sa spojnim materijalom</t>
  </si>
  <si>
    <t>koljenima, prelaznim komadima i ovjesom</t>
  </si>
  <si>
    <t>Ф500</t>
  </si>
  <si>
    <t>Ф400</t>
  </si>
  <si>
    <t>Ф250</t>
  </si>
  <si>
    <t>Ф200</t>
  </si>
  <si>
    <t>Ф160</t>
  </si>
  <si>
    <t>Ф125</t>
  </si>
  <si>
    <t>Ф110</t>
  </si>
  <si>
    <t>Izolacija limenih kanala u objektu tervolom i
ojačanom al.folijom debljine 35 mm klase negorivosti A2-s1d0 prema HRN 13501-2 ili jednakovrijedno (negoriva  i atestom), u vanjskom prostoru dodatno obloženi s al.limom</t>
  </si>
  <si>
    <t>Brtvljene svih prodora kroz požarni sektor s izolacijskim materijalom klase negorivosti EI 90 prema HRN EN 1366-3;2009 ili jednakovrijedno s atestom,</t>
  </si>
  <si>
    <t>36.</t>
  </si>
  <si>
    <t>kompl</t>
  </si>
  <si>
    <t>UKUPNO:</t>
  </si>
  <si>
    <t>VENTILACIJA UKUPNO:</t>
  </si>
  <si>
    <t>S5.</t>
  </si>
  <si>
    <t>KOMPRIMIRANI ZRAK</t>
  </si>
  <si>
    <t xml:space="preserve">Postojeći vijčani kompresor,kompletan sa spremnikom zraka sadržaja 1000 lit,sušačem zraka i automatskim odvajačem kondenzata za ugradnju i nesmetan rad,s regulatorom tlaka,komandnim ormarićem,radnom i sigurnosnom armaturom,te pomoćnom opremom za ugradnju i priključenje na cijevnu instalaciju nije predmet ovog troškovnika.
</t>
  </si>
  <si>
    <t>Kuglasta slavina na navoj za komprimirani zrak</t>
  </si>
  <si>
    <t>NO32 NP 16</t>
  </si>
  <si>
    <t xml:space="preserve">Fleksibilna cijev za kompresor
NO 32                                    
</t>
  </si>
  <si>
    <t xml:space="preserve">Bešavne čelične cijevi ,uključivo spojni materijal i brtveni elementi,cijevni lukovi,T komadi i čepovi
</t>
  </si>
  <si>
    <t>NO32</t>
  </si>
  <si>
    <t>NO25</t>
  </si>
  <si>
    <t>NO10</t>
  </si>
  <si>
    <t>Brzo zatvarajuća spojnica s nastavkom za 4 priključka s vanjskim navojem bez jedinica za posluživanje (regulator pritiska,odvajač kondenzata, nauljivači) koje su u ispruci investitora prema tehnološkim zahtjevima</t>
  </si>
  <si>
    <t xml:space="preserve">Fiksna rešetka sa zaštitnom mrežicom 4oka/cm2 dim.1197x497 mm
</t>
  </si>
  <si>
    <t xml:space="preserve">Automatski odvajač kondenzata za protok kondenzata 22 l/h                        
</t>
  </si>
  <si>
    <t xml:space="preserve">Limeni  kanali za zrak izvedeni iz pocinčanog lima debljine 0,75 mm ukljućivo koljena ,fazonski komadi, regulacijske zaklopke
</t>
  </si>
  <si>
    <t xml:space="preserve">Ličenje cijevi uz prethodno čišćenje,temeljnom bojom (1x) i emajl lakom svijetlo plave boje
</t>
  </si>
  <si>
    <t xml:space="preserve">Brtvljene svih prodora kroz požarne sektore
s izolacijskim materijalom klase negorivosti 
A1 min 90 min prema DIN 4102 ili jednakovrijedno (negoriva  i atestom)
</t>
  </si>
  <si>
    <t>KOMPRIMIRANI ZRAK UKUPNO:</t>
  </si>
  <si>
    <t>SVEUKUPNA REKAPITULACIJA</t>
  </si>
  <si>
    <t>U K U P N O :</t>
  </si>
  <si>
    <t>PDV</t>
  </si>
  <si>
    <t>SVEUKUPNO:</t>
  </si>
  <si>
    <t>ARHINGTRADE d.o.o.</t>
  </si>
  <si>
    <t>Gajeva 47, 10000 Zagreb, tel. 01/49 22 345, fax. 01/49 22 332, e-mail: info@arhingtrade.hr</t>
  </si>
  <si>
    <t>SISAČKO-MOSLAVAČKA ŽUPANIJA
Stjepana i Antuna Radića 36, 44000 Sisak
OIB: 82215698659</t>
  </si>
  <si>
    <t>ZGRADA 3 (BIVŠA STRAŽARNICA)
U SKLOPU DOMOBRANSKE VOJARNE U SISKU
Lađarska ulica 28A, 44000 Sisak
na k.č.br. 718/1, k.o. Novi Sisak</t>
  </si>
  <si>
    <t>Tehnički dnevnik: 02/24</t>
  </si>
  <si>
    <r>
      <rPr>
        <b/>
        <sz val="14"/>
        <rFont val="Arial"/>
        <family val="2"/>
        <charset val="238"/>
      </rPr>
      <t xml:space="preserve">TROŠKOVNIK ELEKTROINSTALACIJA
 </t>
    </r>
    <r>
      <rPr>
        <b/>
        <sz val="14"/>
        <color rgb="FFFF0000"/>
        <rFont val="Arial"/>
        <family val="2"/>
        <charset val="238"/>
      </rPr>
      <t xml:space="preserve">
</t>
    </r>
  </si>
  <si>
    <t>OPĆI POGODBENI I TEHNIČKI UVJETI ELEKTROINSTALACIJA</t>
  </si>
  <si>
    <t>Ugovor za izvođenje sklapa se na osnovu ugovornog troškovnika. U cijenama troškovnika izvođač je dužan ponuditi kompletne stavke prema opisu, troškovniku, nacrtima, tehničkom opisu i uvjetima.</t>
  </si>
  <si>
    <t>U cijenu stavke treba ukalkulirati sav materijal i rad (sa izradom šliceva i prodora kroz zidove i ploču)  te potrebna mjerenja i ispitivanja.</t>
  </si>
  <si>
    <t>Izvođač radova dužan je po završetku radova dostaviti investitoru upute za rukovanje instalacijama i opremom.</t>
  </si>
  <si>
    <t>Izvođač radova mora se prije početka izvođenja radova upoznati s projektnom dokumentacijom.</t>
  </si>
  <si>
    <t>Ako uoči neke nedostatke, treba odmah s uočenim nedostacima upoznati investitora i projektanta.</t>
  </si>
  <si>
    <t>Prije početka radova treba odrediti točne trase kabela, kabelskih kanalica i većih komada opreme, a tek onda početi s polaganjem vodova i izvođenjem instalacija. Pritom paziti na propisani razmak u odnosu na druge instalacije i građevine.</t>
  </si>
  <si>
    <t xml:space="preserve">Mijenjanje projekta od strane izvođača bez pismenih odobrenja investitora i nadzornog inženjera nije dozvoljeno.  </t>
  </si>
  <si>
    <t>Izvođač treba tijekom izvođenja radova na građevini voditi građevinski dnevnik u koji upisuje početak izvođenja radova na objektu, svakodnevno upisuje broj ljudi na radu i poslove koje su obavili.</t>
  </si>
  <si>
    <t>U građevinksi dnevnik nadzorni inženjer i investitor upisuju primjedbe na izvedene radove i eventualne promjene projekta.</t>
  </si>
  <si>
    <t>Radi ispravnog odvijanja radova izvođač je dužan osigurati prostoriju za smještaj materijala i alata.</t>
  </si>
  <si>
    <t>Prije stavljanja instalacije u pogon i tehničkog pregleda izvođač je dužan izvršiti slijedeća mjerenja i ispitivanja:</t>
  </si>
  <si>
    <t>Popis ispitivanja i atesta elektroenergetske instalacije niskog napona</t>
  </si>
  <si>
    <t>Provjera pregledom</t>
  </si>
  <si>
    <t xml:space="preserve"> - Atest i certifikati ugrađene opreme i kabela</t>
  </si>
  <si>
    <t xml:space="preserve"> - Atest o izvršenom mjerenju otpora izolacije</t>
  </si>
  <si>
    <t xml:space="preserve"> - Atest o izvršenom mjerenju otpora uzemljenja metalnih masa</t>
  </si>
  <si>
    <t xml:space="preserve"> - Atest o izvršenoj kontroli efikasnosti zaštite od indirektnog  napona dodira</t>
  </si>
  <si>
    <t xml:space="preserve"> - Atest o izvršenom mjerenju jakosti rasvjete</t>
  </si>
  <si>
    <t xml:space="preserve"> - Atest o izvršenom funkcionalnom ispitivanju</t>
  </si>
  <si>
    <t xml:space="preserve"> - Atest o funkcionalnom ispitivanju isklapanja glavnih prekidača</t>
  </si>
  <si>
    <t xml:space="preserve"> - Reviziona knjiga sustava za zaštitu od djelovanaj munje</t>
  </si>
  <si>
    <t xml:space="preserve"> - Ispitni listovi razvodnih ormara</t>
  </si>
  <si>
    <t xml:space="preserve"> - Atest o ispitivanju protupanične rasvjete</t>
  </si>
  <si>
    <t xml:space="preserve"> - Popis podešenja svih prekidača i njihove oznake u pripadajućim ormarima</t>
  </si>
  <si>
    <t xml:space="preserve">Popis ispitivanja instalacija slabe struje  </t>
  </si>
  <si>
    <t xml:space="preserve"> - Provjera pregledom</t>
  </si>
  <si>
    <t xml:space="preserve"> - Atest o mjerenju gušenja instalacije</t>
  </si>
  <si>
    <t xml:space="preserve"> - Funkcionalno ispitivanje</t>
  </si>
  <si>
    <t xml:space="preserve"> - Atesti o izvršenom ispitivanju telefonske instalacije - linije strukturnog kabliranja</t>
  </si>
  <si>
    <t xml:space="preserve"> - Atesti o izvršenom ispitivanju antenske instalacije</t>
  </si>
  <si>
    <t xml:space="preserve"> - Atesti o izvršenom ispitivanju pozivne instalacije</t>
  </si>
  <si>
    <t>Za sva mjerenja i ispitivanja koja su izvršena sastaviti odgovarajuće izvještaje.</t>
  </si>
  <si>
    <t>Svaki izvođač ima pravo izbora kome će povjeriti ispitivanje kvalitete i funkcionalnosti električnih instalacija i opreme, no to svakako mora biti ovlaštena pravna osoba.</t>
  </si>
  <si>
    <t>Troškove ispitivanja snosi izvođač.</t>
  </si>
  <si>
    <t>Izvođač za svoje radove daje garanciju.</t>
  </si>
  <si>
    <t xml:space="preserve">Garantni rok počinje teći od dana tehničkog prijema instalacije, odnosno od dana predaje instalacije na upotrebu investitoru odnosno korisniku. </t>
  </si>
  <si>
    <t>Izvođač je dužan otkloniti sve nedostatke u garantnom roku. Ako se izvođač ne odazove na poziv investitora da otkloni nedostatke, investitor će iste otkloniti po trećem licu na teret izvođača.</t>
  </si>
  <si>
    <t>Sav korišteni materijal , oprema i proizvodi koji se upotrebljavaju kod izvođenja instalacija moraju odgovarati postojećim propisima i normama, kao i opisu u troškovniku.</t>
  </si>
  <si>
    <t>Radove treba izvesti točno prema nacrtima i tehničkom opisu, a po uputama projektanta i nadzornog inženjera. Radove izvesti stručno i solidno.</t>
  </si>
  <si>
    <t>Tijekom izvođenja radova izvođač je dužan sva nastala odstupanja trasa od onih predviđenih projektom unesti u projekt, a po završetku radova treba predati investitoru projekt izvedenog stanja.</t>
  </si>
  <si>
    <t>Stavljanje instalacije u uporabu dozvoljeno je tek nakon obavljenog tehničkog pregleda i dobivanja uporabne dozvole.</t>
  </si>
  <si>
    <t>Ako troškovnikom i tehničkim opisom nije drugačije određeno, narudžba materijala i opreme obuhvaća dobavu, skladištenje i dopremu na gradilište.</t>
  </si>
  <si>
    <t>Za sav ugrađeni materijal i proizvode treba osigurati i priložiti isprave o sukladnosti   i druge dokaze kvalitete, te odgovarjauću atesnu i ispitnu dokumentaciju.</t>
  </si>
  <si>
    <t>Nadzorni inženjer mora imati uvid u terminski plan.</t>
  </si>
  <si>
    <t>Za svako neopravdano produženje termina koje utvrdi nadzorni inženjer odredit će se kazna prema Ugovoru za izvođenje.</t>
  </si>
  <si>
    <t>Izvođač daje jamstvo da, kod prenošenja dijela ugovora na jednog ili više kooperanata, preuzima sve ugovorne obveze iz ugovora zaključenog sa investitorom, te da će se istog pridržavati.</t>
  </si>
  <si>
    <t>Ako drugačije nije dogovoreno, izvođač treba, bez posebnih zahtjeva, svakodenevno čistii radni prostor.
Izvođač mora u toku gradnje iz gradilišta odvesti svu građevinsku šutu, sav otpadni materijal i nepotrebne uređaje.</t>
  </si>
  <si>
    <t>Pri izvođenju radova izvođač je dužan voditi računa o već izvedenim radovima na građevini.</t>
  </si>
  <si>
    <t>Ako bi se izvedeni radovi drugih izvođača pri montaži električnih instalacija i opreme nepotrebno i uslijed nemarnosti i nestručnosti oštetili, troškove štete snosit će izvođač električnih instalacija.</t>
  </si>
  <si>
    <t>Rušenje i retanje konstruktivnih elemenata ne smije se obaviti bez znanja i odobrenja nadzornog inženjera za građevinske radove.</t>
  </si>
  <si>
    <t>Investitor je dužan tijekom izgradnje građevine osigurati stručni nadzor nad izvođenjem radova.</t>
  </si>
  <si>
    <t>Cjelokupnu električnu instalaciju treba izvesti prema priloženim nacrtima, troškovniku, tehničkom opisu, ovim uvjetima i važećim propisima za izvođenje električnih instalacija, odnosno tehničkim propisima za niskonaponske električne instalacije (NN br. 05/10) i propisima RH.</t>
  </si>
  <si>
    <t>OPĆE NAPOMENE:</t>
  </si>
  <si>
    <t xml:space="preserve">1. U svakoj stavci nuditi konkretni proizvod (opremu) specificiranu ovim troškovnikom ili  proizvod jednakovrijednih (kvalitativnih) tehničkih karakteristika.
</t>
  </si>
  <si>
    <t xml:space="preserve">2. Cijena za svaku stavku troškovnika mora obuhvatiti dobavu, montažu i spajanje, te dovođenje u stanje potpune funkcionalnosti. U cijenu također ukalkulirati sav potreban  spojni, montažni i ostali materijal i pribor. 
</t>
  </si>
  <si>
    <t xml:space="preserve">3. Primijeniti najnovije važeće propise i hrvatske norme za pojedine vrste instalacije. 
</t>
  </si>
  <si>
    <t>4. Prije davanja ponude obavezno proučiti tehnički opis i grafički dio, te u slućaju nejasnoća, konzultirati se sa naručiteljem.</t>
  </si>
  <si>
    <t>Sve stavke specifikacije podrazumjevaju dobavu i montažu opreme, kao i polaganje i spajanje kabela, te dovođenje predmetne instalacije u funkciju.
Sva oprema mora biti renomiranih proizvođača i imati ateste na hrvatskom jeziku.</t>
  </si>
  <si>
    <t>SPECIFIKACIJA MATERIJALA I RADOVA</t>
  </si>
  <si>
    <t>Opis:</t>
  </si>
  <si>
    <t>j.m.</t>
  </si>
  <si>
    <t>NN PRIKLJUČAK</t>
  </si>
  <si>
    <t>Određivanje i obilježavanje trase kabela za NN mrežu temeljem nacrta i situacije na terenu (iskolčenje).</t>
  </si>
  <si>
    <t>Iskop rova za polaganje više kabela do objekta, dim rova 0,7x1,5 m u tlu tvrdoće "A" (meko, zemlja).</t>
  </si>
  <si>
    <r>
      <t>m</t>
    </r>
    <r>
      <rPr>
        <vertAlign val="superscript"/>
        <sz val="9"/>
        <rFont val="Arial"/>
        <family val="2"/>
      </rPr>
      <t>3</t>
    </r>
  </si>
  <si>
    <t>Dobava pijeska 0-4 mm i zasipavanje oko kabela 10+10 cm (ispod/iznad kabela).</t>
  </si>
  <si>
    <t>Zatrpavanje kabelskog rova sitnim materijalom iz iskopa uz nabijanje u slojevima.
Obračun po m³ u zbijenom stanju.</t>
  </si>
  <si>
    <t>Zaštita telefonskog kabela na mjestu križanja s energetskim kabelima - provlačenje energetskih kabela kroz čelične cijevi  fi=200mm, dužini 2m.</t>
  </si>
  <si>
    <t>Zaštita na mjestu križanja s ostalim instalacijama - provlačenje energetskog kabela kroz betonske cijevi  fi=200mm, u dužini od cca 2m.</t>
  </si>
  <si>
    <t>Dobava i polaganje napojnog kabela</t>
  </si>
  <si>
    <t xml:space="preserve">1x (NYY 4x150+2,5)mm2 + 1x NYY 1x150mm2  </t>
  </si>
  <si>
    <t>Dobava, polaganje  i spajanje Fe/Zn trake 40×4 mm iznad kabela.</t>
  </si>
  <si>
    <t>Dobava, polaganje  i spajanje Cu užeta 50 mm2.</t>
  </si>
  <si>
    <t>Dobava i polaganje RDC cijevi:</t>
  </si>
  <si>
    <t xml:space="preserve"> - RDC fi 110</t>
  </si>
  <si>
    <t>Dobava i postavljanje crvene plastične trake upozorenja "POZOR - ENERGETSKI KABEL" u rovu iznad kabela.</t>
  </si>
  <si>
    <t>Dobava i postavljanje plastičnog GAL štitnika 120x1x1000 mm crvene boje iznad kabela.
Napomena:
Za 1-2 kabela se postavlja 1 štitnik, za 3-4 kabela se postavlja 2 štitnika, itd.</t>
  </si>
  <si>
    <t>Dobava i postava montažnog zdenca za prolaz i razvod elektro kabela, sa poklopcem 400 kN, unutarnjih dimenzija 92 x 102 x 113 cm (Š x D x V), komplet s donjim i gornjim elementima, poklopcem, uvodnim pločama. U stavku ulazi:                                                                                                                                                       - iskop i odvoz viška zemlje,
- postava zdenca uz pomoć auto dizalice,
- zatrpavanje oko zdenca,
- postava uvodnih ploča i poklopca,
- obrada oko ulaza cijevi i brtvljenje cijevi koje neće biti zauzete.</t>
  </si>
  <si>
    <t>Izrada geodetskog snimka NN kabela u otvorenom rovu i geodetskog elaborata za katastar instalacija, 3 x na papiru i CDu (u dwg formatu).</t>
  </si>
  <si>
    <t>Spajanje na obje strane, obilježavanje, ispitivanje i puštanje u pogon novih NN kabela, uključivo kabelske stopice, završne čarapice.</t>
  </si>
  <si>
    <t>NN PRIKLJUČAK UKUPNO:</t>
  </si>
  <si>
    <t>RAZVODNI ORMARI</t>
  </si>
  <si>
    <t xml:space="preserve">Dobava, montaža i spajanje samostojećeg priključno ormara SPO s pripadajućim poliesterskim podnožjem, minimalne razine zaštite IP 44, sa ugrađenom opremom:                                                       </t>
  </si>
  <si>
    <t>NV rastavna pruga vel.2|400A, 3P, M12, sustav 185mm</t>
  </si>
  <si>
    <t>Kom</t>
  </si>
  <si>
    <t>NV rastavna pruga vel.00|160A, 3P, M8, sustav 185mm</t>
  </si>
  <si>
    <t>NV osigurač vel. 2, 200A/400V AC</t>
  </si>
  <si>
    <t>NV osigurač vel. 00, 100A/400V AC</t>
  </si>
  <si>
    <t>Stezaljka (1 kom.) za montažu pruge bez bušenja, za vel. 1-3</t>
  </si>
  <si>
    <t>Čeljusna stezaljka (1 kom) za mont. na sabirnice bez bušenja</t>
  </si>
  <si>
    <t>Nosač sabirnica, 3-polni, montaža bez bušenja, sustav 185mm</t>
  </si>
  <si>
    <t>Bakrena sabirnica, 715A, 40x10mm, duljina 2m</t>
  </si>
  <si>
    <t>Potporni izolator, visina 40mm, za ključ 40mm, 2xM8, 4.4kN</t>
  </si>
  <si>
    <t>Ormar (glatki/RAL7032) za vanjsku montažu, IP44, (š*v*d) 785*1080*320 mm</t>
  </si>
  <si>
    <t>Podnožje dim. 950/320 mm; 785X950X310 mm, RAL7032</t>
  </si>
  <si>
    <t>Spremnik za dokumentaciju, samoljepljivi, A4</t>
  </si>
  <si>
    <t>Sitni materijal za ožićenje - kanalice. Din šine, uvodnice, stezaljke …</t>
  </si>
  <si>
    <t>kpl.</t>
  </si>
  <si>
    <t>Ožičenje i ispitivanje ormara</t>
  </si>
  <si>
    <r>
      <t xml:space="preserve">Dobava, montaža i spajanje razvodnog ormara dogradnje, oznake </t>
    </r>
    <r>
      <rPr>
        <b/>
        <sz val="10"/>
        <rFont val="Arial"/>
        <family val="2"/>
      </rPr>
      <t>GRO-Z3</t>
    </r>
    <r>
      <rPr>
        <sz val="10"/>
        <rFont val="Arial"/>
        <family val="2"/>
      </rPr>
      <t>, izrađen od čeličnog lima sa montažnom pločom, vratima i bravom. Označenim prema propisima sa ugrađenom opremom:</t>
    </r>
  </si>
  <si>
    <t>Bakrena sabirnica, 852A, 50x10mm, duljina 2m</t>
  </si>
  <si>
    <t>Potporni izolator, 45x40mm, 2xM10, 8kN</t>
  </si>
  <si>
    <t>Odvodnik prenapona kl.B/C TNS 275/25</t>
  </si>
  <si>
    <t>Strujni trafo, 500/5A</t>
  </si>
  <si>
    <t>Strujni trafo, 300/5A</t>
  </si>
  <si>
    <t>Kompaktni prekidač snage tip A, 4P/500A/50kA, s podesivom zaštitom</t>
  </si>
  <si>
    <t>Kompaktni prekidač snage tip A, 4P/250A/50kA, s podesivom zaštitom</t>
  </si>
  <si>
    <t>Daljinski isklopnik za MC2/3, 208-250V AC/DC</t>
  </si>
  <si>
    <t>Gljivasta tipka, crvena, deblokada zakretom</t>
  </si>
  <si>
    <t>Sprežni element</t>
  </si>
  <si>
    <t>Sklopni element, N/O (radni), prednja montaža</t>
  </si>
  <si>
    <t>Zaštitna kragna za gljivasta tipkala, žuta</t>
  </si>
  <si>
    <t>NV rastavna sklopka vel.1|250A|3P, M10, na montažnu ploču</t>
  </si>
  <si>
    <t>NV osigurač vel. 1, 200A/400V AC</t>
  </si>
  <si>
    <t>NV osigurač vel. 1, 125A/400V AC</t>
  </si>
  <si>
    <t>NV osigurač vel. 1, 100A/400V AC</t>
  </si>
  <si>
    <t>NV rastavna sklopka vel.000|125A|3P, box stez.50mm2, na 60mm</t>
  </si>
  <si>
    <t>NV osigurač vel. 00, 80A/400V AC</t>
  </si>
  <si>
    <t>NV osigurač vel. 00, 63A/400V AC</t>
  </si>
  <si>
    <t>NV osigurač vel. 00, 50A/400V AC</t>
  </si>
  <si>
    <t>NV osigurač vel. 00, 35A/400V AC</t>
  </si>
  <si>
    <t>Sklopnik 3P |22kW (50A) [AC3] / 110A [AC1] | 230V AC</t>
  </si>
  <si>
    <t>Sklopnik 3P |18.5kW (40A) [AC3] / 80A [AC1] | 230V AC</t>
  </si>
  <si>
    <t>Zaštitni prekidač, B karakteristika, 6A, 1-polni, 10kA</t>
  </si>
  <si>
    <t>Zaštitni prekidač, C karakteristika, 6A, 1-polni, 10kA</t>
  </si>
  <si>
    <t>Kompletna signalna LED svjetiljka za ugradnju u otvor, 230V AC, zelena</t>
  </si>
  <si>
    <t xml:space="preserve">Višenamjenski mjerni uređaj za mjerenje parametara trofazne izmjenične struje i energije. Priključak pretvarača sa sekundarnom strujom od 1/5 A. DIN-šine-Montaža. Mjerene varijable: A, V, kW, kVA, kvar, Wh, varh, Hz, faktor snage, THD. Sučelje: USB i RS-485 Modbus
3 relejna izlaza. Pulsni izlaz. Vijčane stezaljke. 
Prikaz: LED 
Napajanje: 85 - 253 V/AC / 90 - 300 V DC.                                                                                                                                 U stavku uračunata  dobava, montaža i spajanje, te dovođenje opreme u stanje potpune funkcionalnosti.                                                                                      </t>
  </si>
  <si>
    <t>Napajanja 24VDC , ulaz: 230 V AC (+10/–15 %),
50 ... 60 Hz,  max. 30 VA; izlaz: 24 V DC max. 1.1 A</t>
  </si>
  <si>
    <t>Kompaktni prekidač snage tip A, 3P/160A/50kA, s podesivom zaštitom</t>
  </si>
  <si>
    <t>Rastavna sklopka za cilindrične osigurače 22x58mm, 3P/100A</t>
  </si>
  <si>
    <t>Cilindrični osigurač, 22x58, 63A, gG, 500V AC</t>
  </si>
  <si>
    <t>Rastavna sklopka za cilindrične osigurače 14x51mm, 3P/50A</t>
  </si>
  <si>
    <t>Cilindrični osigurač, 14x51, 32A, gG, 500V AC</t>
  </si>
  <si>
    <t>Zaštitni prekidač, C karakteristika, 32A, 3-polni, 10kA</t>
  </si>
  <si>
    <t>Zaštitni prekidač, C karakteristika, 25A, 3-polni, 10kA</t>
  </si>
  <si>
    <t>Zaštitni prekidač, C karakteristika, 16A, 3-polni, 10kA</t>
  </si>
  <si>
    <t>FID sklopka 63A/4P/30mA/AC, 10kA</t>
  </si>
  <si>
    <t>FID sklopka 40A/4P/30mA/AC, 10kA</t>
  </si>
  <si>
    <t>FID sklopka 25A/4P/30mA/AC, 10kA</t>
  </si>
  <si>
    <t>Zaštitni prekidač, C karakteristika, 25A, 1-polni, 10kA</t>
  </si>
  <si>
    <t>Zaštitni prekidač, B karakteristika, 10A, 1-polni, 10kA</t>
  </si>
  <si>
    <t>Zaštitni prekidač, C karakteristika, 10A, 1-polni, 10kA</t>
  </si>
  <si>
    <t>Zaštitni prekidač, B karakteristika, 16A, 1-polni, 10kA</t>
  </si>
  <si>
    <t>Zaštitni prekidač, C karakteristika, 16A, 1-polni, 10kA</t>
  </si>
  <si>
    <t>Sklopnik 3P |7.5kW (18A) [AC3] / 32A [AC1] | 230V AC | 1N/O</t>
  </si>
  <si>
    <t>Instalacijski sklopnik 25A | 1 N/O</t>
  </si>
  <si>
    <t>Samostojeći razvodni ormar od čeličnog lima, s montažnom pločom, 2-vrata, IP54, min. dim. 2000x1200x400mm (VxŠxD)</t>
  </si>
  <si>
    <t>Podnožje po širini za ormare širine 1200mm, V=100mm, od pocinčanog čeličnog lima</t>
  </si>
  <si>
    <t>Pak</t>
  </si>
  <si>
    <t>Podnožje po dubini za ormar D=400mm , V=100mm</t>
  </si>
  <si>
    <t>Kutni element visine 100mm za podnožje ormara</t>
  </si>
  <si>
    <t>Set za povezivanje ormara iznutra i izvana</t>
  </si>
  <si>
    <t>Razrada shema i rasporeda elementa za radioničku izradu ormara</t>
  </si>
  <si>
    <t>Sitni materijal za ožičenje - kanalice. Din šine, uvodnice, stezaljke …</t>
  </si>
  <si>
    <r>
      <t>Dobava, montaža i spajanje uzidnog razvodnog ormara, oznake</t>
    </r>
    <r>
      <rPr>
        <b/>
        <sz val="10"/>
        <rFont val="Arial"/>
        <family val="2"/>
      </rPr>
      <t xml:space="preserve"> RO-1</t>
    </r>
    <r>
      <rPr>
        <sz val="10"/>
        <rFont val="Arial"/>
        <family val="2"/>
      </rPr>
      <t>; 1070x750x136mm (VxŠxD) +/- 5 % , praškasto lakirani čelični lim, klasa zaštite: I, nazivni napon: 240/415V AC, 50/60Hz, nazivna struja: 125A, stupanj zaštite: IP30, boja: RAL9016 (bijela), razmak između redova: 150mm, s vratima s bravicom, sadrži: N stezaljke (2x25mm² + 9x16mm²) i PE stezaljke (2x25mm² + 74x16mm²), pripremljena predupregnuća otvora za uvod kabela: gore 5x (88x46)mm, dolje 5x (88x46)mm.  Označenim prema propisima sa ugrađenom opremom:</t>
    </r>
  </si>
  <si>
    <t>FID sklopka 100A/4P/300mA/AC, 10kA</t>
  </si>
  <si>
    <t>Cilindrični osigurač, 22x58, 100A, gG, 500V AC</t>
  </si>
  <si>
    <t>Zaštitni prekidač, C karakteristika, 20A, 1-polni, 10kA</t>
  </si>
  <si>
    <t>Svjetlosna sklopka, analogna, 2-2.000lx, 1 kanal, 16A/250V</t>
  </si>
  <si>
    <t>Grebenasta sklopka, 1-0-2/1P/20A, montaža na vrata</t>
  </si>
  <si>
    <t>Instalacijski sklopnik 25A | 4 N/O | 230VAC</t>
  </si>
  <si>
    <t>Instalacijski sklopnik 25A | 2 N/O | 230V AC</t>
  </si>
  <si>
    <t>Instalacijski sklopnik 25A | 2 N/C | 230V AC</t>
  </si>
  <si>
    <t>Relej snage, 1C/O, 16A, 230VAC serije RT, raster 5mm</t>
  </si>
  <si>
    <t>Podnožje 8-polno I/O 5.0 za XT, RT2x, RT3x, RT4x releje</t>
  </si>
  <si>
    <t>Grebenasta sklopka, 0-1/1P/20A, na vrata</t>
  </si>
  <si>
    <t>Uklopni sat, analogni, dnevni program, 1 N/O, 1ŠM</t>
  </si>
  <si>
    <t>Uzidni razdjelnik s metalnim vratima, min. 6x33 modula</t>
  </si>
  <si>
    <r>
      <t xml:space="preserve">Dobava, montaža i spajanje razvodnog ormara dogradnje, oznake </t>
    </r>
    <r>
      <rPr>
        <b/>
        <sz val="10"/>
        <rFont val="Arial"/>
        <family val="2"/>
      </rPr>
      <t>RO-2</t>
    </r>
    <r>
      <rPr>
        <sz val="10"/>
        <rFont val="Arial"/>
        <family val="2"/>
      </rPr>
      <t>, izrađen od čeličnog lima sa montažnom pločom, vratima i bravom. Označenim prema propisima sa ugrađenom opremom:</t>
    </r>
  </si>
  <si>
    <t>Strujni trafo, 400/5A</t>
  </si>
  <si>
    <t>Kompaktni prekidač snage tip A, 4P/400A/50kA, s podesivom zaštitom</t>
  </si>
  <si>
    <t>NV osigurač vel. 1, 80A/400V AC</t>
  </si>
  <si>
    <t>Sklopnik 3P |30kW (62A) [AC3] / 120A [AC1] | 230V AC</t>
  </si>
  <si>
    <t>Strujni trafo, 250/5A</t>
  </si>
  <si>
    <t>Zaštitni prekidač sa svojstvima rastavljača, C 80A, 3-polni</t>
  </si>
  <si>
    <t>FID sklopka 80A/4P/300mA/AC, 10kA</t>
  </si>
  <si>
    <r>
      <t xml:space="preserve">Dobava, montaža i spajanje razvodnog ormara toplinske podstanice, oznake </t>
    </r>
    <r>
      <rPr>
        <b/>
        <sz val="10"/>
        <rFont val="Arial"/>
        <family val="2"/>
      </rPr>
      <t xml:space="preserve">RO-TS </t>
    </r>
    <r>
      <rPr>
        <sz val="10"/>
        <rFont val="Arial"/>
        <family val="2"/>
      </rPr>
      <t>sa metalnim vratima i bravom. Označenim prema propisima sa ugrađenom opremom:</t>
    </r>
  </si>
  <si>
    <t>Kompaktni prekidač snage tip A, 3P/125A/25kA, MC1</t>
  </si>
  <si>
    <t>Daljinski isklopnik za MC1, 208-250V AC/DC, sa 3m kabela</t>
  </si>
  <si>
    <t>Odvodnik prenapona klase C (komplet), 3P, 3x20kA/280V, UAS</t>
  </si>
  <si>
    <t>FID sklopka, 125-4-03/AC</t>
  </si>
  <si>
    <t>Zaštitni prekidač, D karakteristika, 16A, 1-polni, 10kA</t>
  </si>
  <si>
    <t>Zaštitni prekidač, D karakteristika, 10A, 1-polni, 10kA</t>
  </si>
  <si>
    <t>Motorna zaštitna sklopka, 2-polna | 0.63 - 1.0A</t>
  </si>
  <si>
    <t>Pomoćni kontakt, 1 N/O + 1 N/C</t>
  </si>
  <si>
    <t>Grebenasta sklopka, 1-0-2/1P/20A, na vrata</t>
  </si>
  <si>
    <t>Kompletna signalna LED svjetiljka za ugradnju u otvor, 230V AC, crvena</t>
  </si>
  <si>
    <t>Instalacijski sklopnik 20A | 1 N/O</t>
  </si>
  <si>
    <t>Instalacijski sklopnik 20A | 1 N/O + 1 N/C | 24V AC</t>
  </si>
  <si>
    <t>Instalacijski sklopnik 20A | 1 N/O + 1 N/C | 230VAC</t>
  </si>
  <si>
    <t>Zidni ormar, metalni, 2 vrata, IP54, 1200x1000x300mm (VxŠxD)</t>
  </si>
  <si>
    <t>Zidni nosači ormara</t>
  </si>
  <si>
    <t>Bakreni vodič za uzemljenje (pletenica) duljine 260mm</t>
  </si>
  <si>
    <t>Montažni profil za vrata ormara, prema širini vrata</t>
  </si>
  <si>
    <t>Dobava, montaža i spajanje zidnog kompenzacijskog ormara 50kvar, 400V, 14%, 600x1211x311mm ±5%, sa svom ugrađenom opremom, izveden do potpune funkcionalnosti. Spajanje na GRO građevine.</t>
  </si>
  <si>
    <t>Dobava, montaža i spajanje tipkala za isklop u nuždi, Jpr</t>
  </si>
  <si>
    <t>Dobava, montaža i spajanje ormara za glavno izjednačenje potencijala i povezivanje na uzemljivač,  S.I.P, bakrena sabirnica.</t>
  </si>
  <si>
    <t>RAZVODNI ORMARI UKUPNO:</t>
  </si>
  <si>
    <t>RASVJETA</t>
  </si>
  <si>
    <t>Opći uvjeti:</t>
  </si>
  <si>
    <r>
      <t xml:space="preserve">U svaku stavku opreme potrebno je predvidjeti dobavu, montažu,  spajanje i funkcionalno ispitivanje. U cijenu uračunati sitni montažni materijal, te ostali potrebni pribor i odgovarajuće ateste. Na svu opremu ponuđač mora dati jamstvo u roku od najmanje 2 godine. Sve ponuđene stavke moraju zadovoljavati tehničke karakteristike opisane u stavkama. Tehničke karakteristike ponuđene svjetiljke moraju biti jednake ili bolje od navedenih u stavkama. Estetske i tehničke karakteristike moraju odgovarati predviđenom proizvodu uz odstupanja po dimenzijama do +/- 5 %. Prije narudžbe obavezno usuglasiti točan tip, boju i </t>
    </r>
    <r>
      <rPr>
        <sz val="10"/>
        <rFont val="Arial"/>
        <family val="2"/>
        <charset val="238"/>
      </rPr>
      <t>konačnu dispoziciju rasvjetnih tijela sa nadzornim inženjerom, koji je dužan konzultirati glavnog projektanta (provjera tipa spuštenog stropa i dispozicije svjetiljki) i projektanta el. instalacija. Na praznu crtu ponuđač je dužan opisati ponuđenu stavku - proizvođača, njezin naziv i točan tip.</t>
    </r>
    <r>
      <rPr>
        <sz val="10"/>
        <rFont val="Arial"/>
        <family val="2"/>
      </rPr>
      <t xml:space="preserve"> Izvođač je dužan prije dobave i ugradnje rasvjete isporučiti uzorke za sve tipove, koje potvrđuju nadzor i projektant. </t>
    </r>
  </si>
  <si>
    <t xml:space="preserve">Za sve karakteristične prostore u građevini u kojima se nalazi rasvjetna armatura potrebno je izraditi svjetlotehničke proračune. Prostor koji su po normama svjetlotehnički normirani moraju se dostaviti izračuni sa jasno vidljivim rezultatima izračuna vrijednosti: Esr, Uo, UGR... Rezultate dostaviti u pdf formatu, kao i  originalnu datoteku svjetlotehničkog programa.
</t>
  </si>
  <si>
    <t xml:space="preserve">Sve navedeno dostavlja se u pratećoj ponudbenoj dokumentaciji koja se sastoji od tabelarnog usporednog prikaza traženih karakteristika projektirane rasvjetne svjetiljke i po ponuditelju jednakovrijedne svjetiljke. Uz tabelarni prikaz dostavlja se i očitovanje u svezi različitosti i izjava da ponudbena rasvjetna armatura neće činiti građevinu djelomično i/ili u cijelosti neuporabljivom te i/ili nefunkcionalnom.
</t>
  </si>
  <si>
    <t>Dobava, montaža i spajanje nadgradne vodotijesne svjetiljke s direktnom difuznom svjetlosnom distribucijom. LED izvor svjetlosti, snaga sustava 47W, 4000K, CRI80. Stupanj mehaničke zaštite IP66 IK08. Sa svim potrebnim priborom, priključnim materijalom i elementima. Oznaka u projektu "S1".</t>
  </si>
  <si>
    <t>Obračun po kompletu.</t>
  </si>
  <si>
    <t xml:space="preserve">Dobava, montaža i spajanje nadgradne vodotijesne svjetiljke s direktnom difuznom svjetlosnom distribucijom. LED izvor svjetlosti, snaga sustava 34W, 4000K, CRI80. Stupanj mehaničke zaštite IP66 IK08. Sa svim potrebnim priborom, priključnim materijalom i elementima. Oznaka u projektu "S2".
</t>
  </si>
  <si>
    <t>Dobava, montaža i spajanje nadgradne svjetiljke s direktnom difuznom svjetlosnom distribucijom. LED izvor svjetlosti, snaga sustava 23W, 4000K, CRI80. Stupanj mehaničke zaštite IP40IK06. Sa svim potrebnim priborom, priključnim materijalom i elementima. Oznaka u projektu "S3".</t>
  </si>
  <si>
    <t xml:space="preserve">Tehničke karakteristike:
- Nadgradna svjetiljka s direktnom difuznom svjetlosnom distribucijom
- Kućište izrađeno od prethodno premazanog i pocinčani lima bijele boje, krajevi anti vandal
- Difuzor od polikarbonata sa mikroprizmom
- Niska razina treperenja
- LED predspojna naprava
- Životni vijek izvora minimalno 50.000 sati L80B20
- LED sustav maksimalne snage 23W
- Minimalni izlazni svjetlosni tok 3450lm
- Minimalna efikasnost svjetiljke 150 lm/W
- Temperatura boje 4000K
- Uzvrat boje minimalno CRI80
- Faktor snage ≥0,9
- Dimenzije svjetiljke: 1233x152x55 mm
- Stupanj mehaničke zaštite minimalno IP40IK06
- Maksimalna masa svjetiljke 2,2kg
</t>
  </si>
  <si>
    <t>Dobava, montaža i spajanje stropne ugradne svjetiljke s direktnom svjetlosnom distribucijom. LED izvor svjetlosti, snaga sustava 33W, 4000K, CRI&gt;80, UGR&lt;19. Stupanj mehaničke zaštite IP43/IP20. Sa svim potrebnim priborom, priključnim materijalom i elementima. Oznaka u projektu "S4".</t>
  </si>
  <si>
    <t xml:space="preserve">Dobava, montaža i spajanje nadgradne stropne svjetiljke s difuznom simetričnom svjetlosnom distribucijom. LED izvor svjetlosti, snaga sustava 21W, 4000K, CRI80. Stupanj mehaničke zaštite IP65 IK07. Sa svim potrebnim priborom, priključnim materijalom i elementima. Oznaka u projektu "S5".
</t>
  </si>
  <si>
    <t xml:space="preserve">Dobava, montaža i spajanje nazidne svjetiljke - reflektora s direktnom asimetričnom svjetlosnom distribucijom. LED izvor svjetlosti, snaga sustava 39W, 3000K, CRI80. Stupanj mehaničke zaštite IP66IK08. Sa svim potrebnim priborom, priključnim materijalom i elementima. Oznaka u projektu "Sz1".
</t>
  </si>
  <si>
    <t xml:space="preserve">Dobava, montaža i spajanje nadgradne stropne sigurnosne svjetiljke optikom za evakuacijske površine. LED izvor svjetlosti, snaga izvora 3W, autotest funkcija, stupanj mehaničke zaštite IP65.  Sa svim potrebnim priborom, priključnim materijalom i elementima. Oznaka u projektu "EM1".
</t>
  </si>
  <si>
    <t xml:space="preserve">Dobava, montaža i spajanje nadgradne stropne sigurnosne svjetiljke optikom za evakuacijske površine. LED izvor svjetlosti, snaga izvora 2W, autotest funkcija, stupanj mehaničke zaštite IP65.  Sa svim potrebnim priborom, priključnim materijalom i elementima. Oznaka u projektu "EM2".
</t>
  </si>
  <si>
    <t xml:space="preserve">Dobava, montaža i spajanje nadgradne stropne sigurnosne svjetiljke s optikom za evakuacijske površine. LED izvor svjetlosti, snaga izvora 2W, autotest funkcija, stupanj mehaničke zaštite IP20.  Sa svim potrebnim priborom, priključnim materijalom i elementima. Oznaka u projektu "EM3".
</t>
  </si>
  <si>
    <t xml:space="preserve">Tehničke karakteristike:
- Nadgradna stropna sigurnosna svjetiljka s optikom za evakuacijske površine
- Kućište izrađeno od bijelog polikarbonata
- Svjetiljka s ugrađenom baterijom
- Snaga LED izvora maksimalno 2W
- Minimalni izlazni svjetlosni tok 310lm
- Vrijeme punjenja maksimalno 12h
- Tip baterije LiFePO4 3,2V
- Autonomija svjetiljke 3h
- Svjetiljka u pripravnom spoju
- Stupanj mehaničke zaštite minimalno IP20
- Dozvoljena ambijentalna temperatura od 0 do +40 °C
- S autotest funkcijom
- Ugrađen LED indikator prisutnosti mrežnog napajanja
- Ugrađen LED indikator faze punjenja
- Dimenzije svjetiljke fi126 x 30 mm
</t>
  </si>
  <si>
    <t xml:space="preserve">Dobava, montaža i spajanje nadgradne stropne sigurnosne svjetiljke s optikom za evakuacijske puteve. LED izvor svjetlosti, snaga izvora 2W, autotest funkcija, stupanj mehaničke zaštite IP20.  Sa svim potrebnim priborom, priključnim materijalom i elementima. Oznaka u projektu "EM4".
</t>
  </si>
  <si>
    <t xml:space="preserve">Tehničke karakteristike:
- Nadgradna stropna sigurnosna svjetiljka s optikom za evakuacijske puteve
- Kućište izrađeno od bijelog polikarbonata
- Svjetiljka s ugrađenom baterijom
- Snaga LED izvora maksimalno 2W
- Minimalni izlazni svjetlosni tok 310lm
- Vrijeme punjenja maksimalno 12h
- Tip baterije LiFePO4 3,2V
- Autonomija svjetiljke 3h
- Svjetiljka u pripravnom spoju
- Stupanj mehaničke zaštite minimalno IP20
- Dozvoljena ambijentalna temperatura od 0 do +40 °C
- S autotest funkcijom
- Ugrađen LED indikator prisutnosti mrežnog napajanja
- Ugrađen LED indikator faze punjenja
- Dimenzije svjetiljke fi126 x 30 mm
</t>
  </si>
  <si>
    <t xml:space="preserve">Dobava, montaža i spajanje nadgradne stropne sigurnosne svjetiljke s optikom za evakuacijske površine. LED izvor svjetlosti, snaga izvora 1W, autotest funkcija, stupanj mehaničke zaštite IP20.  Sa svim potrebnim priborom, priključnim materijalom i elementima. Oznaka u projektu "EM5".
</t>
  </si>
  <si>
    <t xml:space="preserve">Tehničke karakteristike:
- Nadgradna stropna sigurnosna svjetiljka s optikom za evakuacijske površine
- Kućište izrađeno od bijelog polikarbonata
- Svjetiljka s ugrađenom baterijom
- Snaga LED izvora maksimalno 1W
- Minimalni izlazni svjetlosni tok 200lm
- Vrijeme punjenja maksimalno 12h
- Tip baterije LiFePO4 3,2V
- Autonomija svjetiljke 3h
- Svjetiljka u pripravnom spoju
- Stupanj mehaničke zaštite minimalno IP20
- Dozvoljena ambijentalna temperatura od 0 do +40 °C
- S autotest funkcijom
- Ugrađen LED indikator prisutnosti mrežnog napajanja
- Ugrađen LED indikator faze punjenja
- Dimenzije svjetiljke fi126 x 30 mm
</t>
  </si>
  <si>
    <t xml:space="preserve">Dobava, montaža i spajanje zidne nadgradne protupanične svjetiljke s printanim piktogramom "DOLJE". LED izvor svjetlosti, snaga izvora 1W, autotest funkcija, stupanj mehaničke zaštite IP65IK08. Sa svim potrebnim priborom, priključnim materijalom i elementima. Oznaka u projektu "P1z".
</t>
  </si>
  <si>
    <t xml:space="preserve">Dobava, montaža i spajanje zidne nadgradne protupanične svjetiljke s printanim piktogramom "LIJEVO". LED izvor svjetlosti, snaga izvora 1W, autotest funkcija, stupanj mehaničke zaštite IP65IK08. Sa svim potrebnim priborom, priključnim materijalom i elementima. Oznaka u projektu "P2z".
</t>
  </si>
  <si>
    <t xml:space="preserve">Dobava, montaža i spajanje zidne nadgradne protupanične svjetiljke s jednostranim printanim piktogramom oznake DOLJE. LED izvor svjetlosti, snaga izvora 2W, autotest funkcija, stupanj mehaničke zaštite IP40. Sa svim potrebnim priborom, priključnim materijalom i elementima. Oznaka u projektu "P3Z".
</t>
  </si>
  <si>
    <t xml:space="preserve">Dobava, montaža i spajanje stropne nadgradne protupanične svjetiljke s jednostranim printanim piktogramom "DOLJE". LED izvor svjetlosti, snaga izvora 2W, 3h autonomije, autotest funkcija stupanj mehaničke zaštite IP40. Sa svim potrebnim priborom, priključnim materijalom i elementima. Oznaka u projektu "P4ng".
</t>
  </si>
  <si>
    <t xml:space="preserve">Dobava, montaža i spajanje nadgradnog IC senzora pokreta izrađenog od plastike u bijeloj boji. Ručno podešavanje praga razine svjetlosti i vremenskog kašnjenja pomoću potenciometra. Snaga do 1KW, radijus pokrivanja 8m, kut pokrivanja 360°. Stupanj zaštite IP55.
</t>
  </si>
  <si>
    <t>SENZOR IC_NADGRADNI_BIJELI 360°_RAD.8M_1KW_IP55</t>
  </si>
  <si>
    <t>Napomena: kabeli za napajanje rasvjete su specificirani u točki V</t>
  </si>
  <si>
    <t>RASVJETA UKUPNO</t>
  </si>
  <si>
    <t>INSTALACIJSKI MATERIJAL I TEHNOLOŠKI PRIKLJUČCI</t>
  </si>
  <si>
    <t>Dobava, montaža i spajanje elektroinstalacijskog materijala utičnica, prekidača, tipkala i sl., uključivo plast. kutije za svaku stavku, bijele boje:</t>
  </si>
  <si>
    <t>1-polna sklopka, kompletna, 10A, (p/ž)</t>
  </si>
  <si>
    <t>Serijska sklopka, kompletna, 10A, (p/ž)</t>
  </si>
  <si>
    <t>Izmjenična sklopka, kompletna, 10A, (p/ž)</t>
  </si>
  <si>
    <t>Križna sklopka, umetak, 10A, (p/ž)</t>
  </si>
  <si>
    <t xml:space="preserve">Okvir 1-struki, bijeli </t>
  </si>
  <si>
    <t>3x 1-polna sklopka, umetak i tipkalo, 10A, (p/ž)</t>
  </si>
  <si>
    <t>Okvir 3-struki</t>
  </si>
  <si>
    <t>Tipkalo (1 N/O), kompletno, 10A, na vijak, bijelo</t>
  </si>
  <si>
    <t>Sklopka jednopolna, IP54, na oprugu, nadžbukna</t>
  </si>
  <si>
    <t>Sklopka izmjenična, IP54, na oprugu, nadžbukna</t>
  </si>
  <si>
    <t>Sklopka serijska, IP54, na oprugu, nadžbukna</t>
  </si>
  <si>
    <t>2-struko tipkalo, 10A, na oprugu, nazidno, IP54</t>
  </si>
  <si>
    <t>Šuko utičnica, komplet, 16A, 230V, p/ž</t>
  </si>
  <si>
    <t>Utičnica šuko, dvostruka, 16A, 250V, p/ž</t>
  </si>
  <si>
    <t>3x utičnica, 16A, umetak, p/ž</t>
  </si>
  <si>
    <t xml:space="preserve">3-struki okvir, bijeli </t>
  </si>
  <si>
    <t>Utičnica šuko sa poklopcem,16A, 250V, p/ž</t>
  </si>
  <si>
    <t>2x utičnica šuko sa poklopcem,16A, 250V, p/ž</t>
  </si>
  <si>
    <t xml:space="preserve">2-struki okvir, bijeli </t>
  </si>
  <si>
    <t>Utičnica šuko, sa poklopcem, 16A, IP54, n/ž</t>
  </si>
  <si>
    <t>Utičnica šuko dvostruka, sa poklopcem, 16A, IP54, n/ž</t>
  </si>
  <si>
    <t>Grebenasta sklopka u kućištu, 0-1/1P/20A, IP40</t>
  </si>
  <si>
    <t>Grebenasta sklopka u kućištu, 0-1/3P/25A, IP66, s priključnom kutijom</t>
  </si>
  <si>
    <t>Grebenasta sklopka u kućištu, 0-1/3P/32A, IP66, s priključnom kutijom</t>
  </si>
  <si>
    <t>Industrijska utičnica, 5P, 16A, 400V, IP44, nadgradna</t>
  </si>
  <si>
    <t>Industrijska utičnica, 5P, 32A, 400V, IP44, nadgradna</t>
  </si>
  <si>
    <t>Industrijski utikač, 5P, 16A, 400V, IP44, vijčane stez.</t>
  </si>
  <si>
    <t>Industrijski utikač, 5P, 32A, 400V, IP44, vijčane stez.</t>
  </si>
  <si>
    <t>Dobava, montaža i spajanje kompletne podne kutije opremljene sa 2x trostrukom utičnicom 16A/230V, 4x RJ-45 TK utičnicom, dim. 250x250x95-125 mm</t>
  </si>
  <si>
    <t>Dobava, montaža i spajanje  priključnica koja se sastoji od 2x(3x230V+2xRJ45cat6a), u nacrtima oznaka ''P4'', za parapetni kanal na zidu, komplet sa okvirom, maskom i pokrovom</t>
  </si>
  <si>
    <t>Dobava materijala i izrada premoštenja prirubnica na cijevnom razvodu, armaturama i pumpama i vratima, upotrebom voda P10 mm2 i kab. stopica, a spajanje pod vijak.</t>
  </si>
  <si>
    <t>Dobava i ugradnja N/Ž kutija IP30,75x75x25mm bijela</t>
  </si>
  <si>
    <t>Dobava i ugradnja razvodne kutije, podžbukna, Ø70, 35mm, M20, s poklopcem</t>
  </si>
  <si>
    <t>Izvedba izvoda za napajanje uređaja i dovođenje u funkciju istih:</t>
  </si>
  <si>
    <t>izvod jednofazni, 230V</t>
  </si>
  <si>
    <t xml:space="preserve">izvod trofazni, 400V </t>
  </si>
  <si>
    <t>Sitni spojni materijal i pribor, vijci, tiple, gips, razvodne kutije, prolazne kutije, obujmice i elastične spojnice sa stopicom za izjednačenje potencijala i ostalo, potrebno za dovođenje elektroinstalacija  u potpuno funkcionalno stanje.</t>
  </si>
  <si>
    <t>paušal</t>
  </si>
  <si>
    <t>Dobava materijala i izvedba instalacije izjednačenja potencijala u sanitarijama i praonici, uključivo vodič P/FY 1x10 mm2 od RO do kutije izj.pot., kutija sa sabirnicom, obujmice i vodiči P/FY 1x4 mm2 do metalnih masa.</t>
  </si>
  <si>
    <t xml:space="preserve">Dobava materijala, montaža i spajanje Cu sabirnice za izjednačenje potencijala sabirnica, 300x50x5mm (dxšxv) Cu, 8x16-32mm2, visina montaže h=1,2m, sabirnica za izjednačivanje potencijala povezana na uzemljivač.
</t>
  </si>
  <si>
    <t>INSTALACIJSKI MATERIJAL I TEHNOLOŠKI PRIKLJUČCI UKUPNO:</t>
  </si>
  <si>
    <t>KABELI I KABELSKE POLICE</t>
  </si>
  <si>
    <t>Dobava, polaganje i spajanje kabela u kabelske kanalice ili odgovarajuće zaštitne cijevi uključivo plastične kutije, ovjesni pribor i sl.</t>
  </si>
  <si>
    <t>NYY 4x95mm2+1x95mm2</t>
  </si>
  <si>
    <t>NYY 4x95mm2+1x50mm2</t>
  </si>
  <si>
    <t>NYY 3x25+16mm2 +NYY 1x16mm2</t>
  </si>
  <si>
    <t>NYY 4x50mm2+1x25mm2</t>
  </si>
  <si>
    <t>NYY 5x35mm2</t>
  </si>
  <si>
    <t>NYY 5x25mm2</t>
  </si>
  <si>
    <t>NYY 5x16mm2</t>
  </si>
  <si>
    <t>NYY 5x10mm2</t>
  </si>
  <si>
    <t>NYY 5x6mm2</t>
  </si>
  <si>
    <t>NYY 5x4mm2</t>
  </si>
  <si>
    <t>NYY 3x4mm2</t>
  </si>
  <si>
    <t>NYY 5x2,5mm2</t>
  </si>
  <si>
    <t>NYY 4x2,5mm2</t>
  </si>
  <si>
    <t>NYY 3x2,5mm2</t>
  </si>
  <si>
    <t>NYY 3x1,5mm2</t>
  </si>
  <si>
    <t>NYY 4x1,5mm2</t>
  </si>
  <si>
    <t>NYY 2x1,5mm2</t>
  </si>
  <si>
    <t>PP/J 2x1,0mm2</t>
  </si>
  <si>
    <t>PP/J 2x1,5mm2</t>
  </si>
  <si>
    <t>PP/J 4x1,5mm2</t>
  </si>
  <si>
    <t>NHXH FE180/E90 3x1,5mm2</t>
  </si>
  <si>
    <t>NHXH FE180/E90 4x1,5mm2</t>
  </si>
  <si>
    <t>NHXH FE180/E90 3x2,5mm2</t>
  </si>
  <si>
    <t>LiYCY 2x0,75mm2</t>
  </si>
  <si>
    <t>LiYCY 2x1,5mm2</t>
  </si>
  <si>
    <t>LiYCY 5x1mm2</t>
  </si>
  <si>
    <t>J-Y(St)Y 2x2x0,8mm2</t>
  </si>
  <si>
    <t>J-Y(St)Y 4x2x0,8mm2</t>
  </si>
  <si>
    <t>JB-Y(St)Y 2x2x0,8mm2</t>
  </si>
  <si>
    <t>J-H(St)H 4x2x0,8mm2</t>
  </si>
  <si>
    <t>JE-H(St)H E30-E90 4x2x0,8mm2</t>
  </si>
  <si>
    <t>Cat. 6a F/FTP</t>
  </si>
  <si>
    <t>P/F 4mm2</t>
  </si>
  <si>
    <t>P/F 6mm2</t>
  </si>
  <si>
    <t>H07V-K 10 mm2</t>
  </si>
  <si>
    <t>H07V-K 16 mm2</t>
  </si>
  <si>
    <t>P10 mm2</t>
  </si>
  <si>
    <t>P6 mm2</t>
  </si>
  <si>
    <t>Dobava, polaganje i spajanje trake Fe/Zn 30x3mm za izjednačenje potencijala, s zidnim nosačima i spojnicama</t>
  </si>
  <si>
    <t>Dobava i polaganje zaštitnih cijevi:</t>
  </si>
  <si>
    <t>Cs13</t>
  </si>
  <si>
    <t>Cs16</t>
  </si>
  <si>
    <t>Cs20</t>
  </si>
  <si>
    <t>Cs25</t>
  </si>
  <si>
    <t>Cs32</t>
  </si>
  <si>
    <t>Cs40</t>
  </si>
  <si>
    <t>Cs50</t>
  </si>
  <si>
    <t>Dobava i polaganje PNT cijevi</t>
  </si>
  <si>
    <t>PNT23</t>
  </si>
  <si>
    <t>PNT32</t>
  </si>
  <si>
    <t>Dobava i montaža PVC kanala:</t>
  </si>
  <si>
    <t xml:space="preserve"> - PVC plastična kabelska kanalica S=250-300 mm2 (15x17 mm), uključivo tiple i vijke.</t>
  </si>
  <si>
    <t xml:space="preserve"> - PVC plastična kabelska kanalica S=350-500 mm2 (30x15 mm), uključivo tiple i vijke.</t>
  </si>
  <si>
    <t xml:space="preserve"> - PVC plastična kabelska kanalica S=500-1.000 mm2 (40x20 mm), uključivo tiple i vijke.</t>
  </si>
  <si>
    <t xml:space="preserve"> - PVC plastična kabelska kanalica S=5.000-7.000 mm2 (100x60 mm), uključivo tiple i vijke.</t>
  </si>
  <si>
    <t xml:space="preserve"> - Parapetni kanal POK 110x65 (ili odgovarajućeg presjeka), sa pregradom i poklopcem kanala, komplet sa spojnim i montažnim materijalom</t>
  </si>
  <si>
    <t xml:space="preserve"> - Završni element PVC parapetnog kanala 110x65.</t>
  </si>
  <si>
    <t>PK400</t>
  </si>
  <si>
    <t>PK200</t>
  </si>
  <si>
    <t>PK100</t>
  </si>
  <si>
    <t>PK50</t>
  </si>
  <si>
    <t>Dobava i ugradnja podnog kanala s 2 komore, ugradnja ispod glazure, pocinčani, sa svim potrebnim spojnicama i priborom dim. 2000x190x28 mm</t>
  </si>
  <si>
    <t>Izvedba spoja voda H07V-K 10 mm2/PK/Cs25 za uzemljenje svih komunikacijskih ormara</t>
  </si>
  <si>
    <t>Dobava i polaganje RDC cijevi (uključen iskop i zatrpavanje zemljanog rova):</t>
  </si>
  <si>
    <t xml:space="preserve"> - RDC fi 50</t>
  </si>
  <si>
    <t xml:space="preserve">Dobava i montaža mase za brtvljenje prodora veličine 0,25 m2 na granici protupožarnih sektora:
Karakteristike za jednakovrijednost:
Certifikat u skladu sa: EN 1366-3 (protupožarne pregrade) - EN 13501-2 / klasifikacijska izvješća ÖNORM B 3807 ili jednakovrijedna
</t>
  </si>
  <si>
    <t>KABELI UKUPNO:</t>
  </si>
  <si>
    <t>INSTALACIJA SLABE STRUJE</t>
  </si>
  <si>
    <t>INSTALACIJA STRUKTURNOG KABLIRANJA</t>
  </si>
  <si>
    <t>Dobava, ugradnja i spajanje p/ž priključnog telekomunikacijskog ormarića, opremljen je sa dvije optičke kasete za spajanje ukupno 2×24 optička vlakana sa spajanjem na DTK i ostalom opremom za prihvat instalacijski optičkih kablova, izrađen od aluminijskog ili čeličnog lima 1mm, sa zaštitom od korozije RAL 9002, poliester, min. dimenzije ormara su 197,0 mm x 354,0 mm x 50,0 mm (Š x V x D), IP 54.</t>
  </si>
  <si>
    <t>Dobava, postava i spajanje komunikacijskog ormara za ugradnju telekomunikacijske i informatičke opreme, oznake "+KO-Z3", samostojeći komunikacijski ormar sa vratima i bravicom, s ventilacijskim prorezima i otvorima za ulaz kabela, s odvojivim bočnim stranicama i otvorima za ugradnju ventilatora u podu i stropu,  19” prednjim nosačima za montažu opreme prema normi IEC 60297,  s priborom za uzemljenje svih metalnih dijelova na zajedničku sabirnicu, kompletom vijaka, podloški i matica, te sljedećom opremom:
- Samostojeći komunikacijski ormar DS 800x1970x1000, 19", 42U, bez vrata  
- Vrata, metalna, perforirana za kom. ormare, 42U, Š=800 mm
- 19" vodilica kabela s 5 prstena 70x40 i otvorima,1U, RAL7035 - 6 kom 
- 19" fiksna polica do maks. 80kg, d=750mm, 1U, RAL7035 - 1 kom</t>
  </si>
  <si>
    <t>kpl</t>
  </si>
  <si>
    <t xml:space="preserve">Dobava i ugradnja priključne nap. letve 19" 7xshuko,prenaponska zaštita,prekidač,1U,alu
</t>
  </si>
  <si>
    <t xml:space="preserve">Dobava, isporuka i ugradnja UTP prespojnog panela za 24 priključna RJ-45 konektora, prazan, sa stražnjim držačem kabela
</t>
  </si>
  <si>
    <t xml:space="preserve">Dobava, isporuka, ugradnja i spajanje utičnog modula RJ45 oklop., cat.6a 10GB, 4PPoE 100W SFA
</t>
  </si>
  <si>
    <t xml:space="preserve">Dobava i ugradnja svjetlovodnog prespojnog panela/ladica za 24 LC/LC, sa splice kasetom
</t>
  </si>
  <si>
    <t>Dobava i ugradnja (spajanje varenjem) svjetlovodnog konektora LC MM ("pig-tail") duljine 2 m,  ili izrada završetka optičke niti "brušenjem i poliranjem", te označavanje.</t>
  </si>
  <si>
    <t>Dobava prespojnog kabela RJ45 STP cat.6a/10GB, LS0H, sivi, 1.0m</t>
  </si>
  <si>
    <t>Dobava, isporuka i spajanje bežičnog LAN kontroler za upravljanje WLAN pristupnim točkama</t>
  </si>
  <si>
    <t>Dobava i ugradnja u komunikacijski ormar UPS uređaja 3000VA 2700W 5 min.1/1-fazni/Online</t>
  </si>
  <si>
    <t>Dobava, izrada otvora u zidu, ugradnja u zid, te spajanje p/ž komunikacijskog utičnog mjesta s 2×RJ45 konektora, sastavljenog od sljedećih elemenata:</t>
  </si>
  <si>
    <t>Priključnica prazna 80x80 za 2 modula (SFA/B), kosi izvod</t>
  </si>
  <si>
    <t>utični modul RJ45 oklop., cat.6a 10GB, 4PPoE 100W SFA</t>
  </si>
  <si>
    <t>instalacijska p/ž kutija fi60mm.</t>
  </si>
  <si>
    <t>Dobava, montaža i spajanje kompletnog n/ž komunikacijskog utičnog mjesta s priključnicama 2xRJ45, oklopljena, cat.6a, 10GB, 4PPoE (100W), 80x80mm, kosa, univerzalna centralna pločica, okvir za n/ž ugradnju, 80x40x80mm</t>
  </si>
  <si>
    <t>Dobava, montaža i spajanje bežične pr. točke WLAN 2,4GHz 802.11b/g/n, stropna, PoE, upravljanje kontrolerom, stropna ili zidna montaža</t>
  </si>
  <si>
    <t xml:space="preserve">Dobava, uvlačenje u instalacijske kanale, uvlačenje u plastične cijevi n/žb i p/žb i spajanje kabela tipa F/FTP inst. kabel cat.6a,4x2xAWG23/1,500MHz,LS0H-3,Dca, plavi.                                                                                                                                   </t>
  </si>
  <si>
    <t>Dobava, uvlačenje u instalacijske kanale i plastične cijevi n/žb i p/žb i spajanje optičkog kabela s 12 niti tipa A-DQ(ZN)B2Y-OS2-1X12-E9/125-(SM), u objektu</t>
  </si>
  <si>
    <t>Dobava, polaganje i spajanje optičkog kabela s 12 niti tipa A-DQ(ZN)B2Y-OS2-1X12-E9/125-(SM), za povezivanje objekta i komunikacijske infrastrukture</t>
  </si>
  <si>
    <t>Ispitivanje i izdavanje atesta o izvršenom mjerenju kvalitete instaliranih svjetlovodnih veza (izrada knjige mjernih rezultata, mjerenja OTDR-om za svaku nit i mjerenje prigušenja niti mjeračem optičke snage).</t>
  </si>
  <si>
    <t>nit</t>
  </si>
  <si>
    <t>Ispitivanje i izdavanje certifikata o izvršenom mjerenju kvalitete instaliranih UTP/F/FTP veza, cat 6a, na papiru i CD-u.</t>
  </si>
  <si>
    <t>INSTALACIJA STRUKTURNOG KABLIRANJA UKUPNO:</t>
  </si>
  <si>
    <t>SOS INSTALACIJA</t>
  </si>
  <si>
    <t>Nabava, montaža i spajanje SOS centrale za smještaj iznad ulaznih vrata u invalidski sanitarni čvor. Glavno napajanje 230 V 50Hz. Centrala opremljenija s ispravljačem i potrebnom elektronikom za upravljanje sustavom. U trenutku poziva pojavljuje se zvučni signal, a crvena LED dioda promjera 20 mm počinje bljeskati. Podžbukna montaža - kutija 4 modula.</t>
  </si>
  <si>
    <t>Nabava, montaža i spajanje tipkala pored školjki ili tuš kabina. Predviđeno tipkalo opremljeno je poteznom vrpcom za uspostavu poziva pri čemu vrpca seže do visine 50cm od poda, crvenom LED indikacijom statusa koja se uključuje uslijed uspostave poziva. Predviđeno pozivno tipkalo ugrađuje se u negorivu podžbuknu ugradnu kutiju Ø60mm na visinu h=2.0m od poda.</t>
  </si>
  <si>
    <t>Nabava, ugradnja i spajanje SOS signalne svjetiljke sa biperom. Ugrađuje se u negorivu podžbuknu ugradnu kutiju Ø60mm na vidljivo mjesto.</t>
  </si>
  <si>
    <t>Dobava, montaža i spajanje kabela:</t>
  </si>
  <si>
    <t xml:space="preserve"> J-Y(St) 2x2x0,8mm2</t>
  </si>
  <si>
    <t>U/UTP inst. kabel cat.5e,4x2xAWG24/1,PVC,Eca,sivi</t>
  </si>
  <si>
    <t>SOS INSTALACIJA UKUPNO:</t>
  </si>
  <si>
    <t>SUSTAV PORTAFONA I KONTROLE PRISTUPA</t>
  </si>
  <si>
    <t>Dobava, montaža i spajanje portafonskog audio/video seta, 1 tipka/monitor, "handsfree", s vanjskom pozivnom jedinicom nazidna/podžbukna ugradnja. Set sadrži: plastične kutije za ugradnju, ukrasne okvire, nosač za ugradnju, audio/video module, završnu jednostruku pozivnu tipku - plastičnu, napajanje vanjske jedinice sustav 2-žice, 230VAC/33VDC (8 DIN), video monitor handsfree i sav potreban pribor za funkcionalnost sustava. Za napajanje i komunikaciju između vanjske pozivne jedinice i unutarnjih jedinica koriste se samo 2 žice, tradicionalno ožičenje.</t>
  </si>
  <si>
    <t>Dobava, montaža i spajanje sustava elektronske brave, otključavanje/zaključavanje pomoću kartice ili programabilnog ključa. Spajanja i ožičenje izvesti prema uputama isporučitelja opreme. Prilagodba sustava prema potrebi korisnika.</t>
  </si>
  <si>
    <t>Dobava, montaža i spajanje zidnog šifratora s čitačem RFID kartica ili privjeska -programabilnog ključa.                                                                                                                            - otvaranje putem šifre , privjeska ili kartice EM 125 kHz
- nadžbukna montaža
- napajanje : 12 Vdc
- za do 1000 korisnika
- vodootporno IP68 i antivandal kućište
- broj izlaza za električnu bravu : 1
- programiranje se vrši pomoću tipkovnice.
- alarm protiv krađe
- pozadinsko osvjetljenje.                                                                                                                        Spajanja i ožičenje izvesti prema uputama isporučitelja opreme. Prilagodba sustava prema potrebi korisnika.</t>
  </si>
  <si>
    <t>Ispitivanje, puštanje u rad te dovođenja kompletne instalacije u stanje potpune funkcionalnosti</t>
  </si>
  <si>
    <t>Napomena: kabeli za ožičenje sustava i ostali instalacijski materijal su specificirani u točki V</t>
  </si>
  <si>
    <t>SUSTAV PORTAFONA I KONTROLE PRISTUPA UKUPNO:</t>
  </si>
  <si>
    <t>GROMOBRANSKA INSTALACIJA</t>
  </si>
  <si>
    <t>Isporuka i ugradnja krovnog potpornog elementa izrađenog od PVC-a s betonskom kockom za pričvršćivanje gromobranskog vodiča AH1 Al fi 8 mm na ravne krovove</t>
  </si>
  <si>
    <t>Isporuka i ugradnja zidnog elementa od nehrđajućeg čelika za ugradnju gromobrana AH1 Al fi 8 mm na šuplje fasade sa izolacijom do 100 mm</t>
  </si>
  <si>
    <t>Dobava i montaža zidnog nosača 8-10 mm zidni nosač- vijak 50 mm</t>
  </si>
  <si>
    <t>Dobava i montaža krovnog, sljemenskog nosača, u kompletu s brtvom i vijkom, za gromobranski vodič AH1 Al 8 8 mm. Nosač primjeren za odabrani krovni pokrov.</t>
  </si>
  <si>
    <t>Isporuka i ugradnja spone od nehrđajućeg čelika za međusobno povezivanje okruglih gromobranskih vodiča.</t>
  </si>
  <si>
    <t>Isporuka i ugradnja kontaktne spone od nehrđajućeg čelika za izradu kontaktnih spojeva između AH1 Al fi 8 mm gromobrana i dijelova lima.</t>
  </si>
  <si>
    <t xml:space="preserve">Dobava i spajanje kontaktne spone za povezivanje gromobranskog vodiča i žljeba ŽLJEBNA SP.48X85 Rf-V 8-10 mm
</t>
  </si>
  <si>
    <t>Dobava i montaža podnog mjernog ormarića PVC 225x125x100 mm (dxšxv), ormarić i poklopac izrađeni od umjetnih materijala postojanih u atmosferi (PVC)</t>
  </si>
  <si>
    <t>Dobava i postavljanje oznaka mjernih spojeva MS</t>
  </si>
  <si>
    <t>Nabava i ugradnja gromobranskog vodiča AH1 Al 8 8 mm na standardne gromobranske elemente.</t>
  </si>
  <si>
    <t>Isporuka i ugradnja RH1 ravnog vodiča 30x3,5 mm izrađenog od nehrđajućeg čelika 30x3,5 mm za uzemljenje</t>
  </si>
  <si>
    <t>Dobava i montaža zidnog nosača za traku</t>
  </si>
  <si>
    <t>Nabava i ugradnja spone od inoxa za spojeve između ravnih gromobranskih vodiča</t>
  </si>
  <si>
    <t>Dobava i spajanje spone za povezivanje okruglih i plosnatih gromobranskih vodiča, MJERNA SP.3X58 RF-V, 8-10 mm / 30x3.5 mm</t>
  </si>
  <si>
    <t>Dobava i spajanje spone za povezivanje trake za uzemljenje, MJERNA KRIŽNA SP. 3X58 Rf-V traka do 30 mm</t>
  </si>
  <si>
    <t>Isporuka i ugradnja lovećeg štapa visine h = 2,0m, uključujući betonsku podlogu na ravnom krovu</t>
  </si>
  <si>
    <t>Dobava i spajanje spojnice od nehrđajućeg čelika za povezivanje okruglog gromobranskog vodiča i lovne šipke</t>
  </si>
  <si>
    <t>Nabava i ugradnja spone od čelika za spojeve između ravnih gromobranskih vodiča i ojačanja temelja</t>
  </si>
  <si>
    <t xml:space="preserve">Dobava i spajanje premosnog kabela 16mm2 Cu, dužine 150 mm, za povezivanje metalnih dijelova i izjednačavanje potencijala (metalne mase: vrata, prozori, metalna potkonstrukcija fasade, ograde...), u skladu s normom HRN EN 62305-3
</t>
  </si>
  <si>
    <t>Ispitivanje gromobranske instalacije s izdavanjem izvještaja i protokola mjerenja.</t>
  </si>
  <si>
    <t>GROMOBRANSKA INSTALACIJA UKUPNO:</t>
  </si>
  <si>
    <t>X.</t>
  </si>
  <si>
    <t>ELEKTRONIČKA KOMUNIKACIJSKA INSTALACIJA (EKI)</t>
  </si>
  <si>
    <t>Ovom specifikacijom predviđen je priključak na lokalnu kabelsku kanalizaciju elektroničke komunikacijske mreže (DTK)</t>
  </si>
  <si>
    <t>Određivanje i obilježavanje trase za DTK temeljem nacrta i situacije na terenu (iskolčenje).</t>
  </si>
  <si>
    <t xml:space="preserve">Iskop rova za polaganje 2 cijevi tipa PEHD Ø110, dim rova 0,4x0,8 m u tlu tvrdoće "A" (meko, zemlja). </t>
  </si>
  <si>
    <t>Dobava pijeska i izrada podloge za polaganje cijevi u dnu rova, debljine 5cm.</t>
  </si>
  <si>
    <t>Dobava i polaganje PEHD cijevi Ø110mm (glatka iznutra i izvana).</t>
  </si>
  <si>
    <t>Dobava i postava češljeva (držači razmaka) svaka 2 m.</t>
  </si>
  <si>
    <t>Dobava i postavljanje žute plastične trake upozorenja "POZOR - TELEFONSKI KABEL" u rovu iznad kabela.</t>
  </si>
  <si>
    <t>Dobava i postava montažnog zdenca, sa poklopcem 125 kN, unutarnjih dimenzija 92 x 62 x 82 cm (Š x D x V), komplet s donjim i gornjim elementima, poklopcem, uvodnim pločama. U stavku ulazi:                                                                                                                                                       - iskop i odvoz viška zemlje,
- postava zdenca uz pomoć auto dizalice,
- zatrpavanje oko zdenca,
- postava uvodnih ploča i poklopca,
- obrada oko ulaza cijevi i brtvljenje cijevi koje neće biti zauzete.</t>
  </si>
  <si>
    <t>Dobava i postava montažnog zdenca, sa poklopcem 400 kN, unutarnjih dimenzija 92 x 62 x 82 cm (Š x D x V), komplet s donjim i gornjim elementima, poklopcem, uvodnim pločama. U stavku ulazi:                                                                                                                                                       - iskop i odvoz viška zemlje,
- postava zdenca uz pomoć auto dizalice,
- zatrpavanje oko zdenca,
- postava uvodnih ploča i poklopca,
- obrada oko ulaza cijevi i brtvljenje cijevi koje neće biti zauzete.</t>
  </si>
  <si>
    <t>Zaštita telefonskog kabela na mjestu križanja s ostalim instalacijama - provlačenje telefonskog kabela kroz betonske cijevi fi=200mm, u dužini od cca 3m.</t>
  </si>
  <si>
    <t>Izrada geodetskog snimka DTK cijevi u otvorenom rovu i geodetskog elaborata za katastar instalacija, 3 x na papiru i CDu (u dwg formatu).</t>
  </si>
  <si>
    <t>ELEKTRONIČKA KOMUNIKACIJSKA INSTALACIJA (EKI) UKUPNO:</t>
  </si>
  <si>
    <t>XI.</t>
  </si>
  <si>
    <t>Građevinska pripomoć prilikom izvođenja el. Instalacija:</t>
  </si>
  <si>
    <t xml:space="preserve"> - Dubljenje šlica (90 % strojno frezanje, 10% štemanje) za polaganje do 2 kabela ili CS cijevi.</t>
  </si>
  <si>
    <t xml:space="preserve"> - Dubljenje šlica (90 % strojno frezanje, 10% štemanje) za polaganje 3-5 kabela ili CS cijevi.</t>
  </si>
  <si>
    <t xml:space="preserve"> - Izrada proboja kroz pune zidove Φ5-10 cm debljine od 25 do 80 cm za prolaz instalacija, (proboji manji od 25 cm se posebno ne obračunavaju).</t>
  </si>
  <si>
    <t xml:space="preserve"> - izrada proboja u zidu za prolaz kabela do 40x20 cm.</t>
  </si>
  <si>
    <t>Razni elektro radovi za koje se može pojaviti potreba tijekom izvođenja elektroinstalacija.</t>
  </si>
  <si>
    <t xml:space="preserve"> - NKV</t>
  </si>
  <si>
    <t>sat</t>
  </si>
  <si>
    <t xml:space="preserve"> - VKV</t>
  </si>
  <si>
    <t>Izmjene i dopune dokumentacije, izrada tehničkih rješenja, unošenje eventualnih izmjena i dopuna tokom izvedbe u projektnu dokumentaciju, od strane ovlaštenog inženjera elektrotehnike.
Sati ovlaštenog inženjera - projektanta (VKV).</t>
  </si>
  <si>
    <t>Izrada dokumentacije izvedenog stanja, umnažanje u 3 primjerka na papiru i digitalno na CDu (acad + pdf) i predaja investitoru. Dokumentacija treba sadržavati:
 - tlocrte elektroinstalacija s oznakama strujnih krugova
 - jednopolne sheme razvodnih ormara s oznakama strujnih krugova, rednih stezaljki i kabela
 - upute za rukovanje, kataloge ugrađene opreme, upute za održavanje
 - sheme razvoda instalacija.</t>
  </si>
  <si>
    <t>Ispitivanje elektroinstalacija jake struje i izdavanje atesta u 2 primjerka po niže navedenim stavkama:
- vizualni pregled, 
- funkcionalno ispitivanje,
- otpor izolacije, 
- funkcionalnost zaštite od indirektnog napona dodira, 
- neprekinutosti zaštitnog vodiča, povezanosti svih metalnih masa i izjednačenju potencijala, 
- rasvijetljenosti, 
- funkcionalnosti nužne rasvjete, 
- funkcionalnosti glavne sklopke, 
- podešenosti nadstrujnih elemenata (pumpe i sl).</t>
  </si>
  <si>
    <t>OSTALI RADOVI UKUPNO:</t>
  </si>
  <si>
    <t>REKAPITULACIJA:</t>
  </si>
  <si>
    <t>PDV 25%</t>
  </si>
  <si>
    <t>Jedinična cijena</t>
  </si>
  <si>
    <t>Ukupna cijena</t>
  </si>
  <si>
    <t>R. br.</t>
  </si>
  <si>
    <t xml:space="preserve">SISAČKO-MOSLAVAČKA ŽUPANIJA
Stjepana i Antuna Radića 36, 44000 Sisak
OIB: 82215698659
</t>
  </si>
  <si>
    <t xml:space="preserve">ZGRADA 3 (BIVŠA STRAŽARNICA)
U SKLOPU DOMOBRANSKE VOJARNE U SISKU
Lađarska ulica 28A
44000 Sisak
na k.č.br. 718/1, k.o. Novi Sisak
</t>
  </si>
  <si>
    <t>OPĆI POGODBENI I TEHNIČKI UVJETI</t>
  </si>
  <si>
    <t>Prije početka izvođenja radova, izvođač može obaviti pregled lokacije i o eventualnim odstupanjima projekta od stvarnog stanja upozoriti investitora.</t>
  </si>
  <si>
    <t>Ako bi se izvedeni radovi drugih izvođača pri montaži instalacija vatrodojave i opreme nepotrebno i uslijed nemarnosti i nestručnosti oštetili, troškove štete snosit će izvođač vatrodojave.</t>
  </si>
  <si>
    <t xml:space="preserve">Kod polaganja instalacije vatrodojavnog sustava treba se pridržavati važećih propisa za instalacije slabe struje kao i posebnih uputa proizvođača opreme. </t>
  </si>
  <si>
    <t xml:space="preserve">Potrebno je izbjegavati blisko paralelno vođenje instalacija vatrodojavnog sustava i instalacija jake struje, a ako to nije moguće potrebno je osigurati razmake minimalno 10 cm. Križanje s vodovima jake struje nije poželjno, no ako se ono ne može izbjeći trase se moraju sjeći pod kutom od 90° i na razmaku po dubini najmanje 1 cm. </t>
  </si>
  <si>
    <t>Cijevi koje se polažu kroz vanjske zidove objekta moraju biti od materijala koji su otporni na vlagu.</t>
  </si>
  <si>
    <t>Kod probijanja zidova i bušenja armirano-betonske konstrukcije, odnosno stropova na kojima je trstika treba se posavjetovati sa stručnjacima - statičarima.</t>
  </si>
  <si>
    <t>Kod probijanja zidova i bušenja stropova na kojima ima štukatura i ukrasnih motiva treba se posavjetovati sa stručnjacima - restauratorima</t>
  </si>
  <si>
    <t>Kod probijanja zidova i bušenja armirano-betonske konstrukcije u prostoru u kojem su provedene propisane mjere zaštite od požara i eksplozije treba koristiti vatrootpornu masu za brtvljenje.</t>
  </si>
  <si>
    <t xml:space="preserve">Polaganje vodova instalacije vatrodojavnog sustava potrebno je prilagoditi građevinskim rješenjima izvedbe objekta. </t>
  </si>
  <si>
    <t>Polaganje vodova u cijevi treba biti izvedeno tako da se mogu bez teškoća izvući i ponovno uvući.</t>
  </si>
  <si>
    <t>Horizontalno polaganje kabela niže od 2 metra treba izbjegavati, a u slučaju da to nije moguće treba ih mehanički zaštititi.</t>
  </si>
  <si>
    <t>Sve kabele koji prelaze sa zida u pod i kabele koji izlaze iz energetskih kanala na zid treba uvući u čelične cijevi odgovarajućeg promjera.</t>
  </si>
  <si>
    <t>Sva spajanja moraju biti izvedena kvalitetno i propisnim priborom.</t>
  </si>
  <si>
    <t xml:space="preserve">Zaštitu od previsokog napona dodira na centralnom uređaju izvesti spajanjem svih vodljivih dijelova centralnog uređaja na postojeći sistem zaštite u objektu. </t>
  </si>
  <si>
    <t>Sistem zaštite od previsokog napona dodira na javljačima nije potreban, budući da su javljači priključeni maksimalno do 28V.</t>
  </si>
  <si>
    <t>34.</t>
  </si>
  <si>
    <t>Izvođač je dužan prije početka izvođenja radova prema ovom projektu istoga proučiti. Ukoliko se pojave neke nejasnoće treba se konzultirati sa projektantom.</t>
  </si>
  <si>
    <t>35.</t>
  </si>
  <si>
    <t>U projektu se ne smije vršiti nikakva izmjena bez suglasnosti projektanta odnosno nadzornog organa.</t>
  </si>
  <si>
    <t>Izvođač instalacije vatrodojave montira i spaja na strop podnožja javljača.</t>
  </si>
  <si>
    <t>37.</t>
  </si>
  <si>
    <t>Glave javljača ugrađuje servisna služba.</t>
  </si>
  <si>
    <t>38.</t>
  </si>
  <si>
    <t>Vodovi odnosno kabeli vode se od podnožja do podnožja u jednom komadu bez prekida. Prekid se može izvesti tek kod priključnih stezaljki u podnožjima ili u razvodnim ormarima, koji su posebno označeni crvenom bojom i koriste se samo u tu svrhu.</t>
  </si>
  <si>
    <t>39.</t>
  </si>
  <si>
    <t>Minus (-) i plus (+) vodič iste vatrodojavne zone moraju biti u istom kabelu.</t>
  </si>
  <si>
    <t>40.</t>
  </si>
  <si>
    <t>Zabranjeno je za veći broj vatrodojavnih zona upotrijebiti jedan zajednički negativni minus.</t>
  </si>
  <si>
    <t>41.</t>
  </si>
  <si>
    <t>Pripadajući vodovi svih zona i drugih uređaja moraju biti označeni naljepnicama odnosno natpisnim pločicama prema oznakama iz projekta.</t>
  </si>
  <si>
    <t>42.</t>
  </si>
  <si>
    <t>Svi vatrodojavni javljači moraju imati naljepnicu sa oznakom petlje, grupe i adrese.</t>
  </si>
  <si>
    <t>43.</t>
  </si>
  <si>
    <t xml:space="preserve">Svi paralelni indikatori moraju imati naljepnicu sa oznakom pripadajućeg javljača. </t>
  </si>
  <si>
    <t>44.</t>
  </si>
  <si>
    <t>Iz razloga otežanih uvjeta montaže javljača ili drugih opravdanih razloga, pozicije javljača se kod izvođenja mogu korigirati (manje korekcije pozicija javljača su dozvoljene jer se bitno ne narušavaju nadzorne površine javljača).</t>
  </si>
  <si>
    <t>45.</t>
  </si>
  <si>
    <t>Prilikom montaže javljača obratiti pažnju na solidno učvršćenje.</t>
  </si>
  <si>
    <t>46.</t>
  </si>
  <si>
    <t>Javljače požara spajati prema shemama za spajanje javljača.</t>
  </si>
  <si>
    <t>47.</t>
  </si>
  <si>
    <t>48.</t>
  </si>
  <si>
    <t>Na strujni krug kojim se napaja centrala ne smije se priključiti ništa osim centrale.</t>
  </si>
  <si>
    <t>49.</t>
  </si>
  <si>
    <t>Priključak centrale na mrežu mora biti u potpunosti pripremljen, ali na uređaj ni u kom slučaju ne smije biti doveden napon.</t>
  </si>
  <si>
    <t>50.</t>
  </si>
  <si>
    <t>Vodovi za priključak rezervnog akumulatorskog napajanja moraju biti instalirani ali ne i priključeni.</t>
  </si>
  <si>
    <t>51.</t>
  </si>
  <si>
    <t>Patrone osigurača ne smiju biti umetnute u podnožja.</t>
  </si>
  <si>
    <t>52.</t>
  </si>
  <si>
    <t>Vatrodojavni sustav pušta u prvi pogon servisna služba na poziv investitora nakon završetka svih instalacijskih radova.</t>
  </si>
  <si>
    <t>53.</t>
  </si>
  <si>
    <t>Kod puštanja u pogon mora biti prisutan monter koji je izvodio instalacijske radove, kako bi odmah mogao otkloniti eventualne nedostatke u instalacijama.</t>
  </si>
  <si>
    <t>54.</t>
  </si>
  <si>
    <t>Upute za rukovanje centralnim uređajem daje proizvođač.</t>
  </si>
  <si>
    <t>55.</t>
  </si>
  <si>
    <t>Da bi vatrodojava bila efikasna potrebno je osposobiti dežurne osobe (portire, vatrogasce) za rukovanje vatrodojavnim uređajima.</t>
  </si>
  <si>
    <t>56.</t>
  </si>
  <si>
    <t>Izvođač treba biti stručno osposobljen i ovlašten za izvođenje ovakve vrste instalacija</t>
  </si>
  <si>
    <t>57.</t>
  </si>
  <si>
    <t>Na vratima sobe nadzornog centra gdje se smješta vatrodojavna centrala mora se nalaziti tabela sa natpisom “Zabranjen pristup neovlaštenim osobama”.</t>
  </si>
  <si>
    <t>58.</t>
  </si>
  <si>
    <t>Put prilaznog mjesta vatrogasne tehnike do centrale za dojavu požara mora biti označen putokazima D1 i D2.</t>
  </si>
  <si>
    <t>59.</t>
  </si>
  <si>
    <t xml:space="preserve">Potrebna ispitivanja </t>
  </si>
  <si>
    <t xml:space="preserve"> - Atest o izvršenom ispitivanju sustava vatrodojave  od ovlaštene institucije</t>
  </si>
  <si>
    <t xml:space="preserve"> - Atesti opreme i ispitivanja za sve grupe i elemente pojedinih grupa tehničke zaštite od ovlaštene tvrtke koja ima registraciju i ovlaštenje MUP-a za djelatnosti tehničke zaštite.</t>
  </si>
  <si>
    <t>60.</t>
  </si>
  <si>
    <t>61.</t>
  </si>
  <si>
    <t>62.</t>
  </si>
  <si>
    <t>Prvo ispitivanje ili ispitivanje preuzimanja provodi se prije puštanja u pogon novo izvedenog sustava za dojavu požara.</t>
  </si>
  <si>
    <t>63.</t>
  </si>
  <si>
    <t>Prvo ispitivanje obavlja ovlaštena pravna osoba na način propisan “Pravilnikom o uvjetima za obavljanje ispitivanja stabilnih sustava za dojavu i gašenje požara.”</t>
  </si>
  <si>
    <t>64.</t>
  </si>
  <si>
    <t>Prije započinjanja ispitivanja moraju se upozoriti sve osobe koje bi mogle automatski primiti signale za dojavu požara ili smetnji da je ispitivanje u tijeku.</t>
  </si>
  <si>
    <t>65.</t>
  </si>
  <si>
    <t>Po završetku ispitivanja moraju se upozoriti sve osobe da je ispitivanje završeno.</t>
  </si>
  <si>
    <t>66.</t>
  </si>
  <si>
    <t>Ispitivanje automatskih javljača obavlja se na mjestu ugradnje i uključuje sve javljače u sustavu.</t>
  </si>
  <si>
    <t>67.</t>
  </si>
  <si>
    <t>Preuzimanje sustava za dojavu požara od strane korisnika obavlja se sukladno protokolu o preuzimanju i utvrđuje se zapisnički.</t>
  </si>
  <si>
    <t>68.</t>
  </si>
  <si>
    <t xml:space="preserve">1. U svakoj stavci nuditi konkretni proizvod (opremu) specificiranu ovim troškovnikom.
</t>
  </si>
  <si>
    <t>4. Prije davanja ponude obavezno proučiti tehnički opis i grafički dio, te u slučaju nejasnoća, konzultirati se sa naručiteljem.</t>
  </si>
  <si>
    <t>Sve stavke specifikacije podrazumijevaju dobavu i montažu opreme, kao i polaganje i spajanje kabela, te dovođenje predmetne instalacije u funkciju.
Sva oprema mora biti renomiranih proizvođača i imati ateste na hrvatskom jeziku</t>
  </si>
  <si>
    <t>SUSTAV ZA DOJAVU POŽARA</t>
  </si>
  <si>
    <t>Karakteristike elemenata u opisima troškovničkih stavki predstavljaju minimalne karakteristike koje isti moraju zadovoljiti. Dopustiva je izgradnja sustava od elemenata jednakih, ili boljih karakteristika. Ponuditelji karakteristike elemenata dokazuju dostavom originalnih tehničkih listova za ponuđenu opremu. Za sve stavke opreme dozvoljeno je odstupanje karakteristika ± 5% od nazivne vrijednosti, osim ako je drugačije definirano u opisu pojedine troškovničke stavke.</t>
  </si>
  <si>
    <t xml:space="preserve">Dobava, montaža i spajanje standardnog podnožja javljača požara sljedećih minimalnih karakteristika:
- mogućnost zaključavanja podnožja radi sprečavanja neovlaštenog skidanja javljača
- ugrađen konektor za povezivanje paralelnog indikatora prorade javljača
- ugrađena pločica za označavanje adrese javljača
- radna temperatura minimalno u rasponu od -30°C do +70°C 
</t>
  </si>
  <si>
    <t>Dobava i isporuka modula serverske aplikacije za prikaz i korištenje geografskih mapa - GIS mapa sljedećih karakteristika:
- omogućava korištenje interaktivnih georeferenciranih GIS karti za prikaz elemenata sustava
- podrška za korištenje u desktop aplikaciji ili putem web sučelja
- mogućnost korištenja baznih podloga karti iz različitih offline ili online izvora (OpenStreetMaps, BingMaps, HereMaps, GoogleMaps, etc.)
- mogućnost postavljanja tlocrtnih prikaza objekata izravno na GIS mapu iz CAD formata 
- mogućnost učitavanja više etaža odnosno katova istog objekta na GIS kartu u kojem slučaju će se pojaviti novi izbornik za odabir etaže za prikaz
- mogućnost dodavanja svih elemenata sustava (objekata, uređaja, zona, detektora itd.) izravno na GIS mapu sa adekvatnom ikonom i rotacijom ikone
- mogućnost definiranja minimalnih i maksinalnih nivoa uvećanja (zoom level) pri kojima se pojedini elementi ili tlocrti prikazuju
- mogućnsot vezivanja pojedinih elemenata mape za nivoe uvećanja ili za prikaz pojedinog tlocrta (primjerice ako se pregledavaju elementi sustava po etažama nekog objekta)
- mogućnost unosa poligona za prikaz zona štićenja (particija) učitavnjem CAD datoteke ili ucrtavanjem područja izravno poomću dostupnog alata za uređivanje karte
- mogućnost pristupa detaljima pojedinog elementa karte te korištenja akcija nad elementima izravno sa sučelja GIS karte (npr. postavi zaštitu, prikaži video itd.)
- mogućnost upravljanja izvršnim elementima sustava odabirom elementa izravno sa GIS karte (npr. otvaranje vrata, aktivacija izlaznog releja itd.)
- dinamički prikaz statusa pojedonog elementa karte (objekta, uređaja, zone itd.) korištenjeme različitih boja ikona čime se simboliziraju statusi elementa ( zona onemogućena, greška, alarm itd.)
- automatsko pozicioniranje karte na određeni element u slučaju alarma sukladno postavljenim pravilima i prioritetima
- pristup svakom elementu sustava preko njegove ikone na mapi,
- prikaz mape sustava s vizualnom naznakom i zumiranjem elementa na kojem se javio alarm</t>
  </si>
  <si>
    <t>Licenca za povezivanje elemenata sustava za dojavu požara na centralnu aplikaciju za integraciju sustava  vatrodojave
• uključena licenca za povezivanje jedne vatrodojavne centrale za 100 elemenata</t>
  </si>
  <si>
    <t>Nabava, isporuka i polaganje kabela  u pripremljene kabelske trase
- NHXH-J FE180/E30 3x2,5 RE
 - predvidjeti rad na većim visinama te potreban alat (skela)</t>
  </si>
  <si>
    <t>Nabava, isporuka i polaganje kabela u pripremljene kabelske trase
- JB-Y(St)Y 2x2x0,8 mm
 - predvidjeti rad na većim visinama te potreban alat (skela)</t>
  </si>
  <si>
    <t>Nabava, isporuka i polaganje kabela u pripremljene kabelske trase
- JE-H(St)H 2x2x0,8 mm FE180/E30
 - predvidjeti rad na većim visinama te potreban alat (skela)</t>
  </si>
  <si>
    <t>Nabava, isporuka i podžbukno polaganje samogasivih ERC  cijevi uključujući potrebni instalacijski spojni i montažni pribor i materijal (tiple, vijci, koljena, obujmice i vezice) te s izvedbom potrebnih prodora
- Ø 20 mm</t>
  </si>
  <si>
    <t>Nabava, isporuka i polaganje samogasivih PNT cijevi 16 mm uključujući potrebni negorivi instalacijski spojni i montažni pribor i materijal E 90 (tiple, vijci, koljena, obujmice i vezice) te s izvedbom potrebnih prodora
- Ø 20 mm</t>
  </si>
  <si>
    <t>Dobava i montaža mase za brtvljenje prodora vatrodojavnog kabela (veličine 25 cm2) na granici protupožarnih sektora:
Karakteristike za jednakovrijednost:
Certifikat u skladu sa: EN 1366-3 (protupožarne pregrade) - EN 13501-2 / klasifikacijska izvješća ÖNORM B 3807 ili jednakovrijedna.</t>
  </si>
  <si>
    <t>Nabava, isporuka i ugradnja potrebnog instalacijskog spojnog i montažnog pribora i materijala.</t>
  </si>
  <si>
    <t xml:space="preserve">Dobava potrebnih oznaka i pribora (natpisne pločice, naljepnice i sl.) i označavanje svih elemenata vatrodojavnog sustava prema blok shemi.
</t>
  </si>
  <si>
    <t xml:space="preserve">Importiranje podloge objekta napravljene u AutoCad-u u glavnu nadzornu aplikaciju. Integracija dodatnih grafičkih prikaza tlocrta objekta u SHP formatu u aplikaciju te pozicioniranje na nacrtima svih ulaznih točaka sustava za dojavu požara.
</t>
  </si>
  <si>
    <t>Ispitivanje instalacije sustava za dojavu požara i puštanje u pogon
 - završne prilagodbe
 - podešavanje parametara sustava u cjelini
 - testiranje
 - puštanje sustava u pogon do pune funkcionalnosti</t>
  </si>
  <si>
    <t>Programiranje vatrodojavne centrale s unošenjem korisničkih podataka</t>
  </si>
  <si>
    <t>Obuka djelatnika sa zapisnikom o obavljenoj obuci, te isporuka dokumentacije za uporabu na hrvatskom jeziku</t>
  </si>
  <si>
    <t>Primopredaja sustava korisniku s kompletnom programskom dokumentacijom</t>
  </si>
  <si>
    <t>Izrada projekta izvedenog stanja (3 primjerka na papiru +1 u elektronskom obliku na elektronskom mediju u nezaključanom formatu: doc, xls i dwg)</t>
  </si>
  <si>
    <t xml:space="preserve">Ispitivanje sustava za dojavu požara od strane ovlaštene tvrtke. 
Izdavanje zapisnika i uvjerenja o funkcionalnosti u skladu s Pravilnikom o provjeri ispravnosti stabilnih sustava zaštite od požara (NN br. 44/12)
</t>
  </si>
  <si>
    <t>SUSTAV ZA DOJAVU POŽARA UKUPNO:</t>
  </si>
  <si>
    <t xml:space="preserve">TROŠKOVNIK SUSTAVA VATRODOJAVE
</t>
  </si>
  <si>
    <t>Dobava, montaža i spajanje modula vatrodojavne petlje sljedećih minimalnih karakteristika:
- instalacija u obliku prstena s mogunošću dodavanja grana na petlji bez dodatnih uređaja
- svaki modul u sebi ima integrirane fukcionalnosti mjerenja električnih karakteristika na petlji: otpor, struju petlje, napon na oba kraja a bilo kakva greška se prikazuje na displeju centrale
- modul ima vlastiti procesor (redundancija), tako da je u slučaju zatajenja procesora na vatrodojavnoj centrali osiguran siguran nastavak prepoznavanja alarma u petlji
- potrošnja pri naponu 24 V DC (bez priključenih javljača): maksimalno 25 mA
- mogućnost priključka do minimalno 240 elemenata 
- maksimalna struja petlje do 500 mA</t>
  </si>
  <si>
    <t>Dobava, montaža i spajanje modula za umrežavanje vatrodojavne centrale sljedećih minimalnih karakteristika:
- modul za umrežavanje vatrodojavne centrale s drugim uređajima / centralama
-integriran redundantni procesor, u slučaju kvara glavnog procesora na mrežnom sučelju redundantni procesor preuzima upravljanje komunikacijom preko mreže
- potrošnja pri naponu 24 V DC: maksimalno 47 mA</t>
  </si>
  <si>
    <t xml:space="preserve">Dobava, montaža i spajanje akumulatorske baterije za vatrodojavnu centralu sljedećih minimalnih karakteristika:
- akumulatorska baterija 12V, 40 Ah
- zatvorena izvedba, bez održavanja
</t>
  </si>
  <si>
    <t>Dobava, montaža i spajanje paralelnog upravljačkog tabloa slijedećih minimalnih karakteristika:
- nadzorno-upravljački tablo za dlajinsko očitavanje alarma i upravljanje sustavom za dojavu požara
- povezivanje s vatrodojavnom centralom putem redundantnog mrežnog sučelja
- upravljanje i prikaz svih događaja u mreži
- ugrađen 5.7“ 1/4 VGA grafički displej prikazuje sve trenutne događaje u sustavu
- potrošnja struje u mirovanju: maksimalno 60 mA
- potrošnja struje u alarmu: maksimalno 120 mA
- napajanje preko vatrodojavne centrale, mogućnost napajanja putem Cat.5 kabela do udaljenosti minimalno 1200 m od centrale
- maksimalne dimenzije ŠxVxD: 220 x 400 x 40 mm
- stupanj zaštite kućišta: minimalno IP30
- radna temperatura minimalno u rasponu od -20°C do +60°C</t>
  </si>
  <si>
    <t xml:space="preserve">Dobava, montaža i spajanje adresabilnog optičkog javljača požara sljedećih minimalnih karakteristika:
- optička tehnologija detekcije na temelju raspršene svjetlosti
- mogućnost odabira do 4 razine osjetljivosti s vatrodojavne centrale
- ugrađen algoritam za automatsku kompenzaciju onečišćenja senzoraskog sustava
- ugrađena zaštitna mrežica za fizičku zaštitu od prašine i insekata
- mogućnost adresiranja pomoću jedinice za programiranje ili automatski izravno s vatrodojavne centrale
- konstantna komunikacija između centrale i detektora osigurava periodičko testiranje detektora
- integriran dvostruki izolator koji odspaja petlju u slučaju kratkog spoja
- ugrađena dva višebojna LED indikatora za signalizaciju stanja javljača,  s vidljivošću iz svih smjerova (360°) 
- ugrađen izlaz sa povezivanje paralelnig indikatora prorade javljača 
- potrošnja struje u mirovanju: maksimalno 160 μA
- potrošnja struje u alarmu: maksimalno 6 mA
- radna temperatura minimalno u rasponu od -30°C do +70°C 
- stupanj zaštite kućišta: minimalno IP40
- kućište bijele boje
</t>
  </si>
  <si>
    <t xml:space="preserve">Dobava, montaža i spajanje adresabilnog termičkog javljača požara sljedećih minimalnih karakteristika:
- tehnologija na temelju detekcije topline
- mogućnost odabira 2 načina rada: kao detektor brzine porasta temparature s maksimalnom temperaturom od 58°C ili kao detektor maksimalne topline s temperaturom alarma od 78°C, programiranje s vatrodojavne centrale
- ugrađen algoritam za automatsku kompenzaciju onečišćenja senzoraskog sustava
- mogućnost adresiranja pomoću jedinice za programiranje ili automatski izravno s vatrodojavne centrale
- konstantna komunikacija između centrale i detektora osigurava periodičko testiranje detektora
- integriran dvostruki izolator koji odspaja petlju u slučaju kratkog spoja
- ugrađena dva višebojna LED indikatora za signalizaciju stanja javljača,  s vidljivošću iz svih smjerova (360°) 
- ugrađen izlaz sa povezivanje paralelnog indikatora prorade javljača 
- potrošnja struje u mirovanju: maksimalno 160 μA
- potrošnja struje u alarmu: maksimalno 6 mA
- radna temperatura minimalno u rasponu od -30°C do +70°C 
- stupanj zaštite kućišta: minimalno IP40
- kućište bijele boje
</t>
  </si>
  <si>
    <t xml:space="preserve">Dobava, montaža i spajanje adresabilnog nadzorno-upravljačkog modula sustava sljedećih minimalnih karakteristika:
- ugrađena minimalno 4 neovisna nadzirana ulaza za nadzor drugih uređaja
- ugrađena minimalno 4 relejna izlaza za upravljanje drugim uređajima
- integriran dvostruki izolator koji odspaja petlju u slučaju kratkog spoja
- ugrađena dva višebojna LED indikatora za signalizaciju stanja modula
- potrošnja struje u normalnom radu: maksimalno 300 μA
- potrošnja struje LED indikatora: maksimalno 6 mA
- mogućnost opterećenja releja: minimalno do 2A uz 30 VDC ili 0,5A uz 125 VAC
- radna temperatura minimalno u rasponu od -30°C do +70°C 
- uključeno kućište za nadžbuknu ugradnju modula sa stupnjem zaštite minimalno IP65
</t>
  </si>
  <si>
    <r>
      <rPr>
        <b/>
        <sz val="12"/>
        <rFont val="Arial"/>
        <family val="2"/>
        <charset val="238"/>
      </rPr>
      <t xml:space="preserve">TROŠKOVNIK ELEKTROINSTALACIJA
 </t>
    </r>
    <r>
      <rPr>
        <b/>
        <sz val="12"/>
        <color rgb="FFFF0000"/>
        <rFont val="Arial"/>
        <family val="2"/>
        <charset val="238"/>
      </rPr>
      <t xml:space="preserve">
</t>
    </r>
  </si>
  <si>
    <t>1_TROŠKOVNIK</t>
  </si>
  <si>
    <t>GRAĐEVINSKO-OBRTNIČKIH RADOVA</t>
  </si>
  <si>
    <t>GLAVNI PROJEKTANT:</t>
  </si>
  <si>
    <t>Mate Žagar, dipl.ing.građ.</t>
  </si>
  <si>
    <t>TENDER TROŠKOVNIK</t>
  </si>
  <si>
    <t>SVEUKUPNA REKAPITULACIJA ZGRADA 3</t>
  </si>
  <si>
    <t>SVEUKUPNO</t>
  </si>
  <si>
    <t>PDV 25%:</t>
  </si>
  <si>
    <t>SUSTAV ZA DOJAVU POŽARASVEUKUPNO:</t>
  </si>
  <si>
    <t>GRAĐEVINSKO-OBRTNIČKI RADOVI</t>
  </si>
  <si>
    <t>VODOVOD I KANALIZACIJA</t>
  </si>
  <si>
    <t>STROJARSKE INSTALACIJE</t>
  </si>
  <si>
    <t>ELEKTROINSTALACIJE</t>
  </si>
  <si>
    <t>VATRODOJAVA</t>
  </si>
  <si>
    <t>Gajeva 47, 10000 Zagreb, tel. 01/49 22 345, fax. 01/49 22 332, e-mail arhingtrade@arhingtrad.tcloud.hr</t>
  </si>
  <si>
    <t>Stjepana i Antuna Radića 36, 44 000 Sisak</t>
  </si>
  <si>
    <t xml:space="preserve">U SKLOPU DOMOBRANSKE VOJARNE U SISKU </t>
  </si>
  <si>
    <t>na k.č.br. 718/1, k.o. Novi Sisak, Lađarska ulica 28A</t>
  </si>
  <si>
    <t>Vrsta i naziv projekta:</t>
  </si>
  <si>
    <t>TROŠKOVNIK</t>
  </si>
  <si>
    <t>INSTALACIJE VODOVODA I KANALIZACIJE</t>
  </si>
  <si>
    <t xml:space="preserve">TROŠKOVNIK VODOVODA I KANALIZACIJE </t>
  </si>
  <si>
    <t>RAZVOD UNUTAR OBJEKTA</t>
  </si>
  <si>
    <t>A/</t>
  </si>
  <si>
    <t>VODOVOD</t>
  </si>
  <si>
    <t>Nabava, dobava  i ugradnja cijevi od tvrdog polietilena visoke gustoće PE-80 (PEHD), S 6,3/SDR 13,6 u kvaliteti prema odredbama normi HRN EN 12201 i HRN EN ISO 3126 ili jednakovrijedna za pogonski tlak 1.0 MPa. Montaža cijevi izvodi se elektrootpornim zavarivanjem elektrospojnicama uz obavezno korištenje alata za ispravljanje ovalnosti cijevi. Montaža uključuje potreban brtveni, spojni materijal i fazone.  Uračunat pregled prije ugradnje, te ispitivanje spojeva.</t>
  </si>
  <si>
    <t>Cijevi se spajaju tipskim elektro-spojnicama sa dvostrukim naglavkom u svemu prema naputku proizvođača cijevi. Cijevi se polažu u rov na pripremljenu posteljicu sukladno normi HRN EN1610  ili jednakovrijedna</t>
  </si>
  <si>
    <t>Stavkom je obuhvaćena dobava, transport i ugradnja cijevi i fazonskih komada (lučnih i čvornih gdje se za njih ukaže potreba), te ispitivanje kao i sav spojni i brtveni materijal, sve za radni tlak PN 10 bara.</t>
  </si>
  <si>
    <t>Ø  50 mm</t>
  </si>
  <si>
    <t>m'</t>
  </si>
  <si>
    <t>Ø  32 mm</t>
  </si>
  <si>
    <t xml:space="preserve">Nabava, dobava i ugradnja vodovodne PPR cijevi  SDR 11, PN 10 sa spojnim i brtvenim materijalom za razvod tople, hladne vode i recirkulacijske vode  unutar građevine. Cijevi se polažu u instalacijski kanal, šliceve izvedene u zidovima objekta, zidne usjeke i proboje kao i pod stropom građevine. 
U cijenu uključiti materijal za pričvršćivanje cijevi (obujmica sa vijkom) pomoću kliznih i čvrstih točaka, cijevi se pričvršćuju svakih cca 0,80m ovisno o profilu i uputama proizvođača. Cijevi se izoliraju izolacijom debljine 6mm. U projektu su navedene nazivne mjere cijevi. 
Kod dopreme cijevi i spojnih komada na gradilište izvođač je obavezan nadzornom inženjeru priložiti dokument, tj. ispitivanje od strane ZAVODA ZA JAVNO ZDRAVSTVO temeljem kojeg se jamči da su cijevi uporabljive za pitku vodu (tj. za ljudsku uporabu) kao i važeću atestnu dokumentaciju prema normi HRN EN ISO 15874-2  ili jednakovrijedna </t>
  </si>
  <si>
    <t>Obračun po m1 komplet dobavljene, ugrađene i ispitane cijevi na tlak od 10 bar-a sa fazonskim komadima. Sav ugrađeni materijal i pribor mora imati odgovarajuće ateste, a ugradnja se mora izvoditi isključivo po uputstvu proizvođača.</t>
  </si>
  <si>
    <t xml:space="preserve">Dimenzije  cijevi date su sa unutarnjim promjerom cijevi. Učvršćenje cijevnih vodova za zidnu i stropnu konstrukciju izvesti pomoću obujmica.Stavkom je obuhvaćena dobava, transport u ugradnja cijevi i fazonskih komada po m1 ugrađene cijevi te ispitivanje.                                         </t>
  </si>
  <si>
    <t>Ø   20 mm</t>
  </si>
  <si>
    <t>Ø   15 mm</t>
  </si>
  <si>
    <t>Ø   25 mm</t>
  </si>
  <si>
    <t>Dobava, donos i montaža metalnih cijevi izrađenih iz izvana i iznutra pocinčanog C-čelika sukladno HRN EN 10305 E220 ili jednakovrijedna sa spajanjem spojnim komadima iz galvanski pocinčanog C-čelika,  za glavni hidrantski razvod-mokri. Stavka obuhvaća sve potrebne spojnice, redukcije, T-komade i potrebni pričvrsni i ovjesni materijal.</t>
  </si>
  <si>
    <t>Cijevi izolirati uz prethodni premaz oštećenih i spojnih mjesta antikorozivnim premazom:</t>
  </si>
  <si>
    <t>a)     u zidu i podu – termoizlacijskim cijevima i trakom sa debljinom stijenki od 0,3 mm.</t>
  </si>
  <si>
    <t>b)    u kanalu s gotovim termoizolacijskim cijevima i oblogama sa debljinom stijenki 13 mm.</t>
  </si>
  <si>
    <t>c)     pod stropom – gotove termoizolacijske cijevi sa debljinom stijenki 19 mm.</t>
  </si>
  <si>
    <t>Dimenzije  cijevi date su sa unutarnjim promjerom cijevi. Učvršćenje cijevnih vodova za zidnu i stropnu konstrukciju izvesti pomoću obujmica.Stavkom je obuhvaćena dobava, transport u ugradnja cijevi i fazonskih komada po m1 ugrađene cijevi te ispitivanje.</t>
  </si>
  <si>
    <t>Ø   50 mm</t>
  </si>
  <si>
    <t>Dobava, prijenos i ugradba mjedenih (ljevano željeznih) slobodno protočnih ventila - zasuna, komplet. Ventile montirati kod spoja i na mjestima označenim shemama. Ventile montirati na njima označenom mjestu.</t>
  </si>
  <si>
    <t>Dobava, donos i ugradba mjedenog protočnog ventila sa ugradbenom kapom na navoj. Obračun po komadu komplet ugrađenog ventila sa kapom.</t>
  </si>
  <si>
    <t>Dobava, prijenos i ugradba kutnih ventila za montažu ispod sanitarnih jedinica (UMIVAONIK-2, WC-1, PISOAR-1). Obračun po komadu ugrađenog ventila sa rozetom. Obračun po komadu ugrađenog ventila.</t>
  </si>
  <si>
    <t>Dobava, prijenos i ugradba materijala za pričvršćenje i zavješenje cjevovoda, dvostruke i jednostruke obujmice, perforirana traka, vijci, matice, tipli i dr.</t>
  </si>
  <si>
    <t>kompl.</t>
  </si>
  <si>
    <t>Ispitivanje instalacije na tlak od 15 bara i dezinfekcija cjevovoda otopinom klora.</t>
  </si>
  <si>
    <t>Obračun po komadu komplet ispitane instalacije.</t>
  </si>
  <si>
    <t>Dobava, prijenos i ugradba požarnih hidranata s ormarićem ugrađenim na zid (nadžbukni crveni i kučište i vrata), vel. ormarića 500x500x140, 22,5 kg br. 4110. Ustavku je uključen ormarić s nastavkom Ø 2'', ventil s holenderom Ø 2'', gumirana cijev trevira, dužine 20 m, prifila 52 mm, art. 3100/T sa spojkom i mlaznicom art. br. 4360, te nosačima. Ormarić opremljen sa elktrogrijačem, spojen sa automatskim uključivanjem i isključivanjem, spojen na el.instalaciju. Obračun po komadu kompletno montiranog i opremljenog hidranta Hv Ø 2''</t>
  </si>
  <si>
    <t>INOX vratašca sa staklom.</t>
  </si>
  <si>
    <t>Dobava, prijenos, ugradba i postavljanje ručnih vatrogasnih aparata sa zidnim nosačima S9. Sve komplet sa svim pomočnim materijalom i razmještajem.</t>
  </si>
  <si>
    <t>Izvedba predmeta opreme na hladnu i toplu vodu, sa ventilima Ø 20. Ø 25 i Ø 32, te priključka spremnika tople vode.</t>
  </si>
  <si>
    <t>Obračun po komadu komplet izvedene opreme.</t>
  </si>
  <si>
    <t>Izvedba priključka od vodovodnog okna zaključno do vanjskog cjevovoda.</t>
  </si>
  <si>
    <t>U svemu prema potvrdi na glavni projekt, sa svom opremom (ventili, zaštita za protupovratni tok, te hvatač nečistoće).</t>
  </si>
  <si>
    <t xml:space="preserve">U stavku ulazi iskop zemlje, dobava i montaža cjevovoda sa svim brtvenim materijalom i potrebnim fitinzima, armaturom, izoliranjem, ispitivanjem, zatrpavanjem rova te odvoz preostalog materijala. </t>
  </si>
  <si>
    <t>Obračun po komadu komplet izvdenog priljučka.</t>
  </si>
  <si>
    <t xml:space="preserve">Nabava, dobava i ugradnja smjese za potrebe ispune mjesta prodora vodovodnih cijevi na prolazu kroz požarne sektore kako bi se spriječio prodor vatre u slučaju požara iz sektora uz sektor. Obračun po komadu izvedenih prodora. DV F=90. </t>
  </si>
  <si>
    <t>Funkcionalno ispitivanje  hidrantske mreže, te pribavljanje atesta o zadovoljavanju protupožarnih propisa.</t>
  </si>
  <si>
    <t>UKUPNO VODOVOD:</t>
  </si>
  <si>
    <t>B/</t>
  </si>
  <si>
    <t>KANALIZACIJA</t>
  </si>
  <si>
    <t>Dobava, prijenos i ugradba PVC kanalizacijskih cijevi i fazonskih komada klase SN 8 za horizontalne odvode vanjske i temeljne odvodnje sa debljom stijenkom,prema normi HRN EN  1401-1:2009  ili jednakovrijedna  . Obračun se vrši po m' kompletno montirane cijevi zajedno sa spojnim i pomoćnim materijalom. Fazonski komadi obračunavaju se u 1 m' ugrađenih cijevi.</t>
  </si>
  <si>
    <t>Ø 160 mm</t>
  </si>
  <si>
    <t>Ø 100 mm</t>
  </si>
  <si>
    <t xml:space="preserve">Dobava, prijenos i ugradba PVC  kanalizacijskih cijevi za izvedbu horizontalne odvodnje unutar objekta (sanitarni čvor) iz samogasivih propilenskih cijevi s kolčakom.  </t>
  </si>
  <si>
    <t>Obračun se vrši po m' kompletno montirane, ugrađene i ispitane cijevi zajedno sa svim spojnim i pomoćnim materijalom. Fazonski komadi obračunavanju se kao 1 m' cijevi.</t>
  </si>
  <si>
    <t>Ø 80 mm</t>
  </si>
  <si>
    <t>Ø 50 mm</t>
  </si>
  <si>
    <t>Ø 32 mm</t>
  </si>
  <si>
    <t>Dobava, prijenos i ugradba materijala za pričvršćenje i zavješenje cijevi kanalizacije, obujmice, vijci, matice i dr.</t>
  </si>
  <si>
    <t>Dobava, donos i ugradba  studom za ventilacija. Obračun po komadu ugrađenog studoma .</t>
  </si>
  <si>
    <t xml:space="preserve">Ø 100 mm            </t>
  </si>
  <si>
    <t xml:space="preserve">kom            </t>
  </si>
  <si>
    <t>Dobava, prijenos i ugradba odgovarajućih fazonskih komada za prolaz instalacija odvodnje kroz beton. Cijevi ugraditi u betonske zidove na mjestima ulaza cijevi u objekt, te na mjestima prolaza cijevi kroz grede. Cijevi nakon montaže instalacije popuniti.</t>
  </si>
  <si>
    <t>Ø  160 mm</t>
  </si>
  <si>
    <t>Ø  100 mm</t>
  </si>
  <si>
    <t>Ø  80 mm</t>
  </si>
  <si>
    <t>Dobava, prijenos i ugradba mesinganih poniklanih vratašca u prizemlju kanalskih vertikala. Sva vratašca su montirana na poniklanim usidrenim okvirima vel. 25x30 cm. Obračun sve kompletno po komadu montiranih vratašca zajedno sa bravicom.</t>
  </si>
  <si>
    <t xml:space="preserve">Nabava , dobava i ugradnja krovnog slivnika DN75/110 horizontalni sa toplinski izoliranom stijenkom, grijač sa automatskim reguliranjem topline za direktno spajanje na 230 V mrežu (10–30 Watt), brtvenom prirubnicom i INOX stezaljkom za spajanje sa hidroizolacionim folijama, hvatač lišća d=180 mm. Obračun po komadu komplet ugrađenog slivnika sa svim potrebnim radom i materijalom do potpune gotovosti. </t>
  </si>
  <si>
    <t xml:space="preserve">Ispitivanje kanalizacije na protočnost i nepropusnost spojeva i uređaja uz dobivanje odgovarajućih atesta. Obračun po komadu komplet ispitane kanalizacije. </t>
  </si>
  <si>
    <t>Izrada brtvljenja kroz požarne sektore F=90. Obračun po komadu komplet izvedene brtve                         Ø32 mm - Ø160 mm.</t>
  </si>
  <si>
    <t>Dobava, donos i ugradba kanalica u tuš kabine. Kanalice od 100-120 cm. Kanalice sa sifonom.      Obračun po komadu ugrađene kanalice.</t>
  </si>
  <si>
    <t>Dobava, donos i ugradba podnog sifona.                Obračun po komadu ugrađenog sifona.</t>
  </si>
  <si>
    <t>Dobava, donos i ugradba fazonskih komada Za vertikalnu oborinsku odvodnju.</t>
  </si>
  <si>
    <t>KL-C, KL 1000 mm  Ø100</t>
  </si>
  <si>
    <t>KL-CČ Ø100</t>
  </si>
  <si>
    <t>KL-L87 Ø100/160</t>
  </si>
  <si>
    <t>Nabava, doprema i ugradba  kanalizacijskog PEHD montažnog kontrolnog okna uključivo raznošenje i spuštanje u rov te sav potrebni spojni i brtveni materijal .</t>
  </si>
  <si>
    <t xml:space="preserve">Okno je kružnog presjeka  promjera 80cm. Promjer ulaza je 600 mm. U oknu su tvornički montirane penjalice  od nehrđajučeg materijala. </t>
  </si>
  <si>
    <t>Svako okno se specificira posebno ovisno o dubini okna, broju priključaka te kutu priključenja.  Uključiti  dopremu lijevanoželjeznih kanalskih poklopaca  s pripadajućim okvirom, za opterećenje D400, te njihovu ugradnju na okno. Poklopce treba ugraditi točno u ravnini s niveletom prometnice. Cijena obuhvaća sav  potreban rad i materijal. Provjeru statičke stabilnosti (prometno opterećenje, pritisak tla, uzgon) daje proizvođač montažnih okana.</t>
  </si>
  <si>
    <t>U cijenu uključiti montažu armirano betonske pokrovne ploče te izvesti dobetoniravanje zidova ulaznog otvora radi usklađivanja s niveletom  prometnice, uključivo potrebna oplata i armatura kao i priključka cijevi postojeće kanalizacije uključujući i rezanje postojeće kanalizacije.</t>
  </si>
  <si>
    <t>Obračun po  broju kompletno ugrađenih okana.</t>
  </si>
  <si>
    <t>Izrada odvoda kompletnog predmeta opreme (kuhinja) sa sifonom. Obračun po komadu kompletno izvedenog odvoda.</t>
  </si>
  <si>
    <t>Izvedba priključka na gradsku kanalizaciju. U stavku uračunat sav potreban rad i materijal do potpune gotovosti.</t>
  </si>
  <si>
    <t>UKUPNO KANALIZACIJA:</t>
  </si>
  <si>
    <t>C/</t>
  </si>
  <si>
    <t>SANITARNI UREĐAJI</t>
  </si>
  <si>
    <t>Predviđeni su sanitarni uređaji u skladu s DNSH načelom o održivoj uporabi i zaštiti voda i morskih resursa. Novi uređaji za vodu koji se ugrađuju u skladu su s utvrđenim razinama uštede vode s načelima DNSH.</t>
  </si>
  <si>
    <t xml:space="preserve">U kontekstu uštede vode za javne zgrade, moraju se ugraditi uređaji za vodu koji su u skladu sa: </t>
  </si>
  <si>
    <t>a) slavine za bide, umivaonike i kuhinjske slavine imaju maksimalan protok vode od 6 litara / min;</t>
  </si>
  <si>
    <t>b) kade i tuševi imaju maksimalni protok vode od 8 litara / min;</t>
  </si>
  <si>
    <t xml:space="preserve">c) WC-i, uključujući apartamane, posude i cisterne, imaju puni volumen ispiranja od najviše 6 litara i maksimalni prosječni volumen ispiranja od 3,5 litara; </t>
  </si>
  <si>
    <t>d) pisoari koriste najviše 2 litre / zdjelu / sat, pisoari za ispiranje imaju maksimalani puni volumen ispiranja od 1 litre.</t>
  </si>
  <si>
    <t>NAPOMENA: Svi sanitrni uređaji su po izboru investitora - visoke klase.</t>
  </si>
  <si>
    <t>Prije davanja ponude zatražiti investitora koje će sanitarne uređaje koristiti.</t>
  </si>
  <si>
    <t>Obračun se vrši po komadu potpuno montiranog, funkcionalnog i ispitanog sanitarnog uređaja.</t>
  </si>
  <si>
    <t>Obračun po montiranom kompletu.   40/55 cm</t>
  </si>
  <si>
    <t>2 UM sa zajedničkom nasadnom pločom d=135</t>
  </si>
  <si>
    <t>Dobava, donos i ugradba pisoara sa svom opremom (kutni ventil, isplovni ventil). Pisoari koriste najviše 2 litre / zdjelu / sat, pisoari za ispiranje imaju maksimalni puni volumen ispiranja od 1 litre. Obračun po komadu komplet montiranog pisoara.</t>
  </si>
  <si>
    <t>Dobava, donos i ugradba tuša sa svom opremom.kade i tuševi imaju maksimalani protok vode od 8 litara/min. Obračun po komadu komplet montiranog tuša.</t>
  </si>
  <si>
    <t>Dobava, donos i ugradba kompletne opreme, prema izboru investitora:</t>
  </si>
  <si>
    <t>- ogledalo 610x450cm</t>
  </si>
  <si>
    <t>- držač tekućeg sapuna</t>
  </si>
  <si>
    <t>- držać papira u roli za WC</t>
  </si>
  <si>
    <t>- kutija za držanje papira</t>
  </si>
  <si>
    <t>Dobava, donos i ugradba opreme za invalidski sanitarni čvor. WC sa svom opremom (ogledalo i držači). Umivaonik sa svom opremom, tuš sa svom opremom. Koljeno i prijelazni komadi za odvodnju WC školjke imaju puni volumen ispiranja od najviše 6 litara i maksimalni prosječni volumen ispiranja od 3,5 litara.</t>
  </si>
  <si>
    <t>Obračun po komadu komplet izvedenog sanitarnog čvora za invalide, sa kompletnom opremom sposobno za uporabu.</t>
  </si>
  <si>
    <t>Dobava, donos i ugradba vindabone sa slavinom, ventilima, te sifonom i odvodom. Maksimalnog protoka vode do 6 lit/min.</t>
  </si>
  <si>
    <t>Obračun po komadu komplet izvedene vindabone.</t>
  </si>
  <si>
    <t>UKUPNO SANITARNI UREĐAJI:</t>
  </si>
  <si>
    <t>D/</t>
  </si>
  <si>
    <t xml:space="preserve">Iskop zemlje A, B i C kategorije rovova za polaganje vodovoda i kanalizacije, te objekata s planiranjem dna rova, zatrpavanjem cijevi uz nabijanje, odvoz i razastiranje preostalog materijala. </t>
  </si>
  <si>
    <r>
      <t>Obračun po m</t>
    </r>
    <r>
      <rPr>
        <vertAlign val="superscript"/>
        <sz val="10"/>
        <rFont val="Calibri"/>
        <family val="2"/>
        <charset val="238"/>
        <scheme val="minor"/>
      </rPr>
      <t>3</t>
    </r>
    <r>
      <rPr>
        <sz val="10"/>
        <rFont val="Calibri"/>
        <family val="2"/>
        <charset val="238"/>
        <scheme val="minor"/>
      </rPr>
      <t xml:space="preserve"> u sraslom stanju.</t>
    </r>
  </si>
  <si>
    <r>
      <t>m</t>
    </r>
    <r>
      <rPr>
        <vertAlign val="superscript"/>
        <sz val="10"/>
        <rFont val="Calibri"/>
        <family val="2"/>
        <charset val="238"/>
        <scheme val="minor"/>
      </rPr>
      <t>3</t>
    </r>
  </si>
  <si>
    <t>Izrada pješčane posteljice i nadsloja debljine 10 cm za ležaj cijevi vodovoda i kanalizacije.</t>
  </si>
  <si>
    <t>Nabava doprema i ugradnja prolaznog PP revizijskog okna  napravljano iz tijela okna  cijevi DN 800 prosjećne visine  prema nacrtu, opremljeno  penjalicama.</t>
  </si>
  <si>
    <t xml:space="preserve">Postupak spajanja okana i cijevi izvesti elektrofuzijskim spojnicama integriranim u naglavku cijevi ili gumenom brtvom prema uputama proizvođača cijevi. Okna su predviđena svijetlih visina (od kote poklopca do kote dna). </t>
  </si>
  <si>
    <t>Okna će se ugrađivati slobodno u rov i moraju odgovarati za teški promet vozila (400kN)  s prosječnom dubinom ugradnje prema uzdužnom profilu.</t>
  </si>
  <si>
    <t>Okna se polažu u iskopani i dijelom zapunjeni rov gravitacijskog kanala na pripremljenu pješčanu – šljunčanu podlogu dubine prema uzdužnom profilu, te zasipavaju šljunkom prema normalnom poprečnom profilu i utvrđenim granulacijama materijala sukladno normi HRN EN 1610: 2002  Polaganje i ispitivanje kanalizacijskih cijevi i kanala.</t>
  </si>
  <si>
    <t>Okna moraju imati certifikat proizvoda, kao i izjavu o sukladnosti proizvoda i načina spoja u originalu ili ovjerenoj preslici. Također je potrebno uključiti i izradu AB ploče, prstena i temelja za revizijska okna dimenzija prema tehničkoj dokumentaciji, kao i nabava, doprema i ugradnja lijevanoželjeznih kanalskih poklopaca veličine 600/600 mm (nosivosti 400 KN).</t>
  </si>
  <si>
    <t>Cijena obuhvaća sav rad na izradu kompletnog okna , te sav potreban materijal</t>
  </si>
  <si>
    <t>Obračun po komadu:</t>
  </si>
  <si>
    <t xml:space="preserve"> - prolazno okno DN 800</t>
  </si>
  <si>
    <t xml:space="preserve">Izvedba vodovodnog okna svijetle veličine 100x100x20 cm iz vodonepropusnog betona C 25/30 u potrebnoj glatkoj oplati. Ploču, spoj ploče i zida izolirati da se postigne vodonepropusnost. Penjalice za silaz u okno su iz nehrđajućeg čelika f 20 mm. Nad oknom montirati tipski lijevano željezni poklopac za teški promet (D400KN) vel. 600 x 600 mm sa natpisom "VODOVOD". Dno okna izvesti u padu prema udubini dimenzija 50x50 cm za ispumpavanje vode. </t>
  </si>
  <si>
    <t>Cijena sadrži sve komplet gotovo s dobavom i ugradnjom betona u potrebnoj oplati, izradom i montažom armature, lijevano željeznim poklopcima i penjalicama, PVC zaštitne cijevi DN 110, 160 i 200 mm, PVC cijevi za ispumpavanje vode, za izlaz elektro kabela u zid ubetonirati zaštitnu cijev, te podupore od pune opeke.</t>
  </si>
  <si>
    <t>Zemljani radovi obračunavaju se posebno. Svi ostali radovi, kao i potreban materijal, izrada i montaža armature sadržani su u jediničnoj cijeni okna - sve komplet gotovo.</t>
  </si>
  <si>
    <t xml:space="preserve">Spajanje kanalizacije na revizijsko okno sa umetanjem i ugradnjom PVC spojnog elementa izrađenog iz tvrdog PVC-a,  priključnog komada kao veza između tvrde plastike i betona odnosno betonskih građevina, komplet. U cijenu su uključene: dobava, montaža i ispitivanja spojnog elementa, komplet izvedeno. </t>
  </si>
  <si>
    <t>Ø 200 mm</t>
  </si>
  <si>
    <t>Zatrpavanje rova i oko šahtova nakon montaže i zasipavanje cjevovoda zamjenskim materijalom uz nabijanje u slojevima od 20 cm laganim ručnim nabijačima. Obračun sve kompletno po m3 ugrađenog materijala.</t>
  </si>
  <si>
    <t>Odvoz viška preostale zemlje nakon izvršenih svih zatrpavanja rovova na deponiju udaljenosti do 5 km. U stavku uključiti utovar, transport, istovar i planiranje zemlje na deponiju koju osigurava izvođač radova. Obračun u sraslom stanju.</t>
  </si>
  <si>
    <t>UKUPNO GRAĐEVINSKI RADOVI:</t>
  </si>
  <si>
    <t>VODOVOD:</t>
  </si>
  <si>
    <t>KANALIZACIJA:</t>
  </si>
  <si>
    <t>ANITARNI UREĐAJI:</t>
  </si>
  <si>
    <t>GRAĐEVINSKI RADOVI:</t>
  </si>
  <si>
    <t>RAZVOD IZVAN OBJEKTA</t>
  </si>
  <si>
    <t>Oznaka</t>
  </si>
  <si>
    <t>DEMONTAŽE I RUŠENJA</t>
  </si>
  <si>
    <t>Uklanjanje raznog otpada i demontaža dotrajalih sanitarija (umivaonici, wc školjke i pisoari).</t>
  </si>
  <si>
    <t>kom.</t>
  </si>
  <si>
    <t>Vodonepropusno zatvaranje postojećeg kanala prema rijeci. Zatvaranje se vrši armiranim vodonepropusnim betonom. Klasa betona C25/30 prema normi HRN EN-206-1:2006 ili jednakovrijedno, armatura B500B prema normi HRN 1130 ili jednakovrijedno.  i HRN EN 10080:2005 ili jednakovrijedno, 150kg/m³, v/c faktor max. 0,50, s dopuštenim prodorom vode 15mm. Ispitivanje vodonepropusnosti prema normi HRN EN 12390-8 ili jednakovrijedno. Radove uskladiti sa zahtjevima nadležnog Konzervatorskog odjela. Stavka uključuje sav potreban rad, alat, materijal, pomoćni i dodatni materijal i opremu.</t>
  </si>
  <si>
    <t>DEMONTAŽE I RUŠENJA UKUPNO:</t>
  </si>
  <si>
    <t>VANJSKI RAZVOD VODOVODNIH INSTALACIJA</t>
  </si>
  <si>
    <t>Strojno-ručni iskop rova u terenu za polaganje vodomjernog okna i vrtnog priključka, sukladno s normom HRN EN 1610 ili jednakovrijedno, od priključnog čvora do temelja. Iskop pravilno zasjecati, te postaviti razupiranja za spriječavanje urušavanje rova, a iskopani materijal odbacivati min. 1,0 m od ruba iskopa. Potrebno je ostaviti slobodnu površinu uz rov širine 0,50 m. Radovi moraju teći u potpunoj koordinaciji s montažom cijevi. Sve radove treba uključiti u jediničnu cijenu (kao utovar, potrebni prijevoz i sl.) Obračun po m³ uključujući sav rad, strojeve, alat, materijal, pomoćni i dodatni materijal i opremu.</t>
  </si>
  <si>
    <t>strojno 85%</t>
  </si>
  <si>
    <t>ručno 15%</t>
  </si>
  <si>
    <t xml:space="preserve">Dobava materijala, izrada vodomjernog okna debljine stijenki 25 cm, tlocrtnih dimenzija 200x280 cm iz betona C25/30 prema normi HRN EN-206-1:2006 ili jednakovrijedno, armatura B500B prema normi HRN 1130 ili jednakovrijedno. i HRN EN 10080:2005 ili jednakovrijedno, 150kg/m³, u dvostranoj oplati, a nakon skidanja oplate okno iznutra ožbukati vodonepropusnom cem. žbukom omjera 1:2 i zagladiti do crnog sjaja. Na pokrovnoj ploči postaviti ljevani željezni poklopac, razred opterečenja B125 prema HRN EN 124 ili jednakovrijedno. Na svakih 25 cm ispod poklopca u stijenku ugraditi ljevanoželjezne penjalice. Sve ostalo prema nacrtima uz uputu nadzornog inženjera. Obračun po komadu gotovog okna.
</t>
  </si>
  <si>
    <t>VMO</t>
  </si>
  <si>
    <t xml:space="preserve">Dobava materijala, izrada okna vrtnog priključka debljine stijenki 15 cm, tlocrtnih dimenzija 100x100 cm iz betona C25/30 prema normi HRN EN-206-1:2006 ili jednakovrijedno, armatura B500B prema normi HRN 1130 ili jednakovrijedno i HRN EN 10080:2005 ili jednakovrijedno, 150kg/m³, u dvostranoj oplati, a nakon skidanja oplate okno iznutra ožbukati vodonepropusnom cem. žbukom omjera 1:2 i zagladiti do crnog sjaja. Na pokrovnoj ploči postaviti ljevani željezni poklopac, razred opterečenja B125 prema HRN EN 124 ili jednakovrijednoj. Sve ostalo prema nacrtima uz uputu nadzornog inženjera. Obračun po komadu gotovog okna.
</t>
  </si>
  <si>
    <t>VP1,2</t>
  </si>
  <si>
    <t>Strojno-ručni iskop rova u terenu za polaganje cijevi, sukladno s normom HRN EN 1610 ili jednakovrijednom, te postaviti razupiranja za spriječavanje urušavanje rova, a iskopani materijal odbacivati min. 1,0 m od ruba iskopa. Potrebno je ostaviti slobodnu površinu uz rov širine 0,50 m. Radovi moraju teći u potpunoj koordinaciji s montažom cijevi. Sve radove treba uključiti u jediničnu cijenu (kao utovar, potrebni prijevoz i sl.) Obračun po m³ uključujući sav rad, strojeve, alat, materijal, pomoćni i dodatni materijal i opremu.</t>
  </si>
  <si>
    <t>strojno 95%</t>
  </si>
  <si>
    <t>ručno 5%</t>
  </si>
  <si>
    <r>
      <t>Izvedba posteljice od pijeska granulacije 0-8mm, za polaganje vodovodnih cijevi. Sloj pijeska deb. 10 cm iznad i ispod cijevi razastirati ravnomjerno duž rova. Obračun po m</t>
    </r>
    <r>
      <rPr>
        <vertAlign val="superscript"/>
        <sz val="10"/>
        <rFont val="Calibri"/>
        <family val="2"/>
        <charset val="238"/>
        <scheme val="minor"/>
      </rPr>
      <t>3</t>
    </r>
    <r>
      <rPr>
        <sz val="10"/>
        <rFont val="Calibri"/>
        <family val="2"/>
        <charset val="238"/>
        <scheme val="minor"/>
      </rPr>
      <t xml:space="preserve"> uključujući trasnport, rad, alat, materijal, pomoćni i dodatni materijal i opremu.</t>
    </r>
  </si>
  <si>
    <t>Izrada i brtvljenje prodora u stjenci okna za prolaz vodovodnih cijevi, uključujući zaštitnu cijev, rad, građevinski i brtveni materijal do potpune pogonske gotovosti.</t>
  </si>
  <si>
    <t>Zatrpavanje rovova materijalom od iskopa. Uz postavljanje zaštitnih elemenata i oznaka uključujući zaštite i oznake. Izvoditi u slojevima od 30 cm s nabijanjem. Kod zatrpavanja (kod cijevi) najprije upotrijebiti sitniji materijal. Obračun po m³ zatrpanog rova. Napomena: ukoliko se na lokaciji pokaže loša kvaliteta materijala iz iskopa, te se materijalom iskopa ne može postići potrebna čvrstoća terena ispod, potrebno je ugraditi zamjenski materijal.</t>
  </si>
  <si>
    <t>Dobava i ugradnja trake za označavananje vodovoda i žice za indikaciju trase vodovoda.</t>
  </si>
  <si>
    <t>Sanacija nogostupa nakon spoja sa postojećom uličnom vodovodnom cijevi. Sanacija se izvodi u slojevima kao i kod zatečenog stanja.</t>
  </si>
  <si>
    <t>m²</t>
  </si>
  <si>
    <t>Dobava i montaža lijevanoželjeznog priključnog voda DN 100 mm, PN16 u unaprijed iskopan rov i postavljenu posteljicu, te spoj s postojećim javnim vodovodom. Stavka uključuje sav potreban rad, alat, materijal, pomoćni i dodatni materijal i opremu.</t>
  </si>
  <si>
    <t>Izrada, dobava i montaža fazonskih komada i armatura u vodomjerno okno. U stavku uključeno spajanje fazonskih komada izvan okna, betonske oslonce, kao i sav spojni pribor, potreban rad, alat, materijal, pomoćni i dodatni materijal i opremu.</t>
  </si>
  <si>
    <t>FFG DN100, l=200mm</t>
  </si>
  <si>
    <t>FFG DN100, l=700mm</t>
  </si>
  <si>
    <t>Lijevanoželjezni nepovratni ventil DN100, PN16, prema normi HRN EN 12334 ili jednakovrijednoj</t>
  </si>
  <si>
    <t>Eliptični ventil DN100, PN16, prema normi HRN EN 1171 ili jednakovrijednoj</t>
  </si>
  <si>
    <t>e)</t>
  </si>
  <si>
    <t>Eliptični ventil DN50, PN10, prema normi HRN EN 1171 ili jednakovrijednoj</t>
  </si>
  <si>
    <t>f)</t>
  </si>
  <si>
    <t>Eliptični ventil DN32, PN10, prema normi HRN EN 1171 ili jednakovrijednoj</t>
  </si>
  <si>
    <t>g)</t>
  </si>
  <si>
    <t>h)</t>
  </si>
  <si>
    <t>Hvatač nečistoča DN100, PN16.</t>
  </si>
  <si>
    <t>i)</t>
  </si>
  <si>
    <t>MDK-A komad, DN100, PN16</t>
  </si>
  <si>
    <t>j)</t>
  </si>
  <si>
    <t>T komad DN100/50</t>
  </si>
  <si>
    <t>k)</t>
  </si>
  <si>
    <t>Q komad DN100, PN16</t>
  </si>
  <si>
    <t>l)</t>
  </si>
  <si>
    <t>Redukcija DN50/32</t>
  </si>
  <si>
    <t>m)</t>
  </si>
  <si>
    <t>Redukcija DN50/25</t>
  </si>
  <si>
    <t>n)</t>
  </si>
  <si>
    <t>Obračunski vodomjer PN16 mjerno područje Qn=1,60-160m³/h; promjer DN100 mm sa spojnim i ovjesnim priborom</t>
  </si>
  <si>
    <t>o)</t>
  </si>
  <si>
    <t>Obračunski vodomjer mjerno područje Qn=16m³/h; promjer DN40 PN10 sa spojnim i ovjesnim priborom</t>
  </si>
  <si>
    <t>p)</t>
  </si>
  <si>
    <t>Obračunski vodomjer mjerno područje Qn=6,3m³/h; promjer DN25 PN10 sa spojnim i ovjesnim priborom</t>
  </si>
  <si>
    <t>r)</t>
  </si>
  <si>
    <t>Nabava, doprema i ugradba vodovodnih polietilenskih cijevi PE 100, za radni tlak PN 16 bara, SDR 11, na dubini za sprječavanje smrzavanja. U cijenu je uračunat sav materijal potreban za montažu, uključivo brtve, sredstvo za podmazivanje, zasunske ventile na granama, materijal i oprema potrebni za zavarivanje, betonska uporišta, lučne komade, kao i sav ostali spojni pribor, potreban rad, alat, materijal, pomoćni i dodatni materijal i opremu do potpune funkcionalnosti i uporabljivosti instalacije.</t>
  </si>
  <si>
    <t>DN 125 mm</t>
  </si>
  <si>
    <t>DN 110 mm</t>
  </si>
  <si>
    <t>DN 90 mm</t>
  </si>
  <si>
    <t>DN 75 mm</t>
  </si>
  <si>
    <t>DN 63 mm</t>
  </si>
  <si>
    <t>Nabava, doprema i ugradba vodovodnih polietilenskih cijevi PE 100, za radni tlak PN 10 bara, SDR 17, na dubini za sprječavanje smrzavanja. U cijenu je uračunat sav materijal potreban za montažu, uključivo brtve, sredstvo za podmazivanje, zasunske ventile na granama, materijal i oprema potrebni za zavarivanje, betonska uporišta, lučne komade, kao i sav ostali spojni pribor, potreban rad, alat, materijal, pomoćni i dodatni materijal i opremu do potpune funkcionalnosti i uporabljivosti instalacije.</t>
  </si>
  <si>
    <t>DN 50 mm</t>
  </si>
  <si>
    <t>DN 32 mm</t>
  </si>
  <si>
    <t>DN 25 mm</t>
  </si>
  <si>
    <t>Nabava, doprema i ugradba vodovodnih polietilenskih cijevi PE 100, za radni tlak PN 10 bara, SDR 17, izoliranih ekspandiranim elastomerom minimalno 2/3 promjera cjevi, temperaturne otpornosti 95°. U cijenu je uračunat sav materijal potreban za montažu, uključivo brtve, sredstvo za podmazivanje, zasunske ventile na granama,  materijal i oprema potrebni za zavarivanje, betonska uporišta, lučne komade, kao i sav ostali spojni pribor, potreban rad, alat, materijal, pomoćni i dodatni materijal i opremu do potpune funkcionalnosti i uporabljivosti instalacije.</t>
  </si>
  <si>
    <t>DN 40 mm</t>
  </si>
  <si>
    <t>Nabava, doprema i ugradba vanjskih nadzemnih hidranata DN100 PN16 prema DIN 3222 ili jednakovrijednoj. Stavka uključuje hidrant, armature, fazonske komade, ormarić sa priborom za predmetni hidrant kompletno opremljen, te spojni i ovjesni pribor, do potpune funkcijonalnosti.</t>
  </si>
  <si>
    <t>Izrada i brtvljenje prodora u vodomjernom AB oknu oknu vrtnog priključka, uključujući zaštitnu cijev, rad, građevinski i brtveni materijal do potpune pogonske gotovosti.</t>
  </si>
  <si>
    <t>Izrada priključka s glavnim uličnim vodovodom prema Općim i tehničkim uvjetima i odobrenju nadležne institucije. Stavka uključuje sav potreban materijal, opremu za ugradnju kao i za regulaciju prometa, sanaciju slojeva prometnice uz suglasnost nadležnih institucija. Obračun po komadu spoja.</t>
  </si>
  <si>
    <t>Nabava, doprema i ugradba vanjskog podzemnog hidranata DN80 PN16 prema DIN 3222 ili jednakovrijednoj. Stavka uključuje spoj s javnim vodovodom i koordinacija s javnopravnim tijelom, kao i  hidrant, armature, fazonske komade, te spojni i ovjesni pribor, do potpune funkcijonalnosti.</t>
  </si>
  <si>
    <t>Geodetsko snimanje postavljenih cjevovoda, prije zatrpavanja, te predaja snimke Investitoru u digitalnoj kopiji.</t>
  </si>
  <si>
    <t>Odvoz zemljanog materijala koji je ostao od iskopa. Uračunati utovar, istovar, prijevoz i odvoz na deponiju, po m³ koef.rastresitosti 1,25.</t>
  </si>
  <si>
    <t>m³</t>
  </si>
  <si>
    <t>Dovođenje terena oko zone radova u prvobitno stanje. Stavka uključuje sav potreban rad, alat, transport, osnovni i pomoćni materijal do potpune gotovosti.</t>
  </si>
  <si>
    <t>VANJSKI RAZVOD VODOVODNIH INSTALACIJA UKUPNO:</t>
  </si>
  <si>
    <t>VANJSKI RAZVOD KANALIZACIJE I ODVODNJE</t>
  </si>
  <si>
    <t>Geodetsko snimanje trasa vanjske kanalizacije i odvodnje s nanošenjem važnijih visinskih i horizontalnih točaka prije izvođenja s kontrolom za vrijeme izvođenja radova.</t>
  </si>
  <si>
    <t>Strojno-ručni iskop rova u terenu za polaganje kanalizacijskih i drenažnih cijevi, kontrolnih kao i revizijskih okna, sukladno s normom HRN EN 1610 ili jednakovrijednom. Iskop pravilno zasjecati, te postaviti razupiranja za spriječavanje urušavanje rova, a iskopani materijal odbacivati min. 1,0 m od ruba iskopa. Potrebno je ostaviti slobodnu površinu uz rov širine 0,50 m. Radovi moraju teći u potpunoj koordinaciji s montažom cijevi. Sve radove treba uključiti u jediničnu cijenu (kao utovar, potrebni prijevoz i sl.) Obračun po m³ uključujući sav rad, strojeve, alat, materijal, pomoćni i dodatni materijal i opremu.</t>
  </si>
  <si>
    <t>Dobava materijala, izrada kontrolnog okna debljine stijenki 25 cm iz betona C25/30 prema normi HRN EN-206-1:2006 ili jednakovrijedno, tlocrtnih dimenzija 190x150cm. U cijenu okna uračunati dvostranu daščanu oplatu, armaturu tipa B500B prema normi HRN 1130 ili jednakovrijedno i HRN EN 10080:2005 ili jednakovrijedno, 150kg/m³, a nakon skidanja oplate okno iznutra ožbukati vodonepropusnom cem. žbukom omjera 1:2 i zagladiti do crnog sjaja. Na pokrovnoj ploči postaviti ljevani željezni poklopac, razred opterečenja B125 prema HRN EN 124 ili jednakovrijednoj. Na svakih 25 cm ispod poklopca u stijenku ugraditi ljevanoželjezne penjalice. Sve ostalo prema nacrtima uz uputu nadzornog inženjera. Obračun po komadu gotovog okna.</t>
  </si>
  <si>
    <t>KO1,2-AB</t>
  </si>
  <si>
    <t>Dobava materijala, izrada revizijskog okna debljine stijenki 20 cm iz betona C20/25 prema normi HRN EN-206-1:2006 ili jednakovrijedno, tlocrtnih dimenzija 160x120cm. U cijenu okna uračunati dvostranu daščanu oplatu, armaturu tipa B500B prema normi HRN 1130 ili jednakovrijedno i HRN EN 10080:2005 ili jednakovrijedno, 150kg/m³, a nakon skidanja oplate okno iznutra ožbukati vodonepropusnom cem. žbukom omjera 1:2 i zagladiti do crnog sjaja. Na pokrovnoj ploči postaviti ljevani uljni željezni poklopac, razred opterečenja B125 prema HRN EN 124 ili jednakovrijednoj. Na svakih 25 cm ispod poklopca u stijenku ugraditi ljevanoželjezne penjalice. Sve ostalo prema nacrtima uz uputu nadzornog inženjera. Obračun po komadu gotovog okna.</t>
  </si>
  <si>
    <t>RO-AB</t>
  </si>
  <si>
    <t>Dobava i ugradnja mastolova u obliku rezervervara volunema 3500l za protok minimalno 6l/s, napravljen u skladu s EU standardima SIST EN 1825-1 i DIN 4040 ili jednakovrijedno. Mastolov se postavlja na pječćanu posteljicu debljine 10cm, veličine zrna max 8mm, zbijenu na 40MN/m². U stavku je uključena sanacija okolnog terena i dovođenje istog u prvobitno stanje, kao i  sav potreban rad, alat, materijal, pomoćni i dodatni materijal i opremu do potpune pogonske gotovosti.</t>
  </si>
  <si>
    <t>SM</t>
  </si>
  <si>
    <t>Crpljenje vode iz rova i građevinskih jama muljnom crpkom kod zemljanih i montažerskih radova ili usljed oborina. U cijenu uključen sav potreban rad, alat, materijal, pomoćni i dodatni materijal i opremu. Obračun po satu rada prema stvarnim količinama ovjerenih od nadzornog inž</t>
  </si>
  <si>
    <t>Planiranje dna jarka kanalizacije i okana do određene kote prema visinskim potrebama i crtežima s izbacivanjem suvišnog materijala iz jarka. Potrebna točnost kote dna +/- 1cm. Uključujući odbacivanje viška zemlje min 1m od kanala.</t>
  </si>
  <si>
    <t>Nabava, doprema i montaža PE modularnog revizijskog kanalizacijskih okna, uključivo raznošenje i spuštanje u rov te potrebni spojni i brtveni materijal. PE modularna kanalizacijska okna moraju zadovoljiti HR EN 13598-2 2009 ili jednako vrijedno. Obodna krutost cijevi je SN 8 prema EN ISO 9969 ili jednakovrijedno. Okno je promjera DN 800 mm, a dubine do 2,5m. Okno sa sastoji od dna okna s kinetom (standardne nivelete pada od 2%), tijela okna koje je s vanjske strane poprečno orebreno. S unutrašnje su PE  penjalice i to 3 kom/m. Spoj okna i kanalizacijske cijevi vrši se s posebnim spojnim komadom za cijevi s gumenom brtvom. U cijenu uračunati dodatne prodore za kanalizacijske vodove s brtvenim materijalom. Stavkom je obuhvaćena nabava i ugradnja tipskih samonivelirajućih uljnih željeznih poklopaca za ugradnju u prometnoj površini nazivnog otvora DN 625 razred nosivosti B125 prema normi HRN EN 124 ili jednakovrijedno. U cijeni je uključen sav potreban rad, alat, materijal, pomoćni i dodatni materijal i opremu do potpune pogonske gotovosti.</t>
  </si>
  <si>
    <t>RO-PE</t>
  </si>
  <si>
    <t>Nabava, doprema i montaža PE modularnog revizijskog kanalizacijskih okna, uključivo raznošenje i spuštanje u rov te potrebni spojni i brtveni materijal. PE modularna kanalizacijska okna moraju zadovoljiti HR EN 13598-2 2009 ili jednakovrijedno. Obodna krutost cijevi je SN 8 prema EN ISO 9969 ili jednakovrijedno. Okno je promjera DN 800 mm, a dubine do 2,5m. Okno sa sastoji od dna okna s kinetom (standardne nivelete pada od 2%), tijela okna koje je s vanjske strane poprečno orebreno. S unutrašnje su PE  penjalice i to 3 kom/m. Spoj okna i kanalizacijske cijevi vrši se s posebnim spojnim komadom za cijevi s gumenom brtvom. U cijenu uračunati dodatne prodore za kanalizacijske vodove s brtvenim materijalom. Stavkom je obuhvaćena nabava i ugradnja tipskih željeznih kanalskih rešetki u prometnoj površini nazivnog otvora B 125 razred nosivosti B125 prema normi HRN EN 124 ili jednakovrijedno. U cijeni je uključen sav potreban rad, alat, materijal, pomoćni i dodatni materijal i opremu do potpune pogonske gotovosti.</t>
  </si>
  <si>
    <t>Nabava, doprema i montaža PE modularnog revizijskog kanalizacijskih okna, uključivo raznošenje i spuštanje u rov te potrebni spojni i brtveni materijal. PE modularni dvorišni slivnici moraju zadovoljiti HR EN 13598-2 2009 ili jednako vrijedno. Obodna krutost cijevi je SN 8 prema EN ISO 9969 ili jednakovrijedno. Okno je promjera DN 400 mm, a dubine do 1,5m. Okno sa sastoji od dna okna s kinetom (standardne nivelete pada od 2%), tijela okna koje je s vanjske strane poprečno orebreno. S unutrašnje su PE  penjalice i to 3 kom/m. Spoj okna i kanalizacijske cijevi vrši se s posebnim spojnim komadom za cijevi s gumenom brtvom. U cijenu uračunati dodatne prodore za kanalizacijske vodove s brtvenim materijalom. Stavkom je obuhvaćena nabava i ugradnja tipskih željeznih kanalskih rešetki za ugradnju u prometnoj površini nazivnog otvora DN 625 razred nosivosti B125 prema normi HRN EN 124 ili jednakovrijedno. U cijeni je uključen sav potreban rad, alat, materijal, pomoćni i dodatni materijal i opremu do potpune pogonske gotovosti.</t>
  </si>
  <si>
    <t>DS-PE</t>
  </si>
  <si>
    <t>Izrada i brtvljenje prodora u kontrolnom i revizijskom AB oknu za prolaz kanalizacijske i oborinske cijevi, uključujući zaštitnu cijev, rad, građevinski i brtveni materijal do potpune pogonske gotovosti.</t>
  </si>
  <si>
    <t>Dobava i ugradnja linijske kanalice od smjese betona i mineralnih vlakana, svjetle širine 200mm, s pocinčanim pokrovnim rešetkama razreda opterećenja D400 prema normi HRN EN 124 ili jednakovrijedno. U cijenu je uključen podložni beton klase C20/25 debljine 10cm u padu od minimalno 3%, spoj s AB revizijskim oknom, kao i sav potreban rad, alat, materijal, pomoćni i dodatni materijal i opremu do potpune pogonske gotovosti.</t>
  </si>
  <si>
    <r>
      <t>Izvedba posteljice od pijeska granulacije 0-8mm, za polaganje kanalizacijskih cijevi i revizijskih okana. Sloj pijeska deb. 10 cm iznad i ispod cijevi razastirati ravnomjerno duž rova. Obračun po m</t>
    </r>
    <r>
      <rPr>
        <vertAlign val="superscript"/>
        <sz val="10"/>
        <rFont val="Calibri"/>
        <family val="2"/>
        <charset val="238"/>
        <scheme val="minor"/>
      </rPr>
      <t>3</t>
    </r>
    <r>
      <rPr>
        <sz val="10"/>
        <rFont val="Calibri"/>
        <family val="2"/>
        <charset val="238"/>
        <scheme val="minor"/>
      </rPr>
      <t xml:space="preserve"> uključujući trasnport, rad, alat, materijal, pomoćni i dodatni materijal i opremu.</t>
    </r>
  </si>
  <si>
    <t xml:space="preserve">Nabava i montaža PVC niskošumnih debelostjenih SN8 SDR 34 kanalizacijskih cijevi i fazonskih komada, sa spojem na kolček i gumenu brtvu, s padom prema nacrtima. Obračun po m' profila uključujući fazonske komade, revizije, kao i sve spojeve.                       </t>
  </si>
  <si>
    <t>DN300</t>
  </si>
  <si>
    <t>Φ300</t>
  </si>
  <si>
    <t>DN250</t>
  </si>
  <si>
    <t>Φ200</t>
  </si>
  <si>
    <t>DN200</t>
  </si>
  <si>
    <t>DN160</t>
  </si>
  <si>
    <t>Φ160</t>
  </si>
  <si>
    <t>DN125</t>
  </si>
  <si>
    <t>Φ125</t>
  </si>
  <si>
    <t>DN110</t>
  </si>
  <si>
    <t>Φ110</t>
  </si>
  <si>
    <t>Betoniranje podložnog betona drenažne cijevi u betonu klase C12/15, debljine 15cm na rubovima i 10cm po osi. Obračun po m3 uključujući trasnport, rad, alat, materijal, pomoćni i dodatni materijal i opremu.</t>
  </si>
  <si>
    <t>Dobava i postavljanje PVC fleksibilne drenažne cijevi, na unaprijed pripremljenu posteljicu. Na drenažne cijevi se postavlja geotekstil 200g/m². U cijeni je uključen sav potreban rad, alat, materijal, pomoćni i dodatni materijal i opremu,  fazonske komade kao i sve spojeve, do potpune pogonske gotovosti.</t>
  </si>
  <si>
    <t>Dobava i ugradnja batude 32/64 mm zrno za drenažni sustav. Batuda se postavlja 60cm iznad cijevi. Obračun po m3 uključujući trasnport, rad, alat, materijal, pomoćni i dodatni materijal i opremu.</t>
  </si>
  <si>
    <t>Dobava i ugradnja batude 16/32 mm zrno za drenažni sustav. Batuda se postavlja 20cm iznad cijevi. Obračun po m3 uključujući trasnport, rad, alat, materijal, pomoćni i dodatni materijal i opremu.</t>
  </si>
  <si>
    <t>Dobava i ugradnja DN300 nepovratnog ventila s jednom zaklopkom kod spoja s uličnom kanalizacijom, kao i sav potreban rad, alat, materijal, pomoćni i dodatni materijal i opremu do potpune pogonske gotovosti.</t>
  </si>
  <si>
    <t>VANJSKI RAZVOD KANALIZACIJE I ODVODNJE UKUPNO:</t>
  </si>
  <si>
    <t>KANALIZACIJA I ODVODNJA</t>
  </si>
  <si>
    <t>I/</t>
  </si>
  <si>
    <t>II/</t>
  </si>
  <si>
    <t>REKAPITULACIJA INSTALACIJE VODOVODA I KANALIZACIJE</t>
  </si>
  <si>
    <t>Tehničke karakteristike:
- Nadgradna vodotijesna svjetiljka s direktnom difuznom svjetlosnom distribucijom
- Kućište izrađeno od injektiranog polikarbonata, UV stabiliziran, otporno na udarce, rebrasta struktura iznutra, V2 samogasiv, anti vandal, sive boje
- Kopče za montažu izrađene od nehrđajućeg čelika
- Difuzor od injektiranog polikarbonata, V2 samogasivi, UV stabilan, rebrasta struktura s unutarnje strane
- Reflektor od pocinčanog čelika, prethodno emajliran UV-stabiliziranom poliesterskom smolom
- Vrlo niska količina treperenja, ravnomerno raspoređeno svjetlo za veću vizualnu sigurnost
- Životni vijek izvora minimalno 80.000 sati L80B20
- LED sustav maksimalne snage 34W
- Minimalni izlazni svjetlosni tok 5194lm
- Minimalna efikasnost svjetiljke 153 lm/W
- Temperatura boje 4000K
- Uzvrat boje CRI&gt;80
- Faktor snage ≥0,95
-  Konzistentnost boje MacAdam SDCM 3 
- Klasa zaštite I
- Dimenzije svjetiljke: 1260x120x102 mm
- Težina svjetiljke 1,9 kg
- Stupanj mehaničke zaštite minimalno IP66
- Zaštita od mehaničkih utjecaja minimalno IK08
- Temperaturno radno područje: -30°C do +40°C
- ENEC certificirana svjetiljka ili jednakovrijedno</t>
  </si>
  <si>
    <t xml:space="preserve">Tehničke karakteristike:
- Nadgradna vodotijesna svjetiljka s direktnom difuznom svjetlosnom distribucijom
- Kućište izrađeno od injektiranog polikarbonata, UV stabiliziran, otporno na udarce, V2 samogasiv, sive boje
- Difuzor od translucentnog opalnog injektiranog polikarbonata, V2 samogasivi, UV stabilan, mikroprizmatična struktura s unutarnje strane
- Svjetiljka se isporučuje s priborom za montažu na strop
- Ugrađen brzi konektor za spoj napojnog kabela bez potrebe otvaranja svjetiljke
- Životni vijek izvora minimalno 80.000 sati L80B20
- LED sustav maksimalne snage 47W
- Minimalni izlazni svjetlosni tok 9015lm
- Minimalna efikasnost svjetiljke 191 lm/W
- Temperatura boje 4000K
- Uzvrat boje CRI&gt;80
- Faktor snage ≥0,9
- Dimenzije svjetiljke: 1600x152x102 mm
- Stupanj mehaničke zaštite minimalno IP66 IK08
- Temperaturno radno područje: -30°C do +40°C
- ENEC certificirana svjetiljka ili jednakovrijedno
</t>
  </si>
  <si>
    <t>Tehničke karakteristike:
- Ugradna stropna svjetiljka 
- Simetrična direktna svjetlosna distribucija
- Okvir plitak te izrađen od aluminija, pokrov od pocinčanog čeličnog lima
- Bijela boja kućišta 
- Difuzor od termoplastičnog materijala otporan na visoke temperature
- LED predspojna naprava
- Faktor snage ≥0.95
- Životni vijek izvora minimalno 50.000 sati L80/B20
- LED sustav maksimalne snage 33W
- Minimalni izlazni svjetlosni tok 3600lm
- Dimenzije: 596x596x12mm
- Masa svjetiljke maksimalno 2,1kg
- Minimalna svjetlosna efikasnost 109 lm/W
- Temperatura boje 4000K
- Uzvrat boje CRI80
- Faktor blještanja maksimalni UGR &lt;19
- Stupanj mehaničke zaštite minimalno IP43/IP20
- Zaštita od mehaničkih utjecaja minimalno IK06
- ENEC certificirana svjetiljka ili jednakovrijedno</t>
  </si>
  <si>
    <t xml:space="preserve">Tehničke karakteristike:
- Nadgradna stropna svjetiljka s difuznom simetričnom svjetlosnom distribucijom
- Kućište izrađeno od izuzetno otpornog antivandal samogasivog polikarbonata
- Difuzor opalni
- Stupanj mehaničke zaštite minimalno IP65 IK07
- Dimenzije maksimalno: promjer 280, visina 63mm
- Maksimalna masa svjetiljke 1kg
- Ugrađena LED predspojna naprava
- LED izvor svjetlosti
- Maksimalna instalirana snaga sustava 21W
- Faktor snage &gt;0.9
- Klasa zaštite II
- Faktor uzvrata boje CRI minimalno 80
- Temperatura boje 4000K
- Minimalna efikasnost svjetiljke 138 lm/W
- Minimalni izlazni svjetlosni tok 2898lm
- Životni vijek izvora minimalno 50.000 sati L80B20
- ENEC certificirana svjetiljka ili jednakovrijedno
</t>
  </si>
  <si>
    <t xml:space="preserve">Tehničke karakteristike:
- Zidna svjetiljka s direktnom asimetričnom svjetlosnom distribucijom
- Kućište izrađeno od lijevanog aluminija, praškasto lakirano za zaštitu od UV-a, korozije i soli, s integriranim rashladnim rebrima
- Boja grafita
- Ugradna kutija za montažu reflektora na toplinsku izolaciju
- Reflektor izrađen od visokokvalitetnog aluminija kakvoće 99,99%
- Difuzor od kaljenog stakla debljine 5mm, otporno na udarce i toplinske šokove
- Vrlo niska količina treperenja
- Klasa zaštite I
- Ugrađena LED predspojna naprava
- Maksimalna ukupna snaga LED sustava 39W
- Minimalni izlazni svjetlosni tok 5755lm
- Efikasnost svjetiljke minimalno 148 lm/W
- Temperatura boje 3000K
- Uzvrat boje minimalno CRI 80
- Faktor snage ≥0,9
- Temperaturno radno područje: -20°C do +40°C
- Mehanička zaštita minimalno IP66IK08
- Životni vijek izvora minimalno 50000h L80/B20 
- Dimenzije svjetiljke: 400x273x70mm
- Masa svjetiljke maksimalno 3kg
- ENEC certificirana svjetiljka ili jednakovrijedno
</t>
  </si>
  <si>
    <t xml:space="preserve">Tehničke karakteristike:
- Nadgradna stropna sigurnosna svjetiljka s optikom za evakuacijske površine
- Kućište izrađeno od bijelog polikarbonata
- Svjetiljka s ugrađenom baterijom
- Snaga LED izvora maksimalno 3W
- Minimalni izlazni svjetlosni tok 460lm
- Vrijeme punjenja maksimalno 12h
- Tip baterije LifePO4 6,4V
- Autonomija svjetiljke 3h
- Svjetiljka u pripravnom spoju
- Stupanj mehaničke zaštite minimalno IP65
- Dozvoljena ambijentalna temperatura od 0 do +40 °C
- S autotest funkcijom
- Ugrađen LED indikator prisutnosti mrežnog napajanja
- Ugrađen LED indikator faze punjenja
- Dimenzije svjetiljke fi202 x 58 mm
- ENEC certifikat ili jednakovrijedan
</t>
  </si>
  <si>
    <t xml:space="preserve">Tehničke karakteristike:
- Nadgradna stropna sigurnosna svjetiljka s optikom za evakuacijske površine
- Kućište izrađeno od bijelog polikarbonata
- Svjetiljka s ugrađenom baterijom
- Snaga LED izvora maksimalno 2W
- Minimalni izlazni svjetlosni tok 330lm
- Vrijeme punjenja maksimalno 12h
- Tip baterije LifePO4 6,4V
- Autonomija svjetiljke 3h
- Svjetiljka u pripravnom spoju
- Stupanj mehaničke zaštite minimalno IP65
- Dozvoljena ambijentalna temperatura od 0 do +40 °C
- S autotest funkcijom
- Ugrađen LED indikator prisutnosti mrežnog napajanja
- Ugrađen LED indikator faze punjenja
- Dimenzije svjetiljke fi202 x 58 mm
- ENEC certifikat ili jednakovrijedan
</t>
  </si>
  <si>
    <t xml:space="preserve">Tehničke karakteristike:
- Zidna nadgradna protupanična svjetiljka s printanim piktogramom "DOLJE"
- Kućište izrađeno od bijelog polikarbonata
- Difuzor transparentni od polikarbonata
- Svjetiljka s ugrađenom baterijom
- Snaga LED izvora minimalno 1W
- Vrijeme punjenja maksimalno 12h
- Tip baterije LiFePO 4 6,4V 
- Autonomija svjetiljke 3h
- Svjetiljka u trajnom spoju
- Stupanj mehaničke zaštite minimalno IP65 IK08
- Dozvoljena ambijentalna temperatura od 0 do +40 °C
- S autotest funkcijom
- Ugrađen LED indikator prisutnosti mrežnog napajanja
- Ugrađen LED indikator faze punjenja
- Dimenzije svjetiljke 276x143x44mm
- ENEC certifikat ili jednakovrijedan
</t>
  </si>
  <si>
    <t xml:space="preserve">Tehničke karakteristike:
- Zidna nadgradna protupanična svjetiljka s printanim piktogramom "LIJEVO"
- Kućište izrađeno od bijelog polikarbonata
- Difuzor transparentni od polikarbonata
- Svjetiljka s ugrađenom baterijom
- Snaga LED izvora minimalno 1W
- Vrijeme punjenja maksimalno 12h
- Tip baterije LiFePO 4 6,4V 
- Autonomija svjetiljke 3h
- Svjetiljka u trajnom spoju
- Stupanj mehaničke zaštite minimalno IP65 IK08
- Dozvoljena ambijentalna temperatura od 0 do +40 °C
- S autotest funkcijom
- Ugrađen LED indikator prisutnosti mrežnog napajanja
- Ugrađen LED indikator faze punjenja
- Dimenzije svjetiljke 276x143x44mm
- ENEC certifikat ili jednakovrijedan
</t>
  </si>
  <si>
    <t>Tehničke karakteristike:
- Zidna nadgradna protupanična svjetiljka s jednostrano printanim piktogramom oznake DOLJE
- Kućište izrađeno od bijelog polikarbonata
- Svjetiljka s ugrađenom baterijom
- Snaga LED izvora minimalno 2W
- Vrijeme punjenja maksimalno 12h
- Tip baterije LiFePO 4 6,4V 
- Autonomija svjetiljke 3h
- Svjetiljka u trajnom spoju
- Vidljivost 30m
- Stupanj mehaničke zaštite minimalno IP40
- Dozvoljena ambijentalna temperatura od 0 do +40 °C
- S autotest funkcijom
- Ugrađen LED indikator prisutnosti mrežnog napajanja
- Ugrađen LED indikator faze punjenja
- Dimenzije svjetiljke 337x187x57 mm
- ENEC certifikat ili jednakovrijedan</t>
  </si>
  <si>
    <t>Tehničke karakteristike:
- Stropna nadgradna protupanična svjetiljka s jednostrano printanim piktogramom "DOLJE".
- Kućište izrađeno od bijelog polikarbonata
- Svjetiljka s ugrađenom baterijom
- Snaga LED izvora minimalno 2W
- Vrijeme punjenja maksimalno 12h
- Tip baterije  LiFePO 4 6,4V
- Autonomija svjetiljke 3h
- Svjetiljka u trajnom spoju
- Vidljivost 30m
- Stupanj mehaničke zaštite minimalno IP40IK08
- Sa autotest funkcijom
- Dozvoljena ambijentalna temperatura od 0 do +40 °C
- Ugrađen LED indikator prisutnosti mrežnog napajanja
- Ugrađen LED indikator faze punjenja
- Dimenzije svjetiljke 337x225x72 mm
- ENEC certifikat ili jednakovrijedan</t>
  </si>
  <si>
    <t xml:space="preserve">Dobava, montaža i spajanje adresabilnog ručnog javljača požara sljedećih minimalnih karakteristika:
- ručni javljač sukladan normi  EN54-11/tip B  ili jednakovrijedne
- kućište od lijevanog aluminija, crvene boje
- aktivacija alarma razbijanjem stakla i pritiskom na tipku
- integriran dvostruki izolator koji odspaja petlju u slučaju kratkog spoja
- ugrađena dva višebojna LED indikatora za signalizaciju stanja javljača
- potrošnja struje: maksimalno 90 μA
- radna temperatura minimalno u rasponu od -20°C do +60°C 
- stupanj zaštite kućišta: minimalno IP43
</t>
  </si>
  <si>
    <t xml:space="preserve">Dobava, montaža i spajanje adresabilne sirene s bljeskalicom sljedećih minimalnih karakteristika:
- mogućnost odabira minimalno 32 različita tona od kojih su minimalno 4 usklađena s normom EN 54-3 ili jednakovrijednom
- mogućnost odabira minimalno 4 razine izlazne snage zvuka
- potrošnja struje u normalnom radu: maksimalno 17 mA
 -frekvencija bljeskanja: 0,5 Hz
- bljeskalica bijele boje, usklađena s normom EN 54-23  ili jednakovrijednom, kategorija W-2.5-7 (zidna montaža)
- napon napajanja minimalno u rasponu od 15 do 40 VDC
- radna temperatura minimalno u rasponu od -10°C do +55°C 
- uključeno kućište za nadžbuknu ugradnju modula sa stupnjem zaštite minimalno IP65
- kućište crvene boje sa stupnjem zaštite minimalno IP65
</t>
  </si>
  <si>
    <t>Dobava i montaža  protupožarnog ormarića za smještaj vatrodojavne centrale
- dimenzije ormarića cca. 70x70 x 30 cm (dimenzije prilagoditi dimenzijama ponuđene vatrodojavne centrale)
- protupožarna otpornost u klasi T- 60'
- izrada od čeličnog pocinčanog lima
- završna obrada: plastifikacija
- ostakljenje vrata izvodi se protupožarnim staklom u klasi F-60', debljine minimalno 21 mm, dimenzija protupožarnog stakla cca. 30 x 30 cm
- ugrađena protupožarna brava sukladna normi DIN - 1 8250 ili jednakovrijednom, uključen cilindar s tri ključa
- certificiran
- bočno, na plašt ormarića ugrađuje se ekspandirajuća rešetka (2 kom)</t>
  </si>
  <si>
    <t>Dobava, montaža i spajanje mrežnog alarmnog komunikatora sljedećih minimalnih karakteristika:
- Integriran LAN priključak
- Integriran WiFi uređaj (IEEE 802.11 b/g), 2.4GHz b/g/n s internom antenom 
- Integriran GPRS 2G/3G/4G uređaj
- Mogućnost detekcije grešaka na LAN, WiFI i GPRS komunikacijskim sučeljima
- Integrirana serijska sučelja za integraciju s drugim uređajima: RS485, RS232, TTL 
- Integriran telefonski priključak za povezivanje na standardnu telefonsku liniju
- ugrađeni releji: minimalno 3 releja, 24VDC/100mA, 
- integrirani alarmni ulazi, koji po aktivaciji mogu poslati tekstualnu poruku putem SMS-a ili alarmnu poruku u dojavni centar putem SIA ili Contact ID protokola
- Mogućnost osiguravanja baterijske autonomije veće od 15 sati
- Detekcija sabotaže: otvaranje poklopca kućišta, prekida telefonske veze između dojavnog centra i komunikatora
- Periodičko javljanje na dojavni centar, programabilno
- Mogućnost udaljenog programiranja komunikatora putem centralnog nadzornog sustava
- Podrška za SMS poruke
- Sukladnost minimalno sa slijedećim standardima: EN50131, EN50136 (VdS Certified), EN 50131-1: 2006+A2:2017, EN 50136-1: 2012, EN 50136-2: 2013, Security Grade 2, ATS-SP3 preko Ethernet ili Wi-Fi veze, ATS-SP3 preko 4G/3G/2G, i ATS-DP2 ili jednakovrijednim
- Enkripcija podataka ključem od 256 bitova, koristeći MD5 algoritam i RC4 šifriranje ili jednakovrijedno
- Temperaturno područje rada: minimalno u rasponu od -10°C do 55°C</t>
  </si>
  <si>
    <t>Dobava, isporuka, ugradnja i spajanje poslužiteljskog računala centralne aplikacije za integraciju sustava vatrodojave sljedećih karakteristika: 
• Instaliran operacijski sustav
• Uključen kapacitet diskovnog prostora: 1TB efektivno u RAID1 konfiguraciji korištenjem serverskih diskova</t>
  </si>
  <si>
    <t>Dobava i isporuka centralne aplikacije za integraciju sustava vatrodojave sljedećeih karakteristika:
- mogućnost prikaza stanja svih centrala na GIS mapi
- prikaz mape sustava s vizualnom naznakom i zumiranjem elementa na kojem se javio alarm
- pristup svakom elementu sustava preko njegove ikone na mapi
- mogućnost prihvaćanja alarma i automatsko pokretanje predefiniranih alarmnih procedura
- mogućnost resetiranja centrale za dojavu požara
- svi događaji ostaju trajno zapisani u memoriji softvera s točnim vremenom zabilježavanja, prihvata i pripadajuće akcije od strane korisnika
- mogućnost da se korisniku, ili korisničkoj grupi, precizno odrede ovlasti ovlasti za rad na sustavu 
- konfiguracija sustava i arhiva alarma i eventa sprema se u bazu podataka</t>
  </si>
  <si>
    <t xml:space="preserve">Dobava, isporuka, ugradnja i spajanje klijentskog računala centralne aplikacije za integraciju sustava vatrodojave sljedećih karakteristika:
• instaliran operacijski sustav
• procesor: min. 4.6GHz (min. 8. generacije)
• RAM: min. 16GB DDR4
• diskovi: min. 1x 256 GB SSD za operacijski sustav i 1x 500 GB HDD
• Zasebna grafička kartica sa najmanje 2x mDP / 2x HDMI izlaza (svi potrebni adapteri za spajanje monitora uključeni) 
• mrežne kartice: min. 2 x Gigabit Ethernet RJ-45 ports (1000Base-T) 
• optički drive: min. DVD-RW
• small form factor veličina sa min. uključenim:
   - USB tipkovnicom
   - USB mišem
• temperaturni opseg u radnom pogonu min. 10°C do + 35°C
• potrošnja maks: 260W
• certifikati: CE      </t>
  </si>
  <si>
    <t>Dobava, isporuka, ugradnja i spajanje LED monitora sljedećih karakteristika:
• Veličina slike: min. 23.5”
• Omjer slike: 16:9
• Rezolucija: min. 1920 x 1080 na 60 Hz
• Veličina piksela: max. 0.28 mm x 0.28 mm
• Kut gledanja (okomito/vodoravno):  min. 178°/178°
• Kontrast:  min. 1000:1
• Vrijeme odaziva: min. 6ms
• Backlight: LED
• Sučelja: min. 1x HDMI
• uključen HDMI kabel duljine min. 2m
• potrošnja maks: 140W</t>
  </si>
  <si>
    <t>Zagreb, prosinac 2024. god</t>
  </si>
  <si>
    <t xml:space="preserve">Prije dostave ponude i početka radova, izvoditelju se preporuča provjeriti na radilištu sve uvjete potrebne za rad te pregledati i detaljno proučiti sve podatke koje mu je Investitor stavio na raspolaganje i to o hidrološkim i podzemnim uvjetima, projektnu dokumentaciju, prema kojoj će izvoditi radove. Provjeriti sve izmjere vezane na raspoloživu projektnu dokumentaciju. Naročitu pažnju treba posvetiti usuglašenosti građevinskih i instalaterskih nacrta. 
O svim eventualnim primjedbama u odnosu na potpunost i tehničku ispravnost tehničke dokumentacije, dužan je izvoditelj pravovremeno u pisanom obliku izvijestiti Investitora prije početka radova i zatražiti potrebna objašnjenja i rješenja, jer u protivnom, troškovi koji bi uslijed toga nastupili, idu na teret Izvoditelja. Smatra se da je izvoditelj pregledao i ispitao radilište i njegovu okolinu kao i podatke u vezi s njim te da se zadovoljio (u onoj mjeri u kojoj je to provedivo, uzimajući u obzir trošak i vrijeme) prije podnošenja svoje Ponude u pogledu:
</t>
  </si>
  <si>
    <t>Zagreb, prosinac 2024.</t>
  </si>
  <si>
    <t>Datum: prosinac 2024.</t>
  </si>
  <si>
    <t xml:space="preserve">Pažljiva demontaža sa otpajanjem svih elektro priključaka, nosača priključaka, cijevi, elektro-ormarić,  te odlaganjem do ponovne ugradbe ukoliko se elementi vraćaju. Obračun po komadu izvršene demontaže. </t>
  </si>
  <si>
    <t>Završna obrada profila plastificiranjem/eloksiranjem iz RAL karte.</t>
  </si>
  <si>
    <t>Završna obrada profila: plastificiranje/eloksiranje iz RAL karte.</t>
  </si>
  <si>
    <t>Okov protupožarnih vrata obuhvaća bravu s cilindrom i hidraulički zatvarač, u skladu s normom DIN 18250; 3 panta ili jednakovrijedna norma.</t>
  </si>
  <si>
    <t>Okov protupožarnih vrata na evakuacijskim putevima; antipanik okov u skladu s HRN EN 1125 ili jednakovrijedna norma, funkcija B, za javnu namjenu - u smjeru evakuacije antipanik letva, uvijek prohodno; u smjeru suprotnom od evakuacije kvaka i brava, prohodno u oba smjera dok je brava otključana, kad se zaključa, prolaz moguć samo u smjeru evakuacije.</t>
  </si>
  <si>
    <t>Nabava, doprema i ugradnja plošnog drena između mikropilota širine 50 cm.</t>
  </si>
  <si>
    <t>Prije početka izvođenja radova, preporuča se obaviti pregled lokacije i o eventualnim odstupanjima projekta od stvarnog stanja upozoriti investitora.</t>
  </si>
  <si>
    <t>Dobava, montaža i spajanje centrale za dojavu požara sljedećih minimalnih karakteristika: 
- modularna vatrodojavna centrala s fleksibilnom mogućnošću proširivanja
- inteligentna ringbus tehnologija s mogućnošću prihvata petlji s minimalno 3 različita komunikacijska protokola (npr. System Sensor, Apollo i slično)
- ugrađen 5.7“ 1/4 VGA grafički displej prikazuje sve trenutne događaje u sustavu, 
- mogučnost ugradnje minimalno do 8 modula petlje ili 64 konvencionalne linije,
- uz dodatno kućište proširenja moguće je kontrolirati do minimalno 54 funkcionalna modula, minimalno do 20 modula petlje
- u svakoj petlji moguće je nadziranje do minimalno 318 fizičkih adresnih točaka
- ugrađena centralna procesorska ploča s harverskom redundancijom
- mogućnost ugradnje dodatnih uređaja kao šu su LED polje za prikaz ili upravljanje, printer, brava za autorizaciju i slično
- funkcijski moduli se ugrađuju plug-in metodom bez potrebe isključivanja sustava
- ugrađena minimalno dva nadzirana izlaza za sirene, minimalno tri beznaponska relejna izlaza, minimalno 8 open-collector izlaza i minimalno 3 ulaza
- ugrađeno mrežno TCP-IP sučelje 
- ugrađena memorija za minimalno 10000 događaja
- mogućnost pristupa centrali putem mobilne i računalne aplikacije
- mogućnost  mrežnog povezivanja s drugim centralama te centralom za upravljanje gašenjem požara
- zadovoljava minimalno slijedeće norme: EN 54-2, EN 54-4, VdS  ili jednakovrijedna norma
- mogućnost smještaja akumulatora minimalno 2 x 12V, 45 Ah u kućište centrale
- radna temperatura minimalno u rasponu od -20°C do +60°C 
- maksimalne dimenzije kućišta  Š × V × D 450 × 550 × 210 (mm)</t>
  </si>
  <si>
    <t>Rashladni krug zatvoren je u odjeljak koji sadrži certificirani osjetnik propuštanja i ventilacijski ventilator s ATEX-ovim certifikatom ili jednakovrijedno. Hidraulični modul, ako je prisutan, također je zatvoren u odjeljak koji sadrži certificirani osjetnik propuštanja i ventilator za usisavanje s ATEX-ovim certifikatom ili jednakovrijedno.</t>
  </si>
  <si>
    <t>Električna upravljačka ploča izrađena je u obojenoj pocinčanoj kutiji od lima sa prisilnom ventilacijom i zaštitom IP54. Električna ploča izrađena je prema standardu EN60204-1 ili jednakovrijedno. Električna ploča odvojena je od odjeljka kompresora.</t>
  </si>
  <si>
    <t>Optimizirani su za upotrebu s propanom. Svi kompresori opremljeni su grijačem kućišta radilice, usisnim i dovodnim servisnim ventilima. Kompresori imaju ATEX certifikat ili jednakovrijedno.</t>
  </si>
  <si>
    <t>Rashladni krugovi su u potpunosti odvojeni što povećava sigurnost rada uređaja i parcijalni defrost u režimu grijanja. Uređaj treba biti potvrđen s Eurovent certifikatom ili jednakovrijedno.</t>
  </si>
  <si>
    <t xml:space="preserve">Tehničke karakteristike pri Eurovent uvjetima ili jednakovrijedno: </t>
  </si>
  <si>
    <t xml:space="preserve"> Jedinica je u skladu sa svim  zahtjevnima Ecodesign Direktive 2009/125/EZ koja se odnosi na ekološki prihvatljivu izvedbu sustava za ventilaciju. One su dio sustava ventilokonvektora, predviđenih Uredbom Komisije (EU) 2016/2281.</t>
  </si>
  <si>
    <t>Niskošumni parapetni 3-brzinski ventilokonvektori predviđeni za dvocijevni sustav grijanja/hlađenja za ugradnju na zid.Uređaj je standardno opremljen sa: standardnom maskom, glavnom tavicom za kondenzat, odzračnim pipcem, perivim filterom, ventilatorom sa direktno pogonjenim elektro motorom te svim ostalim elementima potrebnim za funkcionalni rad ventilokonvektora. Ventilokonvektori trebaju biti potvrđeni EUROVENT certifikatom ili jednakovrijedno.</t>
  </si>
  <si>
    <t xml:space="preserve">Spremnik za potrošnu toplu vodu sadržaja 200 lit od čelika sa dvoslojnim pocaklenjem,s jednom toplovodnom grijalicom iz nehrđajućeg čelika,el.grijačem 3 kW, uključivo s toplinskom izolacijom od PU  tvrde pjene debljine 100 mm i jednog omotača,priključnim setom, sigurnosnom grupom prema  DIN 1988 ili jednakovrijedno NO20 10 bar, pokazivačem temperature i setom odvodnih lijevaka   
</t>
  </si>
  <si>
    <r>
      <t>Predizolirane medijske čelične bešavne cijevi iz nelegiranog čelika izrađene prema 
DIN 1626 ili jednakovrijedno i vanjske zaštitne cijevi izrađene od žilavog polietilena PEHD tretirane prema DIN-EN 253 i DIN-EN 10204 ili jednakovrijedno.Termoizolacijski sloj sastoji se od dvokomponentne tvrde PUR pjene prema EN 10204 ili jednakovrijedno toplinske provodljivosti 0.027 W/m K kod 50</t>
    </r>
    <r>
      <rPr>
        <sz val="10"/>
        <rFont val="Calibri"/>
        <family val="2"/>
        <charset val="238"/>
      </rPr>
      <t>°</t>
    </r>
    <r>
      <rPr>
        <sz val="10"/>
        <rFont val="Arial"/>
        <family val="2"/>
        <charset val="238"/>
      </rPr>
      <t xml:space="preserve">C. U PUR pjeni uliveni su 2 bakrena vodiča, nadzorni sustav tzv. nordijski (npr. AGFW/FUGW) za indikaciju eventualnog kvara cijevi,uključivo s polaganjem u rov uz pomoć autodizalice.
</t>
    </r>
  </si>
  <si>
    <t xml:space="preserve">Termoizolacijska dvokomponentna pjene za ljetnu primjenu za izolaciju termostežućih spojnica na mjestu montaže  
</t>
  </si>
  <si>
    <t xml:space="preserve">Radiografsko snimanje montažnih varova na predizoliranom cjevovodu prema EN 25817 C ili jednakovrijedno po čitavom opsegu i to: uz lukove 100% na ravnim dionicama 30%
</t>
  </si>
  <si>
    <t>- plošni dren</t>
  </si>
  <si>
    <t xml:space="preserve">Dobava betona i izvedba tlačne armiranobetonske ravne ploče iznad prizemlja, debljine 8 cm, betonom C25/30, na drvenim grednicima. </t>
  </si>
  <si>
    <t>Individualne komponente uređaja unutar zone povezane su preko zonskog bus-a (Modbus), a zone preko sistem bus-a (prema OSI modelu). Podaci se šalju na bazi događaja; čime je smanjujem protok podataka i omogućeno kratko vrijeme reakcije.</t>
  </si>
  <si>
    <t xml:space="preserve">Doprema, transport i nasipavanje čistog suhog pijeska u rovu toplovoda, debljine d=35 cm. Pijesak služi kao obloga cijevi s nadslojem od tjemena cijevi d=10 cm. Nasipavanje izvršiti tek kada je cjevovod spojen i tlačno ispitan. Nakon nasipavanja oblogu lagano nabiti. Obračun po m3 stvarno izvedenih količina.
</t>
  </si>
  <si>
    <t xml:space="preserve">Prekop uređenih betonskih površina strojnim putem, uz upotrebu bušilica na komprimirani zrak.
Materijal od prekopa odlagati uz rub rova. Obračun po m2 stvarno prekopanih površina.
</t>
  </si>
  <si>
    <t>Prekop uređenih  površina od asfalta i makadama strojnim putem, a u cijenu uključeno i rezanje asfalta reznim pločama. Materijal od prekopa odlagati uz rub rova. Obračun po m2 stvarno prekopanih površina</t>
  </si>
  <si>
    <t xml:space="preserve">Obnova geodetskih točaka trase toplovoda prije početka radova. Podatke o snimljenoj trasi uzeti sa situacije trase. Obračun po metru dužnom stvarno izvršenih radova..
</t>
  </si>
  <si>
    <t xml:space="preserve">Iskop rova i varnih jama u tlu III kategorije, prosječne širine 0,9 m dubine 0-1,5 m, sa odbacivanjem zemlje uz rub rova i varene jame. Iskop rova i varnih jama izvršiti sa ravnim odsijecanjem stranica dna rova. Varne jame kopati na spoju svake sekcije toplovoda, te na svim vertikalnim i  horizontalnim lomovima toplovoda koje je nemoguće izvesti izvan rova. Iskop se vrši strojnim putem, a obračun po m3 stvarno iskopanog materijala.
</t>
  </si>
  <si>
    <r>
      <t xml:space="preserve">Planiranje dna rova prema projektiranim nagibima toplovoda  s točnošću  </t>
    </r>
    <r>
      <rPr>
        <sz val="10"/>
        <rFont val="Calibri"/>
        <family val="2"/>
        <charset val="238"/>
      </rPr>
      <t>±</t>
    </r>
    <r>
      <rPr>
        <sz val="10"/>
        <rFont val="Arial"/>
        <family val="2"/>
        <charset val="238"/>
      </rPr>
      <t xml:space="preserve"> 2 cm, sa svim potrebnim nasipavanjima. Obračun po m2 stvarno isplaniranog dna.</t>
    </r>
  </si>
  <si>
    <t xml:space="preserve">Zatrpavanje rova toplovoda materijalom iz iskopa. Zatrpavanje izvoditi nakon izvedbe obloge cijevi pijeskom, u dvije faze i to:
1. Prvo se zatrpava rov u sloju cca 50 cm uz pažljivo nabijanje
2. Nakon toga se vrši zatrpavanje uz razastiranje materijala u slojevima od 50 cm uz snažno nabijanje vibro pločama do potpune zbijenosti.
Nakon toga izvesti nadvišenje materijalom cca 15 cm radi mogućeg slijeganja. 
Obračun po m3 stvarno izvedenih količina.
</t>
  </si>
  <si>
    <t xml:space="preserve">Nasipavanje šljunka u rov toplovoda ispod uređenih površina. Nasipavanje izvoditi nakon izvedbe obloge cijevi pijeskom, u dvije faze i to:
1. Prvo se nasipava materijal u sloju cca 50 cm uz pažljivo nabijanje
2. Nakon toga se vrši nasipavanje materijala u slojevima od 50 cm uz snažno nabijanje vibro pločama do potpune zbijenosti.
Zatrpavanje rova toplovoda šljunkom treba izvesti do kote uređene površine. 
Obračun po m3 stvarno izvedenih količina.
</t>
  </si>
  <si>
    <t xml:space="preserve">Izrada osiguranja prometa, i pješaka na trasi toplovoda. Pod osiguranjem se podrazumijeva postavljanje zaštitnih ograda, prometnih znakova te čeličnih ploča za  prijelaz vozila preko iskopanog rova i daščanih mostova za prijelaz pješaka. Obračun po metru dužnom stvarno izvršenih radova na osiguranju.
</t>
  </si>
  <si>
    <t xml:space="preserve">Utovar u transportno sredstvo, transport, te istovar materijala preostalog nakon zatrpavanja rova toplovoda, na deponiju koja će u tu svrhu biti odobrena (do 20 km). Obračun po m3 stvarno izvršenih radova na transportu.
</t>
  </si>
  <si>
    <t xml:space="preserve">Uređenje prekopanih površina od asfalta i makadama.
Stavkom obuhvaćena doprema i ugradnja potrebnog materijala. Obračun po m2 stvarno izvršenih radova na sanaciji kolovoznih površina.
 </t>
  </si>
  <si>
    <t xml:space="preserve">Uređenje prekopanih površina od betona .
Stavkom obuhvaćena doprema i ugradnja potrebnog materijala. Obračun po m2 stvarno izvršenih radova na sanaciji površina od betona.
</t>
  </si>
  <si>
    <r>
      <t>Izrada betonskog negativnog bunara dim.</t>
    </r>
    <r>
      <rPr>
        <sz val="10"/>
        <rFont val="Calibri"/>
        <family val="2"/>
        <charset val="238"/>
      </rPr>
      <t>Ф</t>
    </r>
    <r>
      <rPr>
        <sz val="10"/>
        <rFont val="Arial"/>
        <family val="2"/>
        <charset val="238"/>
      </rPr>
      <t xml:space="preserve">800 mm 
</t>
    </r>
  </si>
  <si>
    <t xml:space="preserve">Izrada razupiranja rova. 
Obračun po m2 stvarno izvršenih radova.
</t>
  </si>
  <si>
    <t xml:space="preserve">Geodetsko i strojarsko snimanje izvedenog stanja toplovoda sa izradom svih potrebnih podloga.
Stavkom je obuhvaćeno:
- geodetsko snimanje položenog toplovoda,
- strojarsko snimanje ugrađenih objekata,
- snimanje varova.
Obračun po metru dužnom stvarno izvedenog toplovoda.
</t>
  </si>
  <si>
    <t>Visoko fleksibilna izolacija razvoda cijevi ,razdjelnika i sabirnika tople i hladne vode u objektu (klase B1 prema HRN EN 13501-1;2 ili jednakovrijedno) tipskom izolacijom iz elastomene pjene na bazi sintetičkog kaučuka  s otporom prema difuziji vodene pare i  niskom toplinskom vodljivosti:</t>
  </si>
  <si>
    <t>sa sučeljem za integraciju BMS sustava (Modbus i</t>
  </si>
  <si>
    <t xml:space="preserve"> BA Canet) spreman za montažu na zid, slijedećih:</t>
  </si>
  <si>
    <t>Jedinica je u skladu sa svim  zahtjevnima Ecodesign Directive 2009/125/EZ koja se odnosi na ekološki prihvatljivu izvedbu sustava za ventilaciju. One su dio sustava ventilokonvektora, predviđenih Uredbom Komisije (EU) 2016/2281.</t>
  </si>
  <si>
    <t>revizija 1: siječanj 2025. god.</t>
  </si>
  <si>
    <t>- bočne pregrade koja odvaja wc kabinu od prostora s umivaonicima dužine 100 cm i visine 210 cm (uključivo inox stalke).</t>
  </si>
  <si>
    <t>- pregradna stijena između wc kabina visine 210 cm (uključivo inox stalke) i ukupne dužine 180 cm.</t>
  </si>
  <si>
    <r>
      <t xml:space="preserve">- dvostruki trodjelni prozor 120x220 cm </t>
    </r>
    <r>
      <rPr>
        <b/>
        <strike/>
        <sz val="10"/>
        <color rgb="FFFF0000"/>
        <rFont val="Calibri"/>
        <family val="2"/>
        <charset val="238"/>
        <scheme val="minor"/>
      </rPr>
      <t>(shema 4)</t>
    </r>
  </si>
  <si>
    <r>
      <t xml:space="preserve">- dvostruki trodjelni prozor 100x220 cm </t>
    </r>
    <r>
      <rPr>
        <b/>
        <strike/>
        <sz val="10"/>
        <color rgb="FFFF0000"/>
        <rFont val="Calibri"/>
        <family val="2"/>
        <charset val="238"/>
        <scheme val="minor"/>
      </rPr>
      <t>(shema 5)</t>
    </r>
  </si>
  <si>
    <r>
      <t xml:space="preserve">- dvokrilna puna zaokretna vrata s ostakljenim fiksnim nadsvjetlom 140x200+90 cm </t>
    </r>
    <r>
      <rPr>
        <b/>
        <strike/>
        <sz val="10"/>
        <color rgb="FFFF0000"/>
        <rFont val="Calibri"/>
        <family val="2"/>
        <charset val="238"/>
        <scheme val="minor"/>
      </rPr>
      <t>(shema 3)</t>
    </r>
    <r>
      <rPr>
        <strike/>
        <sz val="10"/>
        <color rgb="FFFF0000"/>
        <rFont val="Calibri"/>
        <family val="2"/>
        <charset val="238"/>
        <scheme val="minor"/>
      </rPr>
      <t xml:space="preserve">  </t>
    </r>
  </si>
  <si>
    <r>
      <t>- jednokrilna puna zaokretna vrata, dimenzija g.o. 100/210 cm (</t>
    </r>
    <r>
      <rPr>
        <b/>
        <strike/>
        <sz val="10"/>
        <color rgb="FFFF0000"/>
        <rFont val="Calibri"/>
        <family val="2"/>
        <charset val="238"/>
        <scheme val="minor"/>
      </rPr>
      <t>shema 1</t>
    </r>
    <r>
      <rPr>
        <strike/>
        <sz val="10"/>
        <color rgb="FFFF0000"/>
        <rFont val="Calibri"/>
        <family val="2"/>
        <charset val="238"/>
        <scheme val="minor"/>
      </rPr>
      <t xml:space="preserve">), zvučna izolacija ugrađenih vrata Rwmin=36 dB  </t>
    </r>
  </si>
  <si>
    <r>
      <t>- jednokrilna puna zaokretna vrata, dimenzija g.o. 90/210 cm (</t>
    </r>
    <r>
      <rPr>
        <b/>
        <strike/>
        <sz val="10"/>
        <color rgb="FFFF0000"/>
        <rFont val="Calibri"/>
        <family val="2"/>
        <charset val="238"/>
        <scheme val="minor"/>
      </rPr>
      <t>shema 2</t>
    </r>
    <r>
      <rPr>
        <strike/>
        <sz val="10"/>
        <color rgb="FFFF0000"/>
        <rFont val="Calibri"/>
        <family val="2"/>
        <charset val="238"/>
        <scheme val="minor"/>
      </rPr>
      <t xml:space="preserve">), u vratno krilo ugraditi rešetku za ventilaciju u skladu sa strojarskim projektom  </t>
    </r>
  </si>
  <si>
    <r>
      <t xml:space="preserve">Kabina u muškom wc-u postojeće zgrade </t>
    </r>
    <r>
      <rPr>
        <b/>
        <strike/>
        <sz val="10"/>
        <color rgb="FFFF0000"/>
        <rFont val="Calibri"/>
        <family val="2"/>
        <charset val="238"/>
        <scheme val="minor"/>
      </rPr>
      <t>(shema 5)</t>
    </r>
    <r>
      <rPr>
        <strike/>
        <sz val="10"/>
        <color rgb="FFFF0000"/>
        <rFont val="Calibri"/>
        <family val="2"/>
        <charset val="238"/>
        <scheme val="minor"/>
      </rPr>
      <t xml:space="preserve"> sastoji se od:</t>
    </r>
  </si>
  <si>
    <r>
      <t xml:space="preserve">Kabine u ženskom wc-u postojeće zgrade </t>
    </r>
    <r>
      <rPr>
        <b/>
        <strike/>
        <sz val="10"/>
        <color rgb="FFFF0000"/>
        <rFont val="Calibri"/>
        <family val="2"/>
        <charset val="238"/>
        <scheme val="minor"/>
      </rPr>
      <t>(shema 6)</t>
    </r>
    <r>
      <rPr>
        <strike/>
        <sz val="10"/>
        <color rgb="FFFF0000"/>
        <rFont val="Calibri"/>
        <family val="2"/>
        <charset val="238"/>
        <scheme val="minor"/>
      </rPr>
      <t xml:space="preserve"> sastoje se od:</t>
    </r>
  </si>
  <si>
    <r>
      <t xml:space="preserve">- dvostruki trodjelni prozor 100x218 cm </t>
    </r>
    <r>
      <rPr>
        <b/>
        <sz val="10"/>
        <color rgb="FF00B0F0"/>
        <rFont val="Calibri"/>
        <family val="2"/>
        <charset val="238"/>
        <scheme val="minor"/>
      </rPr>
      <t>(shema 1)</t>
    </r>
  </si>
  <si>
    <r>
      <t xml:space="preserve">- dvostruki trodjelni prozor 120x218 cm </t>
    </r>
    <r>
      <rPr>
        <b/>
        <sz val="10"/>
        <color rgb="FF00B0F0"/>
        <rFont val="Calibri"/>
        <family val="2"/>
        <charset val="238"/>
        <scheme val="minor"/>
      </rPr>
      <t>(shema 1a)</t>
    </r>
  </si>
  <si>
    <r>
      <t xml:space="preserve">- dvokrilna puna zaokretna vrata s ostakljenim fiksnim nadsvjetlom 146x288 cm </t>
    </r>
    <r>
      <rPr>
        <b/>
        <sz val="10"/>
        <color rgb="FF00B0F0"/>
        <rFont val="Calibri"/>
        <family val="2"/>
        <charset val="238"/>
        <scheme val="minor"/>
      </rPr>
      <t>(shema 2)</t>
    </r>
    <r>
      <rPr>
        <sz val="10"/>
        <color rgb="FF00B0F0"/>
        <rFont val="Calibri"/>
        <family val="2"/>
        <charset val="238"/>
        <scheme val="minor"/>
      </rPr>
      <t xml:space="preserve">  </t>
    </r>
  </si>
  <si>
    <r>
      <t>- jednokrilna puna zaokretna vrata, dimenzija g.o. 100/210 cm (</t>
    </r>
    <r>
      <rPr>
        <b/>
        <sz val="10"/>
        <color rgb="FF00B0F0"/>
        <rFont val="Calibri"/>
        <family val="2"/>
        <charset val="238"/>
        <scheme val="minor"/>
      </rPr>
      <t>shema 3</t>
    </r>
    <r>
      <rPr>
        <sz val="10"/>
        <color rgb="FF00B0F0"/>
        <rFont val="Calibri"/>
        <family val="2"/>
        <charset val="238"/>
        <scheme val="minor"/>
      </rPr>
      <t xml:space="preserve">), zvučna izolacija ugrađenih vrata Rwmin=36 dB  </t>
    </r>
  </si>
  <si>
    <r>
      <t>- jednokrilna puna zaokretna vrata, dimenzija g.o. 90/210 cm (</t>
    </r>
    <r>
      <rPr>
        <b/>
        <sz val="10"/>
        <color rgb="FF00B0F0"/>
        <rFont val="Calibri"/>
        <family val="2"/>
        <charset val="238"/>
        <scheme val="minor"/>
      </rPr>
      <t>shema 4R</t>
    </r>
    <r>
      <rPr>
        <sz val="10"/>
        <color rgb="FF00B0F0"/>
        <rFont val="Calibri"/>
        <family val="2"/>
        <charset val="238"/>
        <scheme val="minor"/>
      </rPr>
      <t xml:space="preserve">), u vratno krilo ugraditi rešetku za ventilaciju u skladu sa strojarskim projektom  </t>
    </r>
  </si>
  <si>
    <r>
      <t xml:space="preserve">Kabina u muškom wc-u postojeće zgrade </t>
    </r>
    <r>
      <rPr>
        <b/>
        <sz val="10"/>
        <color rgb="FF00B0F0"/>
        <rFont val="Calibri"/>
        <family val="2"/>
        <charset val="238"/>
        <scheme val="minor"/>
      </rPr>
      <t>(shema 5)</t>
    </r>
    <r>
      <rPr>
        <sz val="10"/>
        <color rgb="FF00B0F0"/>
        <rFont val="Calibri"/>
        <family val="2"/>
        <charset val="238"/>
        <scheme val="minor"/>
      </rPr>
      <t xml:space="preserve"> sastoji se od:</t>
    </r>
  </si>
  <si>
    <t>- bočne pregrade koja odvaja wc kabinu od prostora s umivaonicima dužine 98 cm i visine 210 cm (uključivo inox stalke).</t>
  </si>
  <si>
    <r>
      <t xml:space="preserve">Kabine u ženskom wc-u postojeće zgrade </t>
    </r>
    <r>
      <rPr>
        <b/>
        <sz val="10"/>
        <color rgb="FF00B0F0"/>
        <rFont val="Calibri"/>
        <family val="2"/>
        <charset val="238"/>
        <scheme val="minor"/>
      </rPr>
      <t>(shema 6)</t>
    </r>
    <r>
      <rPr>
        <sz val="10"/>
        <color rgb="FF00B0F0"/>
        <rFont val="Calibri"/>
        <family val="2"/>
        <charset val="238"/>
        <scheme val="minor"/>
      </rPr>
      <t xml:space="preserve"> sastoje se od:</t>
    </r>
  </si>
  <si>
    <r>
      <t>- jednokrilna puna zaokretna vrata, dimenzija g.o. 100/210 cm (</t>
    </r>
    <r>
      <rPr>
        <b/>
        <strike/>
        <sz val="10"/>
        <color rgb="FFFF0000"/>
        <rFont val="Calibri"/>
        <family val="2"/>
        <charset val="238"/>
        <scheme val="minor"/>
      </rPr>
      <t>shema 1a</t>
    </r>
    <r>
      <rPr>
        <strike/>
        <sz val="10"/>
        <color rgb="FFFF0000"/>
        <rFont val="Calibri"/>
        <family val="2"/>
        <charset val="238"/>
        <scheme val="minor"/>
      </rPr>
      <t>), u vratno krilo ugraditi rešetku za ventilaciju u skladu sa strojarskim projektom</t>
    </r>
  </si>
  <si>
    <r>
      <t>- jednokrilna puna zaokretna vrata, dimenzija g.o. 70/210 cm (</t>
    </r>
    <r>
      <rPr>
        <b/>
        <strike/>
        <sz val="10"/>
        <color rgb="FFFF0000"/>
        <rFont val="Calibri"/>
        <family val="2"/>
        <charset val="238"/>
        <scheme val="minor"/>
      </rPr>
      <t>shema 3</t>
    </r>
    <r>
      <rPr>
        <strike/>
        <sz val="10"/>
        <color rgb="FFFF0000"/>
        <rFont val="Calibri"/>
        <family val="2"/>
        <charset val="238"/>
        <scheme val="minor"/>
      </rPr>
      <t xml:space="preserve">) </t>
    </r>
  </si>
  <si>
    <t>Dobava i montaža pregradnih stijena sa vratima wc kabina koji su napravljeni od kombinacije plemenitog metala – inox i kompakt ploča.</t>
  </si>
  <si>
    <t>Pregradne stijene izrađene od kompakt ploča debljine 13 mm. Svi rubovi kompakt ploča završno obrađeni sa skošenim ili polukružno završenim rubovima. Stijene visine 210 cm uključivo stalke od inox materijala visine 15 cm.</t>
  </si>
  <si>
    <t>- pregradne stijene s jednokrilnim vratima visine 210 cm (uključivo inox stalke) i ukupne dužine 120 cm u kome su integrirana vrata svijetle širine 65 cm (otvaraju se u unutrašnjost kabine)</t>
  </si>
  <si>
    <t>- pregradne stijene s jednokrilnim vratima visine 210 cm (uključivo inox stalke) i ukupne dužine 90 cm u kome su integrirana vrata svijetle širine 65 cm (otvaraju se u unutrašnjost kabine)</t>
  </si>
  <si>
    <t>- pregradne stijene visine 160 cm (uključivo inox stalke) i širine 40 cm</t>
  </si>
  <si>
    <r>
      <t>- jednokrilna puna zaokretna vrata, dimenzija g.o. 100/210 cm (</t>
    </r>
    <r>
      <rPr>
        <b/>
        <sz val="10"/>
        <color rgb="FF00B0F0"/>
        <rFont val="Calibri"/>
        <family val="2"/>
        <charset val="238"/>
        <scheme val="minor"/>
      </rPr>
      <t>shema 5R</t>
    </r>
    <r>
      <rPr>
        <sz val="10"/>
        <color rgb="FF00B0F0"/>
        <rFont val="Calibri"/>
        <family val="2"/>
        <charset val="238"/>
        <scheme val="minor"/>
      </rPr>
      <t>), u vratno krilo ugraditi rešetku za ventilaciju u skladu sa strojarskim projektom</t>
    </r>
  </si>
  <si>
    <r>
      <t xml:space="preserve">Kabina u ženskom wc-u dogradnje </t>
    </r>
    <r>
      <rPr>
        <b/>
        <sz val="10"/>
        <color rgb="FF00B0F0"/>
        <rFont val="Calibri"/>
        <family val="2"/>
        <charset val="238"/>
        <scheme val="minor"/>
      </rPr>
      <t>(shema 7)</t>
    </r>
    <r>
      <rPr>
        <sz val="10"/>
        <color rgb="FF00B0F0"/>
        <rFont val="Calibri"/>
        <family val="2"/>
        <charset val="238"/>
        <scheme val="minor"/>
      </rPr>
      <t xml:space="preserve"> sastoji se od:</t>
    </r>
  </si>
  <si>
    <r>
      <t xml:space="preserve">Kabina u muškom wc-u dogradnje </t>
    </r>
    <r>
      <rPr>
        <b/>
        <sz val="10"/>
        <color rgb="FF00B0F0"/>
        <rFont val="Calibri"/>
        <family val="2"/>
        <charset val="238"/>
        <scheme val="minor"/>
      </rPr>
      <t>(shema 8)</t>
    </r>
    <r>
      <rPr>
        <sz val="10"/>
        <color rgb="FF00B0F0"/>
        <rFont val="Calibri"/>
        <family val="2"/>
        <charset val="238"/>
        <scheme val="minor"/>
      </rPr>
      <t xml:space="preserve"> sastoji se od:</t>
    </r>
  </si>
  <si>
    <r>
      <t xml:space="preserve">Pregrada između pisoara u muškom wc-u dogradnje </t>
    </r>
    <r>
      <rPr>
        <b/>
        <sz val="10"/>
        <color rgb="FF00B0F0"/>
        <rFont val="Calibri"/>
        <family val="2"/>
        <charset val="238"/>
        <scheme val="minor"/>
      </rPr>
      <t>(shema 9)</t>
    </r>
    <r>
      <rPr>
        <sz val="10"/>
        <color rgb="FF00B0F0"/>
        <rFont val="Calibri"/>
        <family val="2"/>
        <charset val="238"/>
        <scheme val="minor"/>
      </rPr>
      <t xml:space="preserve"> sastoji se od:</t>
    </r>
  </si>
  <si>
    <r>
      <t xml:space="preserve">- dvodjelna fiksna stijena, dimenzija g.o. 120x330 cm </t>
    </r>
    <r>
      <rPr>
        <b/>
        <strike/>
        <sz val="10"/>
        <color rgb="FFFF0000"/>
        <rFont val="Calibri"/>
        <family val="2"/>
        <charset val="238"/>
        <scheme val="minor"/>
      </rPr>
      <t>(shema 1)</t>
    </r>
  </si>
  <si>
    <r>
      <t xml:space="preserve">- dvodjelna fiksna stijena, dimenzija g.o. 120x250 cm </t>
    </r>
    <r>
      <rPr>
        <b/>
        <strike/>
        <sz val="10"/>
        <color rgb="FFFF0000"/>
        <rFont val="Calibri"/>
        <family val="2"/>
        <charset val="238"/>
        <scheme val="minor"/>
      </rPr>
      <t>(shema 2)</t>
    </r>
  </si>
  <si>
    <r>
      <t xml:space="preserve">- jednokrilna puna zaokretna vrata, dimenzija g.o. 120x250 cm </t>
    </r>
    <r>
      <rPr>
        <b/>
        <strike/>
        <sz val="10"/>
        <color rgb="FFFF0000"/>
        <rFont val="Calibri"/>
        <family val="2"/>
        <charset val="238"/>
        <scheme val="minor"/>
      </rPr>
      <t>(shema 3)</t>
    </r>
  </si>
  <si>
    <r>
      <t xml:space="preserve">- jednokrilni otklopni prozor, dimenzija g.o. 150x100 cm </t>
    </r>
    <r>
      <rPr>
        <b/>
        <strike/>
        <sz val="10"/>
        <color rgb="FFFF0000"/>
        <rFont val="Calibri"/>
        <family val="2"/>
        <charset val="238"/>
        <scheme val="minor"/>
      </rPr>
      <t>(shema 4)</t>
    </r>
  </si>
  <si>
    <r>
      <t xml:space="preserve">- jednokrilni fiksni prozor, dimenzija g.o. 180x150 cm </t>
    </r>
    <r>
      <rPr>
        <b/>
        <strike/>
        <sz val="10"/>
        <color rgb="FFFF0000"/>
        <rFont val="Calibri"/>
        <family val="2"/>
        <charset val="238"/>
        <scheme val="minor"/>
      </rPr>
      <t>(shema 5)</t>
    </r>
  </si>
  <si>
    <r>
      <t xml:space="preserve">- podizna sekcijska vrata s integriranim pješačkim, dimenzija g.o. 500x500 cm </t>
    </r>
    <r>
      <rPr>
        <b/>
        <strike/>
        <sz val="10"/>
        <color rgb="FFFF0000"/>
        <rFont val="Calibri"/>
        <family val="2"/>
        <charset val="238"/>
        <scheme val="minor"/>
      </rPr>
      <t>(shema 6)</t>
    </r>
  </si>
  <si>
    <r>
      <t xml:space="preserve">- podizna sekcijska vrata s integriranim pješačkim, dimenzija g.o. 500x400 cm </t>
    </r>
    <r>
      <rPr>
        <b/>
        <strike/>
        <sz val="10"/>
        <color rgb="FFFF0000"/>
        <rFont val="Calibri"/>
        <family val="2"/>
        <charset val="238"/>
        <scheme val="minor"/>
      </rPr>
      <t>(shema 7)</t>
    </r>
  </si>
  <si>
    <r>
      <t xml:space="preserve">- dvodjelna ostakljena stijena, dimenzija g.o. 120x330 cm </t>
    </r>
    <r>
      <rPr>
        <b/>
        <sz val="10"/>
        <color rgb="FF00B0F0"/>
        <rFont val="Calibri"/>
        <family val="2"/>
        <charset val="238"/>
        <scheme val="minor"/>
      </rPr>
      <t>(shema 1)</t>
    </r>
  </si>
  <si>
    <r>
      <t xml:space="preserve">- dvodjelna ostakljena stijena, dimenzija g.o. 120x250 cm </t>
    </r>
    <r>
      <rPr>
        <b/>
        <sz val="10"/>
        <color rgb="FF00B0F0"/>
        <rFont val="Calibri"/>
        <family val="2"/>
        <charset val="238"/>
        <scheme val="minor"/>
      </rPr>
      <t>(shema 2)</t>
    </r>
  </si>
  <si>
    <r>
      <t xml:space="preserve">- jednokrilna puna zaokretna vrata, dimenzija g.o. 120x250 cm </t>
    </r>
    <r>
      <rPr>
        <b/>
        <sz val="10"/>
        <color rgb="FF00B0F0"/>
        <rFont val="Calibri"/>
        <family val="2"/>
        <charset val="238"/>
        <scheme val="minor"/>
      </rPr>
      <t>(shema 3)</t>
    </r>
  </si>
  <si>
    <r>
      <t xml:space="preserve">- jednokrilni otklopni prozor, dimenzija g.o. 150x100 cm </t>
    </r>
    <r>
      <rPr>
        <b/>
        <sz val="10"/>
        <color rgb="FF00B0F0"/>
        <rFont val="Calibri"/>
        <family val="2"/>
        <charset val="238"/>
        <scheme val="minor"/>
      </rPr>
      <t>(shema 4)</t>
    </r>
  </si>
  <si>
    <r>
      <t xml:space="preserve">- jednokrilni fiksni prozor, dimenzija g.o. 180x150 cm </t>
    </r>
    <r>
      <rPr>
        <b/>
        <sz val="10"/>
        <color rgb="FF00B0F0"/>
        <rFont val="Calibri"/>
        <family val="2"/>
        <charset val="238"/>
        <scheme val="minor"/>
      </rPr>
      <t>(shema 5)</t>
    </r>
  </si>
  <si>
    <r>
      <t xml:space="preserve">- podizna sekcijska vrata s integriranim pješačkim, dimenzija g.o. 500x500 cm </t>
    </r>
    <r>
      <rPr>
        <b/>
        <sz val="10"/>
        <color rgb="FF00B0F0"/>
        <rFont val="Calibri"/>
        <family val="2"/>
        <charset val="238"/>
        <scheme val="minor"/>
      </rPr>
      <t>(shema 6)</t>
    </r>
  </si>
  <si>
    <r>
      <t xml:space="preserve">- podizna sekcijska vrata s integriranim pješačkim, dimenzija g.o. 500x400 cm </t>
    </r>
    <r>
      <rPr>
        <b/>
        <sz val="10"/>
        <color rgb="FF00B0F0"/>
        <rFont val="Calibri"/>
        <family val="2"/>
        <charset val="238"/>
        <scheme val="minor"/>
      </rPr>
      <t>(shema 7)</t>
    </r>
  </si>
  <si>
    <r>
      <t xml:space="preserve">- dvokrilna ostakljena zaokretna vrata, dimenzija g.o. 200x250 cm </t>
    </r>
    <r>
      <rPr>
        <b/>
        <strike/>
        <sz val="10"/>
        <color rgb="FFFF0000"/>
        <rFont val="Calibri"/>
        <family val="2"/>
        <charset val="238"/>
        <scheme val="minor"/>
      </rPr>
      <t>(shema 1)</t>
    </r>
  </si>
  <si>
    <r>
      <t xml:space="preserve">- dvokrilna puna zaokretna vrata, dimenzija g.o. 200x250 cm </t>
    </r>
    <r>
      <rPr>
        <b/>
        <strike/>
        <sz val="10"/>
        <color rgb="FFFF0000"/>
        <rFont val="Calibri"/>
        <family val="2"/>
        <charset val="238"/>
        <scheme val="minor"/>
      </rPr>
      <t>(shema 1a)</t>
    </r>
    <r>
      <rPr>
        <strike/>
        <sz val="10"/>
        <color rgb="FFFF0000"/>
        <rFont val="Calibri"/>
        <family val="2"/>
        <charset val="238"/>
        <scheme val="minor"/>
      </rPr>
      <t>, s toplinski izoliranim sendvič krilom</t>
    </r>
  </si>
  <si>
    <r>
      <t xml:space="preserve">- dvokrilna puna zaokretna vrata, dimenzija g.o. 120x210 cm </t>
    </r>
    <r>
      <rPr>
        <b/>
        <strike/>
        <sz val="10"/>
        <color rgb="FFFF0000"/>
        <rFont val="Calibri"/>
        <family val="2"/>
        <charset val="238"/>
        <scheme val="minor"/>
      </rPr>
      <t>(shema 2)</t>
    </r>
    <r>
      <rPr>
        <strike/>
        <sz val="10"/>
        <color rgb="FFFF0000"/>
        <rFont val="Calibri"/>
        <family val="2"/>
        <charset val="238"/>
        <scheme val="minor"/>
      </rPr>
      <t>, s toplinski izoliranim sendvič krilom, ugrađena vrata moraju zadovoljiti zahtjev za zvučnom izolacijom Rwmin=30 dB</t>
    </r>
  </si>
  <si>
    <t>Dobava, izrada i ugradnja dvokrilnih ostakljenih zaokretnih vrata od aluminijskih profila.</t>
  </si>
  <si>
    <t>Dobava, izrada i ugradnja punih zaokretnih vrata od aluminijskih profila.</t>
  </si>
  <si>
    <r>
      <t xml:space="preserve">- dvokrilna ostakljena zaokretna vrata, dimenzija g.o. 200x250 cm </t>
    </r>
    <r>
      <rPr>
        <b/>
        <sz val="10"/>
        <color rgb="FF00B0F0"/>
        <rFont val="Calibri"/>
        <family val="2"/>
        <charset val="238"/>
        <scheme val="minor"/>
      </rPr>
      <t>(shema 8)</t>
    </r>
  </si>
  <si>
    <r>
      <t xml:space="preserve">- dvokrilna puna zaokretna vrata, dimenzija g.o. 200x250 cm </t>
    </r>
    <r>
      <rPr>
        <b/>
        <sz val="10"/>
        <color rgb="FF00B0F0"/>
        <rFont val="Calibri"/>
        <family val="2"/>
        <charset val="238"/>
        <scheme val="minor"/>
      </rPr>
      <t>(shema 8a)</t>
    </r>
    <r>
      <rPr>
        <sz val="10"/>
        <color rgb="FF00B0F0"/>
        <rFont val="Calibri"/>
        <family val="2"/>
        <charset val="238"/>
        <scheme val="minor"/>
      </rPr>
      <t>, s toplinski izoliranim sendvič krilom</t>
    </r>
  </si>
  <si>
    <r>
      <t xml:space="preserve">- dvokrilna puna zaokretna vrata, dimenzija g.o. 120x210 cm </t>
    </r>
    <r>
      <rPr>
        <b/>
        <sz val="10"/>
        <color rgb="FF00B0F0"/>
        <rFont val="Calibri"/>
        <family val="2"/>
        <charset val="238"/>
        <scheme val="minor"/>
      </rPr>
      <t>(shema 9)</t>
    </r>
    <r>
      <rPr>
        <sz val="10"/>
        <color rgb="FF00B0F0"/>
        <rFont val="Calibri"/>
        <family val="2"/>
        <charset val="238"/>
        <scheme val="minor"/>
      </rPr>
      <t>, s toplinski izoliranim sendvič krilom, ugrađena vrata moraju zadovoljiti zahtjev za zvučnom izolacijom Rwmin=30 dB</t>
    </r>
  </si>
  <si>
    <r>
      <t xml:space="preserve">- jednokrilna puna zaokretna vrata, dimenzija g.o. 100x210 cm </t>
    </r>
    <r>
      <rPr>
        <b/>
        <sz val="10"/>
        <color rgb="FF00B0F0"/>
        <rFont val="Calibri"/>
        <family val="2"/>
        <charset val="238"/>
        <scheme val="minor"/>
      </rPr>
      <t>(shema 10R)</t>
    </r>
    <r>
      <rPr>
        <sz val="10"/>
        <color rgb="FF00B0F0"/>
        <rFont val="Calibri"/>
        <family val="2"/>
        <charset val="238"/>
        <scheme val="minor"/>
      </rPr>
      <t>, s toplinski izoliranim sendvič krilom, u vratno krilo ugraditi rešetku za ventilaciju u skladu sa strojarskim projektom</t>
    </r>
  </si>
  <si>
    <r>
      <t>Izrada, doprema i montaža vatrootpornih dvokrilnih ostakljenih zaokretnih vrata s ostakljenim fiksnim nadsvjetlom - klasa otpornosti na požar EI</t>
    </r>
    <r>
      <rPr>
        <strike/>
        <sz val="10"/>
        <color rgb="FFFF0000"/>
        <rFont val="Calibri"/>
        <family val="2"/>
        <charset val="238"/>
      </rPr>
      <t>₂</t>
    </r>
    <r>
      <rPr>
        <strike/>
        <sz val="10"/>
        <color rgb="FFFF0000"/>
        <rFont val="Calibri"/>
        <family val="2"/>
        <charset val="238"/>
        <scheme val="minor"/>
      </rPr>
      <t>60-C.</t>
    </r>
  </si>
  <si>
    <r>
      <t xml:space="preserve">- dvokrilna ostakljena zaokretna vrata s nadsvjetlom, dimenzija g.o. 200x330 cm </t>
    </r>
    <r>
      <rPr>
        <b/>
        <strike/>
        <sz val="10"/>
        <color rgb="FFFF0000"/>
        <rFont val="Calibri"/>
        <family val="2"/>
        <charset val="238"/>
        <scheme val="minor"/>
      </rPr>
      <t>(shema 1)</t>
    </r>
  </si>
  <si>
    <r>
      <t>Izrada, doprema i montaža vatrootpornih jednokrilnih punih zaokretnih vrata - klasa otpornosti na požar EI</t>
    </r>
    <r>
      <rPr>
        <strike/>
        <sz val="10"/>
        <color rgb="FFFF0000"/>
        <rFont val="Calibri"/>
        <family val="2"/>
        <charset val="238"/>
      </rPr>
      <t>₂</t>
    </r>
    <r>
      <rPr>
        <strike/>
        <sz val="10"/>
        <color rgb="FFFF0000"/>
        <rFont val="Calibri"/>
        <family val="2"/>
        <charset val="238"/>
        <scheme val="minor"/>
      </rPr>
      <t>60-C.</t>
    </r>
  </si>
  <si>
    <r>
      <t xml:space="preserve">- jednokrilna puna zaokretna vrata, dimenzija g.o. 100x210 cm </t>
    </r>
    <r>
      <rPr>
        <b/>
        <strike/>
        <sz val="10"/>
        <color rgb="FFFF0000"/>
        <rFont val="Calibri"/>
        <family val="2"/>
        <charset val="238"/>
        <scheme val="minor"/>
      </rPr>
      <t>(shema 2)</t>
    </r>
    <r>
      <rPr>
        <strike/>
        <sz val="10"/>
        <color rgb="FFFF0000"/>
        <rFont val="Calibri"/>
        <family val="2"/>
        <charset val="238"/>
        <scheme val="minor"/>
      </rPr>
      <t>, u vratno krilo ugraditi ekspandirajuću rešetku za ventilaciju u skladu sa strojarskim projektom</t>
    </r>
  </si>
  <si>
    <r>
      <t xml:space="preserve">- dvodjelna ostakljena stijena, dimenzija g.o. 120x250 cm </t>
    </r>
    <r>
      <rPr>
        <b/>
        <strike/>
        <sz val="10"/>
        <color rgb="FFFF0000"/>
        <rFont val="Calibri"/>
        <family val="2"/>
        <charset val="238"/>
        <scheme val="minor"/>
      </rPr>
      <t>(shema 3)</t>
    </r>
  </si>
  <si>
    <t xml:space="preserve">Brtve: trostrane ekspandirajuće;  </t>
  </si>
  <si>
    <r>
      <t>Izrada, doprema i montaža vatrootpornih dvokrilnih ostakljenih zaokretnih vrata s ostakljenim fiksnim nadsvjetlom - klasa otpornosti na požar EI</t>
    </r>
    <r>
      <rPr>
        <sz val="10"/>
        <color rgb="FF00B0F0"/>
        <rFont val="Calibri"/>
        <family val="2"/>
        <charset val="238"/>
      </rPr>
      <t>₂</t>
    </r>
    <r>
      <rPr>
        <sz val="10"/>
        <color rgb="FF00B0F0"/>
        <rFont val="Calibri"/>
        <family val="2"/>
        <charset val="238"/>
        <scheme val="minor"/>
      </rPr>
      <t>60-C.</t>
    </r>
  </si>
  <si>
    <r>
      <t xml:space="preserve">- dvokrilna ostakljena zaokretna vrata s nadsvjetlom, dimenzija g.o. 216x330 cm </t>
    </r>
    <r>
      <rPr>
        <b/>
        <sz val="10"/>
        <color rgb="FF00B0F0"/>
        <rFont val="Calibri"/>
        <family val="2"/>
        <charset val="238"/>
        <scheme val="minor"/>
      </rPr>
      <t>(shema 1)</t>
    </r>
  </si>
  <si>
    <r>
      <t>Izrada, doprema i montaža vatrootpornih jednokrilnih punih zaokretnih vrata - klasa otpornosti na požar EI</t>
    </r>
    <r>
      <rPr>
        <sz val="10"/>
        <color rgb="FF00B0F0"/>
        <rFont val="Calibri"/>
        <family val="2"/>
        <charset val="238"/>
      </rPr>
      <t>₂</t>
    </r>
    <r>
      <rPr>
        <sz val="10"/>
        <color rgb="FF00B0F0"/>
        <rFont val="Calibri"/>
        <family val="2"/>
        <charset val="238"/>
        <scheme val="minor"/>
      </rPr>
      <t>60-C.</t>
    </r>
  </si>
  <si>
    <r>
      <t xml:space="preserve">- jednokrilna puna zaokretna vrata, dimenzija g.o. 100x210 cm </t>
    </r>
    <r>
      <rPr>
        <b/>
        <sz val="10"/>
        <color rgb="FF00B0F0"/>
        <rFont val="Calibri"/>
        <family val="2"/>
        <charset val="238"/>
        <scheme val="minor"/>
      </rPr>
      <t>(shema 2R)</t>
    </r>
    <r>
      <rPr>
        <sz val="10"/>
        <color rgb="FF00B0F0"/>
        <rFont val="Calibri"/>
        <family val="2"/>
        <charset val="238"/>
        <scheme val="minor"/>
      </rPr>
      <t>, u vratno krilo ugraditi ekspandirajuću rešetku za ventilaciju u skladu sa strojarskim projektom</t>
    </r>
  </si>
  <si>
    <r>
      <t xml:space="preserve">- dvodjelna fiksna ostakljena stijena, dimenzija g.o. 120x250 cm </t>
    </r>
    <r>
      <rPr>
        <b/>
        <sz val="10"/>
        <color rgb="FF00B0F0"/>
        <rFont val="Calibri"/>
        <family val="2"/>
        <charset val="238"/>
        <scheme val="minor"/>
      </rPr>
      <t>(shema 3)</t>
    </r>
  </si>
  <si>
    <r>
      <t xml:space="preserve">Dobava, doprema i montaža tavanskih ljestvi - klasa otpornosti na požar EI60. Metalne sklopive ljestve za visoke prostore, dimenzije g.o. 70x114 cm, vanjske dimenzije kutije za ugradnju 68x112 cm, potpuno opremljene za ugradnju u strop, sa mehanizmom za otvaranje i rukohvatom, opremljene ručkom za rukovanje </t>
    </r>
    <r>
      <rPr>
        <b/>
        <sz val="10"/>
        <color rgb="FF00B0F0"/>
        <rFont val="Calibri"/>
        <family val="2"/>
        <charset val="238"/>
        <scheme val="minor"/>
      </rPr>
      <t>(shema 4)</t>
    </r>
    <r>
      <rPr>
        <sz val="10"/>
        <color rgb="FF00B0F0"/>
        <rFont val="Calibri"/>
        <family val="2"/>
        <charset val="238"/>
        <scheme val="minor"/>
      </rPr>
      <t>.</t>
    </r>
  </si>
  <si>
    <r>
      <t xml:space="preserve">Izrada, doprema i ugradnja rukohvata rampe od inox okruglih profila promjera 40 mm. Ugradnja u nastupnu plohu rampe i bočno u zid. Rukohvat se postavlja na visinu od 60 cm i na visinu od 90 cm, prema slikovnom prikazu 15. Pravilnika o osiguranju pristupačnosti građevina osobama s invaliditetom i smanjene pokretljivosti. U stavku ulazi izrada svih radioničkih detalja za izvedbu </t>
    </r>
    <r>
      <rPr>
        <b/>
        <sz val="10"/>
        <color rgb="FF00B0F0"/>
        <rFont val="Calibri"/>
        <family val="2"/>
        <charset val="238"/>
        <scheme val="minor"/>
      </rPr>
      <t>(shema 1)</t>
    </r>
    <r>
      <rPr>
        <sz val="10"/>
        <color rgb="FF00B0F0"/>
        <rFont val="Calibri"/>
        <family val="2"/>
        <charset val="238"/>
        <scheme val="minor"/>
      </rPr>
      <t>.</t>
    </r>
  </si>
  <si>
    <r>
      <t xml:space="preserve">Ispitivanje vertikalnosti pročelja nakon postave skele i obijanja žbuke. Rad se izvodi u dogovoru s nadzornim inženjerom, a ustanovljene neravnine se moraju ucrtati i kotirati na nacrtu pročelja. </t>
    </r>
    <r>
      <rPr>
        <sz val="10"/>
        <color rgb="FF00B0F0"/>
        <rFont val="Calibri"/>
        <family val="2"/>
        <charset val="238"/>
        <scheme val="minor"/>
      </rPr>
      <t>Ispitivanje vertikalnosti na 16 pozicija (2-3 po plohi pročelja) visine 4,5 m. Obračun po kompletu ispitanosti vertikalnosti (m1=72).</t>
    </r>
  </si>
  <si>
    <r>
      <t xml:space="preserve">Snimanje profilacija i uzimanje otisaka s očuvanih i očišćenih profilacija. Izmjere i uzorci uzimaju se s očuvanih površina i elemenata s kojih prethodno treba ukloniti sve slojeve prašine, smoga i drugih nečistoća, slojeve starih naliča, žbuke i sl. Prema otiscima izraditi šablone za izvedbu vučenih profila (po jednu radnu i jednu rezervnu) od čvrste i zdrave drvene građe ili metalne. Po potrebi izraditi i gipsane odljeve i nacrte 1:1. Za svaki vučeni profil izrađuje se komplet za oba sloja žbuke (za podložni i završni sloj žbuke)  1 komplet na 6-8 m.  Izrada kalupa od prikladnih materijala, odljeva i drugog po potrebi za pojedine elemente koji se izvode u žbuci.  Izrada kalupa, odljeva i sl. za elemente u štuko (ili drugoj masi) obuhvaćena je u restauratorskim radovima za svaki pojedini element. Točan položaj i broj snimaka i otisaka određuje nadzor nadležnog konzervatorskog zavoda. Uključivo ovjera  konzervatorskog nadzora snimaka i šablona, nakon čega se može početi s obijanjem žbuke.  
</t>
    </r>
    <r>
      <rPr>
        <strike/>
        <sz val="10"/>
        <color rgb="FFFF0000"/>
        <rFont val="Calibri"/>
        <family val="2"/>
        <charset val="238"/>
        <scheme val="minor"/>
      </rPr>
      <t xml:space="preserve">Obračun po kompletu. </t>
    </r>
  </si>
  <si>
    <t xml:space="preserve">Obračun po kompletu izvedenih radova. </t>
  </si>
  <si>
    <r>
      <rPr>
        <sz val="10"/>
        <color rgb="FF00B0F0"/>
        <rFont val="Calibri"/>
        <family val="2"/>
        <charset val="238"/>
        <scheme val="minor"/>
      </rPr>
      <t>Tlocrtna površina građevine iznosi 930 m2.</t>
    </r>
    <r>
      <rPr>
        <sz val="10"/>
        <rFont val="Calibri"/>
        <family val="2"/>
        <charset val="238"/>
        <scheme val="minor"/>
      </rPr>
      <t xml:space="preserve"> Obračun po kompletu iskolčenja građevine.</t>
    </r>
  </si>
  <si>
    <r>
      <t xml:space="preserve">Demontaža i detaljan pregled vanjskih stolarskih elemenata, doprozornika, dovratnika, okova i stakla kako bi se prikupili podaci o materijalu, detaljima, profilacijama i obradama (ukoliko element navedene pozicije postoji na lokaciji) radi izrade nove stolarije sukladno izvornom izgledu. Stavka uključuje demontažu, odlaganje i zbrinjavanje demontirane postojeće stolarije te sve transporte. </t>
    </r>
    <r>
      <rPr>
        <sz val="10"/>
        <color rgb="FF00B0F0"/>
        <rFont val="Calibri"/>
        <family val="2"/>
        <charset val="238"/>
        <scheme val="minor"/>
      </rPr>
      <t>Obračun po komadu stolarskih elemenata.</t>
    </r>
  </si>
  <si>
    <r>
      <t xml:space="preserve">Stavkom obuhvatiti demontažu svih slojeva stropa </t>
    </r>
    <r>
      <rPr>
        <strike/>
        <sz val="10"/>
        <color rgb="FFFF0000"/>
        <rFont val="Calibri"/>
        <family val="2"/>
        <charset val="238"/>
        <scheme val="minor"/>
      </rPr>
      <t>sa drvenim grednicima</t>
    </r>
    <r>
      <rPr>
        <sz val="10"/>
        <color rgb="FFFF0000"/>
        <rFont val="Calibri"/>
        <family val="2"/>
        <charset val="238"/>
        <scheme val="minor"/>
      </rPr>
      <t xml:space="preserve"> </t>
    </r>
    <r>
      <rPr>
        <sz val="10"/>
        <color rgb="FF00B0F0"/>
        <rFont val="Calibri"/>
        <family val="2"/>
        <charset val="238"/>
        <scheme val="minor"/>
      </rPr>
      <t xml:space="preserve">površine 150 m2 i debljine do 30 cm, sastoji se od drvenih grednika 14/20 cm na razmaku 70 cm, gornje i donje daščane oplate, a podgled je ožbukana trstika. Dio stropa je ojačan čeličnim traverzama manjeg profila (do 20%) </t>
    </r>
    <r>
      <rPr>
        <sz val="10"/>
        <rFont val="Calibri"/>
        <family val="2"/>
        <charset val="238"/>
        <scheme val="minor"/>
      </rPr>
      <t>utovar i odvoz materijala na gradski deponij, uključivo sa svim taksama i naknadama. Radove je potrebno izvoditi unutar postojeće zgrade te je prema tome potrebna primjena specijalne građevinske mehanizacije. Sva otežanja i potrebna prilagođenja u cijeni.</t>
    </r>
  </si>
  <si>
    <r>
      <rPr>
        <sz val="10"/>
        <rFont val="Calibri"/>
        <family val="2"/>
        <charset val="238"/>
        <scheme val="minor"/>
      </rPr>
      <t>Obračun</t>
    </r>
    <r>
      <rPr>
        <strike/>
        <sz val="10"/>
        <color rgb="FFFF0000"/>
        <rFont val="Calibri"/>
        <family val="2"/>
        <charset val="238"/>
        <scheme val="minor"/>
      </rPr>
      <t xml:space="preserve"> prema </t>
    </r>
    <r>
      <rPr>
        <sz val="10"/>
        <color rgb="FF00B0F0"/>
        <rFont val="Calibri"/>
        <family val="2"/>
        <charset val="238"/>
        <scheme val="minor"/>
      </rPr>
      <t xml:space="preserve">po m2 </t>
    </r>
    <r>
      <rPr>
        <sz val="10"/>
        <rFont val="Calibri"/>
        <family val="2"/>
        <charset val="238"/>
        <scheme val="minor"/>
      </rPr>
      <t>demontiranog</t>
    </r>
    <r>
      <rPr>
        <sz val="10"/>
        <color rgb="FF00B0F0"/>
        <rFont val="Calibri"/>
        <family val="2"/>
        <charset val="238"/>
        <scheme val="minor"/>
      </rPr>
      <t xml:space="preserve"> </t>
    </r>
    <r>
      <rPr>
        <strike/>
        <sz val="10"/>
        <color rgb="FFFF0000"/>
        <rFont val="Calibri"/>
        <family val="2"/>
        <charset val="238"/>
        <scheme val="minor"/>
      </rPr>
      <t xml:space="preserve">materijala </t>
    </r>
    <r>
      <rPr>
        <sz val="10"/>
        <color rgb="FF00B0F0"/>
        <rFont val="Calibri"/>
        <family val="2"/>
        <charset val="238"/>
        <scheme val="minor"/>
      </rPr>
      <t>stropa</t>
    </r>
    <r>
      <rPr>
        <sz val="10"/>
        <color rgb="FFFF0000"/>
        <rFont val="Calibri"/>
        <family val="2"/>
        <charset val="238"/>
        <scheme val="minor"/>
      </rPr>
      <t>.</t>
    </r>
  </si>
  <si>
    <r>
      <t xml:space="preserve">Formiranje pristupne rampe i radnih platoa za potrebe izvođenja novog dijela zgrade, zaštitnih i potpornih konstrukcija </t>
    </r>
    <r>
      <rPr>
        <sz val="10"/>
        <color rgb="FF00B0F0"/>
        <rFont val="Calibri"/>
        <family val="2"/>
        <charset val="238"/>
        <scheme val="minor"/>
      </rPr>
      <t>sukladno izvođačevoj tehnologiji za iskop dubine do 2 m</t>
    </r>
    <r>
      <rPr>
        <sz val="10"/>
        <rFont val="Calibri"/>
        <family val="2"/>
        <charset val="238"/>
        <scheme val="minor"/>
      </rPr>
      <t>.</t>
    </r>
  </si>
  <si>
    <r>
      <t>Obračun po m2</t>
    </r>
    <r>
      <rPr>
        <strike/>
        <sz val="10"/>
        <color rgb="FFFF0000"/>
        <rFont val="Calibri"/>
        <family val="2"/>
        <charset val="238"/>
        <scheme val="minor"/>
      </rPr>
      <t xml:space="preserve"> izvedenog radnog platoa</t>
    </r>
    <r>
      <rPr>
        <sz val="10"/>
        <rFont val="Calibri"/>
        <family val="2"/>
        <charset val="238"/>
        <scheme val="minor"/>
      </rPr>
      <t>.</t>
    </r>
  </si>
  <si>
    <t>Obračun po komadu kompletno izvedenog slivnika.</t>
  </si>
  <si>
    <t>Dobava, prijenos i montaža kompletnog umivaonika koji se sastoji od:                                                                 '- keramičkog umivaonika I klase, s poniklanim samočistećim  sifonom s ispustom d32 mm, s  vijcima za učvršćenje keramike i svim potrebnim pričvrsnim priborom i spojnim materijalom;                                          '-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 stojeće elektronske senzorske armature za umivaonik, protuvandalska izvedba s grupnim mrežnim  napajanjem, s prethodno podesivim mehaničkim miješanjem TV+HV, maksimalnog protoka vode do 6 lit/min., perlatorom s ograničenjem protoka vode, dva gibljiva crijeva R⅜" za priključak vode sa sitima protiv nečistoća i nepovratnim ventilima.                                                        '-  2 kutna ventila DN15 spojenim na dovod vode;</t>
  </si>
  <si>
    <r>
      <t>Izrada priključka s glavnom uličnom kanalizacijom uz predhodno prema Općim i tehničkim uvjetima i odobrenju nadležne institucije.</t>
    </r>
    <r>
      <rPr>
        <sz val="10"/>
        <color rgb="FF00B0F0"/>
        <rFont val="Calibri"/>
        <family val="2"/>
        <charset val="238"/>
        <scheme val="minor"/>
      </rPr>
      <t xml:space="preserve"> Stavka uključuje izradu priključka na 2 spojna mjesta s uličnom kanalizacijom i cijev DN300 mm m1=10 m po spoju. </t>
    </r>
    <r>
      <rPr>
        <sz val="10"/>
        <rFont val="Calibri"/>
        <family val="2"/>
        <charset val="238"/>
        <scheme val="minor"/>
      </rPr>
      <t>Stavka uključuje sav potreban materijal, opremu za ugradnju kao i za regulaciju prometa, sanaciju slojeva prometnice uz suglasnost nadležnih institucija. Obračun po komadu spoja.</t>
    </r>
  </si>
  <si>
    <t>revizija 1: siječanj 2025.</t>
  </si>
  <si>
    <r>
      <t>Obračun po</t>
    </r>
    <r>
      <rPr>
        <strike/>
        <sz val="10"/>
        <color rgb="FFFF0000"/>
        <rFont val="Calibri"/>
        <family val="2"/>
        <charset val="238"/>
        <scheme val="minor"/>
      </rPr>
      <t xml:space="preserve"> komadu </t>
    </r>
    <r>
      <rPr>
        <sz val="10"/>
        <rFont val="Calibri"/>
        <family val="2"/>
        <charset val="238"/>
        <scheme val="minor"/>
      </rPr>
      <t xml:space="preserve">kompletu </t>
    </r>
    <r>
      <rPr>
        <strike/>
        <sz val="10"/>
        <color rgb="FFFF0000"/>
        <rFont val="Calibri"/>
        <family val="2"/>
        <charset val="238"/>
        <scheme val="minor"/>
      </rPr>
      <t>srušenog</t>
    </r>
    <r>
      <rPr>
        <sz val="10"/>
        <color rgb="FFFF0000"/>
        <rFont val="Calibri"/>
        <family val="2"/>
        <charset val="238"/>
        <scheme val="minor"/>
      </rPr>
      <t xml:space="preserve"> </t>
    </r>
    <r>
      <rPr>
        <sz val="10"/>
        <color rgb="FF00B0F0"/>
        <rFont val="Calibri"/>
        <family val="2"/>
        <charset val="238"/>
        <scheme val="minor"/>
      </rPr>
      <t>izvedenih radova</t>
    </r>
    <r>
      <rPr>
        <sz val="10"/>
        <rFont val="Calibri"/>
        <family val="2"/>
        <charset val="238"/>
        <scheme val="minor"/>
      </rPr>
      <t>.</t>
    </r>
  </si>
  <si>
    <r>
      <t xml:space="preserve">Obračun prema m3 iskopanog zemljanog materijala u sraslom stanju </t>
    </r>
    <r>
      <rPr>
        <sz val="10"/>
        <color rgb="FF00B0F0"/>
        <rFont val="Calibri"/>
        <family val="2"/>
        <charset val="238"/>
        <scheme val="minor"/>
      </rPr>
      <t>za kategoriju tla A 30%, B 40% i C 30%, te ručni iskop 20% a strojni iskop 80%</t>
    </r>
    <r>
      <rPr>
        <sz val="10"/>
        <rFont val="Calibri"/>
        <family val="2"/>
        <charset val="238"/>
        <scheme val="minor"/>
      </rPr>
      <t>.</t>
    </r>
  </si>
  <si>
    <t>Obračun po m2 ugrađenog geotekstila.</t>
  </si>
  <si>
    <t>Rušenje drveća i čišćenje parcele u zoni zahvata površine 3600 m2, od grmlja, drveća visine 8-12 m (kom 18), postojećeg zidanog opečnog potpornog zida debljine do 70 cm, visine 1,50 m i duljine 50 m, s utovarom  i odvozom na mjesnu planirku.</t>
  </si>
  <si>
    <t xml:space="preserve">Demontaža postojećih instalacija: a) demontaža elektroinstalacija (m1=100); b) demontaža instalacije vodovoda i kanalizacije (4 wc-a); c) demontaža kuhinjske nape restorana i ventilacijskih kanala presjeka do 0,25 m2 (m1=30). Obračun po kompletu izvršene demontaže. </t>
  </si>
  <si>
    <t>a) profilacija nadvoja iznad prozora od fasadne opeke r.š. do 30 cm (m1=16)</t>
  </si>
  <si>
    <t>b) profilacija pozorskih klupčica (m1=12)</t>
  </si>
  <si>
    <r>
      <t xml:space="preserve">c) profilacija </t>
    </r>
    <r>
      <rPr>
        <strike/>
        <sz val="10"/>
        <color rgb="FFFF0000"/>
        <rFont val="Calibri"/>
        <family val="2"/>
        <charset val="238"/>
        <scheme val="minor"/>
      </rPr>
      <t>vertikalna uz fasadnu opeku</t>
    </r>
    <r>
      <rPr>
        <sz val="10"/>
        <color rgb="FF00B0F0"/>
        <rFont val="Calibri"/>
        <family val="2"/>
        <charset val="238"/>
        <scheme val="minor"/>
      </rPr>
      <t xml:space="preserve"> okvira vrata </t>
    </r>
    <r>
      <rPr>
        <strike/>
        <sz val="10"/>
        <color rgb="FFFF0000"/>
        <rFont val="Calibri"/>
        <family val="2"/>
        <charset val="238"/>
        <scheme val="minor"/>
      </rPr>
      <t>prizemlja</t>
    </r>
    <r>
      <rPr>
        <sz val="10"/>
        <color rgb="FF00B0F0"/>
        <rFont val="Calibri"/>
        <family val="2"/>
        <charset val="238"/>
        <scheme val="minor"/>
      </rPr>
      <t xml:space="preserve"> od fasadne opeke r.š. do 20  cm (m1=6)</t>
    </r>
  </si>
  <si>
    <t>Čišćenje parcele u zoni zahvata, s utovarom  i odvozom na mjesnu planirku; a) čišćenje parcele, uključivo uklanjanje niskog raslinja, m2=3600; b) uklanjanje drveća visine do 8 m, promjera do 60 cm, sa vađenjem panjeva, kom=8; c) uklanjanje drveća visine do 12 m, promjera do 100 cm, sa vađenjem panjeva, kom=10; d) uklanjanje postojećeg zidanog opečnog potpornog zida debljine do 70 cm, visine 1,50 m i duljine 50 m.</t>
  </si>
  <si>
    <r>
      <t xml:space="preserve">Iskolčenje i lociranje točne trase postojećih instalacija unutar obuhvata radova vodovoda i kanalizacije. </t>
    </r>
    <r>
      <rPr>
        <sz val="10"/>
        <color rgb="FF00B0F0"/>
        <rFont val="Calibri"/>
        <family val="2"/>
        <charset val="238"/>
        <scheme val="minor"/>
      </rPr>
      <t>Ukoliko se uoče, potrebno ih je zaštititi u dogovoru s nadležnim službama za predmetnu instalaciju.</t>
    </r>
    <r>
      <rPr>
        <sz val="10"/>
        <rFont val="Calibri"/>
        <family val="2"/>
        <charset val="238"/>
        <scheme val="minor"/>
      </rPr>
      <t xml:space="preserve"> </t>
    </r>
    <r>
      <rPr>
        <strike/>
        <sz val="10"/>
        <color rgb="FFFF0000"/>
        <rFont val="Calibri"/>
        <family val="2"/>
        <charset val="238"/>
        <scheme val="minor"/>
      </rPr>
      <t>kako nebi došlo do oštećenja istih. Zaštita oredmetnih instalacija za vrijeme i nakon izvođenja radova a sve prema pravilima vlasnika instalacija.</t>
    </r>
    <r>
      <rPr>
        <sz val="10"/>
        <rFont val="Calibri"/>
        <family val="2"/>
        <charset val="238"/>
        <scheme val="minor"/>
      </rPr>
      <t xml:space="preserve"> U stavku je uračunat sav rad i sav potreban materijal. Obračun po kompletu zaštićenih instalacija </t>
    </r>
    <r>
      <rPr>
        <sz val="10"/>
        <color rgb="FF00B0F0"/>
        <rFont val="Calibri"/>
        <family val="2"/>
        <charset val="238"/>
        <scheme val="minor"/>
      </rPr>
      <t>(m1=45)</t>
    </r>
    <r>
      <rPr>
        <sz val="10"/>
        <rFont val="Calibri"/>
        <family val="2"/>
        <charset val="238"/>
        <scheme val="minor"/>
      </rPr>
      <t>.</t>
    </r>
  </si>
  <si>
    <r>
      <t xml:space="preserve">Dobava, donos i ugradba </t>
    </r>
    <r>
      <rPr>
        <sz val="10"/>
        <color rgb="FF00B0F0"/>
        <rFont val="Calibri"/>
        <family val="2"/>
        <charset val="238"/>
        <scheme val="minor"/>
      </rPr>
      <t>betonskog</t>
    </r>
    <r>
      <rPr>
        <sz val="10"/>
        <rFont val="Calibri"/>
        <family val="2"/>
        <charset val="238"/>
        <scheme val="minor"/>
      </rPr>
      <t xml:space="preserve"> slivnika Ø 80 mm sa rešetkom i taložnicom, te spojem sa Ø 160 mm na kanalizacijsko okno.</t>
    </r>
  </si>
  <si>
    <r>
      <t xml:space="preserve">Demontaža postojećih unutarnjih instalacija vodovoda, odvodnje kao i svih objekata vezanih uz predmetne instalacije. Stavka uključuje sav potreban rad, alat, materijal, pomoćni i dodatni materijal i opremu. Obračun po </t>
    </r>
    <r>
      <rPr>
        <strike/>
        <sz val="10"/>
        <color rgb="FFFF0000"/>
        <rFont val="Calibri"/>
        <family val="2"/>
        <charset val="238"/>
        <scheme val="minor"/>
      </rPr>
      <t xml:space="preserve">komadu </t>
    </r>
    <r>
      <rPr>
        <sz val="10"/>
        <rFont val="Calibri"/>
        <family val="2"/>
        <charset val="238"/>
        <scheme val="minor"/>
      </rPr>
      <t>kompletu</t>
    </r>
    <r>
      <rPr>
        <sz val="10"/>
        <color rgb="FF00B0F0"/>
        <rFont val="Calibri"/>
        <family val="2"/>
        <charset val="238"/>
        <scheme val="minor"/>
      </rPr>
      <t xml:space="preserve"> izvršene demontaže</t>
    </r>
    <r>
      <rPr>
        <sz val="10"/>
        <rFont val="Calibri"/>
        <family val="2"/>
        <charset val="238"/>
        <scheme val="minor"/>
      </rPr>
      <t>.</t>
    </r>
  </si>
  <si>
    <r>
      <t xml:space="preserve">Demontaža postojećih dvorišnih instalacija vodovoda, odvodnje, kao i svih objekata vezanih uz predmetne instalacije. Stavka uključuje sav potreban rad, alat, materijal, pomoćni i dodatni materijal i opremu. Obračun po </t>
    </r>
    <r>
      <rPr>
        <strike/>
        <sz val="10"/>
        <color rgb="FFFF0000"/>
        <rFont val="Calibri"/>
        <family val="2"/>
        <charset val="238"/>
        <scheme val="minor"/>
      </rPr>
      <t>komadu</t>
    </r>
    <r>
      <rPr>
        <sz val="10"/>
        <rFont val="Calibri"/>
        <family val="2"/>
        <charset val="238"/>
        <scheme val="minor"/>
      </rPr>
      <t xml:space="preserve"> kompletu</t>
    </r>
    <r>
      <rPr>
        <sz val="10"/>
        <color rgb="FF00B0F0"/>
        <rFont val="Calibri"/>
        <family val="2"/>
        <charset val="238"/>
        <scheme val="minor"/>
      </rPr>
      <t xml:space="preserve"> demontiranih instalacija: a) vodovodne instalacije do </t>
    </r>
    <r>
      <rPr>
        <sz val="10"/>
        <color rgb="FF00B0F0"/>
        <rFont val="Century Gothic"/>
        <family val="2"/>
        <charset val="238"/>
      </rPr>
      <t>Φ</t>
    </r>
    <r>
      <rPr>
        <sz val="10"/>
        <color rgb="FF00B0F0"/>
        <rFont val="Calibri"/>
        <family val="2"/>
        <charset val="238"/>
      </rPr>
      <t xml:space="preserve">50 mm, m1=100; b) odvodnja do </t>
    </r>
    <r>
      <rPr>
        <sz val="10"/>
        <color rgb="FF00B0F0"/>
        <rFont val="Century Gothic"/>
        <family val="2"/>
        <charset val="238"/>
      </rPr>
      <t>Φ</t>
    </r>
    <r>
      <rPr>
        <sz val="10"/>
        <color rgb="FF00B0F0"/>
        <rFont val="Calibri"/>
        <family val="2"/>
        <charset val="238"/>
      </rPr>
      <t>150 mm, m1=150 m</t>
    </r>
    <r>
      <rPr>
        <sz val="10"/>
        <color rgb="FF00B0F0"/>
        <rFont val="Calibri"/>
        <family val="2"/>
        <charset val="238"/>
        <scheme val="minor"/>
      </rPr>
      <t>.</t>
    </r>
  </si>
  <si>
    <t>Kvalitetno ispitivanje vode nakon montaže kompletne opreme (Zavod za zaštitu zdravlja) i izdavanje atesta o kvaliteti.</t>
  </si>
  <si>
    <r>
      <t xml:space="preserve">Puštanje u rad ispitivanja i certificiranje vanjske instalacije što uključuje, vizualna kotrola instalacije, tlačna proba instalacije, </t>
    </r>
    <r>
      <rPr>
        <strike/>
        <sz val="10"/>
        <color rgb="FFFF0000"/>
        <rFont val="Calibri"/>
        <family val="2"/>
        <charset val="238"/>
        <scheme val="minor"/>
      </rPr>
      <t>ispitivanje sanitarne ispravnosti vode za piće od strane ovlaštene institucije</t>
    </r>
    <r>
      <rPr>
        <sz val="10"/>
        <rFont val="Calibri"/>
        <family val="2"/>
        <charset val="238"/>
        <scheme val="minor"/>
      </rPr>
      <t>.</t>
    </r>
  </si>
  <si>
    <t>Dobava i montaža "geberit"  WC školjke sa ugradbenim vodokotlićem  i  WC daskom od tvrde plastike. Za 6 lit ispiranje te prosječeni max. volumen ispiranja 3,5 lit, odignute od poda min. 6 cm. Stavkom obuhvatiti izradu spoja na dovod i odvod (isplavne cijevi, vijke za školjku i sl.).  U stavku uračunati zidni nosač od inoxa s WC četkom i držač toaletnog papira od inoxa. Obračun po montiranom kompletu.</t>
  </si>
  <si>
    <r>
      <t xml:space="preserve">Puštanje u rad, ispitivanja i certificiranje vanjske instalacije </t>
    </r>
    <r>
      <rPr>
        <sz val="10"/>
        <color rgb="FF00B0F0"/>
        <rFont val="Calibri"/>
        <family val="2"/>
        <charset val="238"/>
        <scheme val="minor"/>
      </rPr>
      <t xml:space="preserve">hidrantske mreže PHD DN110 (m1=130) i sanitarne vode PHD DN25 (m1=100), </t>
    </r>
    <r>
      <rPr>
        <sz val="10"/>
        <rFont val="Calibri"/>
        <family val="2"/>
        <charset val="238"/>
        <scheme val="minor"/>
      </rPr>
      <t>što uključuje vizualnu kontrolu instalacije, tlačnu probu instalacije, ispitivanje sanitarne ispravnosti vode za piće od strane ovlaštene institucije.</t>
    </r>
    <r>
      <rPr>
        <sz val="10"/>
        <color rgb="FF00B0F0"/>
        <rFont val="Calibri"/>
        <family val="2"/>
        <charset val="238"/>
        <scheme val="minor"/>
      </rPr>
      <t xml:space="preserve"> Obračun po kompletu izvedenih radova.</t>
    </r>
  </si>
  <si>
    <r>
      <t xml:space="preserve">Projektantski geotehnički nadzor nad izvođenjem radova </t>
    </r>
    <r>
      <rPr>
        <strike/>
        <sz val="10"/>
        <color rgb="FFFF0000"/>
        <rFont val="Calibri"/>
        <family val="2"/>
        <charset val="238"/>
        <scheme val="minor"/>
      </rPr>
      <t xml:space="preserve">zaštite građevne jame </t>
    </r>
    <r>
      <rPr>
        <sz val="10"/>
        <color rgb="FF00B0F0"/>
        <rFont val="Calibri"/>
        <family val="2"/>
        <charset val="238"/>
        <scheme val="minor"/>
      </rPr>
      <t>zaštitne konstrukcije</t>
    </r>
    <r>
      <rPr>
        <sz val="10"/>
        <rFont val="Calibri"/>
        <family val="2"/>
        <charset val="238"/>
        <scheme val="minor"/>
      </rPr>
      <t>. Predvidivo 3 izlaska. Obračun po izlasku.</t>
    </r>
  </si>
  <si>
    <r>
      <t xml:space="preserve">Revizija glavnog projekta </t>
    </r>
    <r>
      <rPr>
        <strike/>
        <sz val="10"/>
        <color rgb="FFFF0000"/>
        <rFont val="Calibri"/>
        <family val="2"/>
        <charset val="238"/>
        <scheme val="minor"/>
      </rPr>
      <t xml:space="preserve">zaštite građevne jame </t>
    </r>
    <r>
      <rPr>
        <sz val="10"/>
        <color rgb="FF00B0F0"/>
        <rFont val="Calibri"/>
        <family val="2"/>
        <charset val="238"/>
        <scheme val="minor"/>
      </rPr>
      <t>zaštitne konstrukcije pokosa iza objekta</t>
    </r>
    <r>
      <rPr>
        <sz val="10"/>
        <rFont val="Calibri"/>
        <family val="2"/>
        <charset val="238"/>
        <scheme val="minor"/>
      </rPr>
      <t>.</t>
    </r>
  </si>
  <si>
    <r>
      <t xml:space="preserve">Izrada glavnog i izvedbenog projekta </t>
    </r>
    <r>
      <rPr>
        <strike/>
        <sz val="10"/>
        <color rgb="FFFF0000"/>
        <rFont val="Calibri"/>
        <family val="2"/>
        <charset val="238"/>
        <scheme val="minor"/>
      </rPr>
      <t xml:space="preserve">zaštite građevne jame </t>
    </r>
    <r>
      <rPr>
        <sz val="10"/>
        <color rgb="FF00B0F0"/>
        <rFont val="Calibri"/>
        <family val="2"/>
        <charset val="238"/>
        <scheme val="minor"/>
      </rPr>
      <t>zaštitne konstrukcije pokosa iza objekta</t>
    </r>
    <r>
      <rPr>
        <strike/>
        <sz val="10"/>
        <color rgb="FFFF0000"/>
        <rFont val="Calibri"/>
        <family val="2"/>
        <charset val="238"/>
        <scheme val="minor"/>
      </rPr>
      <t>.</t>
    </r>
  </si>
  <si>
    <r>
      <t xml:space="preserve"> - operatorski panel</t>
    </r>
    <r>
      <rPr>
        <strike/>
        <sz val="10"/>
        <color rgb="FFFF0000"/>
        <rFont val="Arial"/>
        <family val="2"/>
        <charset val="238"/>
      </rPr>
      <t>-kom 1</t>
    </r>
  </si>
  <si>
    <r>
      <t>Dobava, montaža i spajanje kabelskih polica za polaganje kabela, komplet sa svim spojnim i montažnim materijalom te poklopac kanala,</t>
    </r>
    <r>
      <rPr>
        <strike/>
        <sz val="10"/>
        <color rgb="FFFF0000"/>
        <rFont val="Arial"/>
        <family val="2"/>
        <charset val="238"/>
      </rPr>
      <t xml:space="preserve"> plastificirane u RAL tonovima prema želji investitora</t>
    </r>
    <r>
      <rPr>
        <sz val="10"/>
        <rFont val="Arial"/>
        <family val="2"/>
      </rPr>
      <t>:</t>
    </r>
  </si>
  <si>
    <r>
      <t xml:space="preserve">Dobava, montaža i spajanje kabelskih polica za polaganje kabela, komplet sa svim spojnim i montažnim materijalom te poklopac kanala, </t>
    </r>
    <r>
      <rPr>
        <strike/>
        <sz val="10"/>
        <color rgb="FFFF0000"/>
        <rFont val="Arial"/>
        <family val="2"/>
        <charset val="238"/>
      </rPr>
      <t>plastificirane u RAL tonovima prema želji investitora</t>
    </r>
    <r>
      <rPr>
        <sz val="10"/>
        <rFont val="Arial"/>
        <family val="2"/>
      </rPr>
      <t>:</t>
    </r>
  </si>
  <si>
    <r>
      <t>Nabava, isporuka i nadžbukno polaganje</t>
    </r>
    <r>
      <rPr>
        <sz val="10"/>
        <color rgb="FF00B0F0"/>
        <rFont val="Arial"/>
        <family val="2"/>
        <charset val="238"/>
      </rPr>
      <t xml:space="preserve"> PVC kabelskih kanalica s poklopcem</t>
    </r>
    <r>
      <rPr>
        <sz val="10"/>
        <rFont val="Arial"/>
        <family val="2"/>
        <charset val="238"/>
      </rPr>
      <t xml:space="preserve">, uključujući potrebni negorivi instalacijski spojni i montažni pribor i materijal E 90 (tiple, vijci, koljena, obujmice i vezice) te s izvedbom potrebnih prodora
 - predvidjeti rad na većim visinama te potreban alat (skela)
- 20x10 mm </t>
    </r>
  </si>
  <si>
    <t>- kutni vertikalni element</t>
  </si>
  <si>
    <t>- kutni horizontalni element</t>
  </si>
  <si>
    <t>- slip opeka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</si>
</sst>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0.00\ &quot;kn&quot;_-;\-* #,##0.00\ &quot;kn&quot;_-;_-* &quot;-&quot;??\ &quot;kn&quot;_-;_-@_-"/>
    <numFmt numFmtId="43" formatCode="_-* #,##0.00_-;\-* #,##0.00_-;_-* &quot;-&quot;??_-;_-@_-"/>
    <numFmt numFmtId="164" formatCode="_-* #,##0.00\ _k_n_-;\-* #,##0.00\ _k_n_-;_-* &quot;-&quot;??\ _k_n_-;_-@_-"/>
    <numFmt numFmtId="165" formatCode="_(* #,##0.00_);_(* \(#,##0.00\);_(* &quot;-&quot;??_);_(@_)"/>
    <numFmt numFmtId="166" formatCode="General_)"/>
    <numFmt numFmtId="167" formatCode="&quot; &quot;#,##0.00&quot; &quot;[$kn-41A]&quot; &quot;;&quot;-&quot;#,##0.00&quot; &quot;[$kn-41A]&quot; &quot;;&quot; -&quot;00&quot; &quot;[$kn-41A]&quot; &quot;;&quot; &quot;@&quot; &quot;"/>
    <numFmt numFmtId="168" formatCode="#,##0.00&quot;     &quot;;[Red]#,##0.00&quot;     &quot;"/>
    <numFmt numFmtId="169" formatCode="#,##0.00_ ;[Red]\-#,##0.00\ "/>
    <numFmt numFmtId="170" formatCode="#,##0_ ;[Red]\-#,##0\ "/>
    <numFmt numFmtId="171" formatCode="0.0"/>
    <numFmt numFmtId="172" formatCode="#,##0.00\ [$kn-41A]"/>
    <numFmt numFmtId="173" formatCode="_-* #,##0.00\ [$€-1]_-;\-* #,##0.00\ [$€-1]_-;_-* &quot;-&quot;??\ [$€-1]_-;_-@_-"/>
    <numFmt numFmtId="174" formatCode="#,##0.00_ ;\-#,##0.00\ "/>
    <numFmt numFmtId="175" formatCode="_-* #,##0.00\ [$kn-41A]_-;\-* #,##0.00\ [$kn-41A]_-;_-* &quot;-&quot;??\ [$kn-41A]_-;_-@_-"/>
  </numFmts>
  <fonts count="129">
    <font>
      <sz val="10"/>
      <name val="Arial"/>
      <charset val="238"/>
    </font>
    <font>
      <sz val="11"/>
      <color theme="1"/>
      <name val="Calibri"/>
      <family val="2"/>
      <charset val="238"/>
      <scheme val="minor"/>
    </font>
    <font>
      <sz val="11"/>
      <color theme="1"/>
      <name val="Calibri"/>
      <family val="2"/>
      <charset val="238"/>
      <scheme val="minor"/>
    </font>
    <font>
      <sz val="11"/>
      <color indexed="8"/>
      <name val="Calibri"/>
      <family val="2"/>
      <charset val="238"/>
    </font>
    <font>
      <sz val="10"/>
      <name val="Arial"/>
      <family val="2"/>
      <charset val="238"/>
    </font>
    <font>
      <sz val="10"/>
      <name val="Arial"/>
      <family val="2"/>
      <charset val="238"/>
    </font>
    <font>
      <sz val="10"/>
      <name val="Arial"/>
      <family val="2"/>
    </font>
    <font>
      <sz val="8"/>
      <name val="Arial"/>
      <family val="2"/>
    </font>
    <font>
      <sz val="10"/>
      <name val="Helv"/>
    </font>
    <font>
      <sz val="12"/>
      <name val="Arial"/>
      <family val="2"/>
      <charset val="238"/>
    </font>
    <font>
      <sz val="10"/>
      <name val="MS Sans Serif"/>
      <family val="2"/>
      <charset val="238"/>
    </font>
    <font>
      <sz val="11"/>
      <name val="Arial"/>
      <family val="1"/>
    </font>
    <font>
      <sz val="10"/>
      <color indexed="8"/>
      <name val="Myriad Pro"/>
      <family val="2"/>
      <charset val="238"/>
    </font>
    <font>
      <sz val="10"/>
      <name val="Helv"/>
      <charset val="238"/>
    </font>
    <font>
      <sz val="10"/>
      <name val="Times New Roman CE"/>
      <family val="1"/>
      <charset val="238"/>
    </font>
    <font>
      <sz val="12"/>
      <name val="Times New Roman CE"/>
      <family val="1"/>
      <charset val="238"/>
    </font>
    <font>
      <sz val="11"/>
      <color indexed="18"/>
      <name val="Arial"/>
      <family val="2"/>
    </font>
    <font>
      <sz val="10"/>
      <name val="Arial"/>
      <family val="2"/>
      <charset val="238"/>
    </font>
    <font>
      <sz val="11"/>
      <color theme="1"/>
      <name val="Calibri"/>
      <family val="2"/>
      <charset val="238"/>
      <scheme val="minor"/>
    </font>
    <font>
      <sz val="11"/>
      <color theme="1"/>
      <name val="Arial"/>
      <family val="2"/>
      <charset val="238"/>
    </font>
    <font>
      <sz val="10"/>
      <color theme="1"/>
      <name val="Myriad Pro"/>
      <family val="2"/>
      <charset val="238"/>
    </font>
    <font>
      <b/>
      <sz val="10"/>
      <name val="Calibri"/>
      <family val="2"/>
      <charset val="238"/>
      <scheme val="minor"/>
    </font>
    <font>
      <sz val="10"/>
      <name val="Calibri"/>
      <family val="2"/>
      <charset val="238"/>
      <scheme val="minor"/>
    </font>
    <font>
      <sz val="10"/>
      <color indexed="8"/>
      <name val="Calibri"/>
      <family val="2"/>
      <charset val="238"/>
      <scheme val="minor"/>
    </font>
    <font>
      <b/>
      <sz val="10"/>
      <color rgb="FFFF0000"/>
      <name val="Calibri"/>
      <family val="2"/>
      <charset val="238"/>
      <scheme val="minor"/>
    </font>
    <font>
      <sz val="10"/>
      <color rgb="FFFF0000"/>
      <name val="Calibri"/>
      <family val="2"/>
      <charset val="238"/>
      <scheme val="minor"/>
    </font>
    <font>
      <sz val="10"/>
      <color indexed="10"/>
      <name val="Calibri"/>
      <family val="2"/>
      <charset val="238"/>
      <scheme val="minor"/>
    </font>
    <font>
      <sz val="11"/>
      <color rgb="FF000000"/>
      <name val="Arial1"/>
      <charset val="238"/>
    </font>
    <font>
      <b/>
      <sz val="10"/>
      <color rgb="FF000000"/>
      <name val="Calibri"/>
      <family val="2"/>
      <charset val="238"/>
      <scheme val="minor"/>
    </font>
    <font>
      <sz val="10"/>
      <color rgb="FF000000"/>
      <name val="Calibri"/>
      <family val="2"/>
      <charset val="238"/>
      <scheme val="minor"/>
    </font>
    <font>
      <sz val="10"/>
      <color theme="1"/>
      <name val="Calibri"/>
      <family val="2"/>
      <charset val="238"/>
      <scheme val="minor"/>
    </font>
    <font>
      <b/>
      <sz val="10"/>
      <color indexed="8"/>
      <name val="Calibri"/>
      <family val="2"/>
      <charset val="238"/>
      <scheme val="minor"/>
    </font>
    <font>
      <b/>
      <sz val="10"/>
      <color theme="1"/>
      <name val="Calibri"/>
      <family val="2"/>
      <charset val="238"/>
      <scheme val="minor"/>
    </font>
    <font>
      <sz val="10"/>
      <color indexed="8"/>
      <name val="Calibri"/>
      <family val="2"/>
      <scheme val="minor"/>
    </font>
    <font>
      <b/>
      <sz val="8"/>
      <name val="Calibri"/>
      <family val="2"/>
      <charset val="238"/>
      <scheme val="minor"/>
    </font>
    <font>
      <b/>
      <i/>
      <sz val="10"/>
      <name val="Arial"/>
      <family val="2"/>
      <charset val="238"/>
    </font>
    <font>
      <i/>
      <sz val="10"/>
      <name val="Calibri"/>
      <family val="2"/>
      <charset val="238"/>
      <scheme val="minor"/>
    </font>
    <font>
      <b/>
      <sz val="11"/>
      <name val="Calibri"/>
      <family val="2"/>
      <charset val="238"/>
      <scheme val="minor"/>
    </font>
    <font>
      <sz val="10"/>
      <name val="Arial Narrow"/>
      <family val="2"/>
      <charset val="238"/>
    </font>
    <font>
      <sz val="12"/>
      <name val="Arial Narrow"/>
      <family val="2"/>
      <charset val="238"/>
    </font>
    <font>
      <sz val="12"/>
      <name val="Calibri"/>
      <family val="2"/>
      <charset val="238"/>
    </font>
    <font>
      <u/>
      <sz val="12"/>
      <name val="Arial Narrow"/>
      <family val="2"/>
      <charset val="238"/>
    </font>
    <font>
      <sz val="16"/>
      <color theme="1"/>
      <name val="Calibri"/>
      <family val="2"/>
      <charset val="238"/>
      <scheme val="minor"/>
    </font>
    <font>
      <sz val="10"/>
      <color rgb="FFFF0000"/>
      <name val="Arial"/>
      <family val="2"/>
      <charset val="238"/>
    </font>
    <font>
      <sz val="10"/>
      <color rgb="FF00B050"/>
      <name val="Calibri"/>
      <family val="2"/>
      <charset val="238"/>
      <scheme val="minor"/>
    </font>
    <font>
      <sz val="10"/>
      <color rgb="FF00B050"/>
      <name val="Arial"/>
      <family val="2"/>
      <charset val="238"/>
    </font>
    <font>
      <b/>
      <sz val="10"/>
      <name val="Arial"/>
      <family val="2"/>
      <charset val="238"/>
    </font>
    <font>
      <sz val="10"/>
      <name val="Arial"/>
      <family val="2"/>
      <charset val="238"/>
    </font>
    <font>
      <sz val="10"/>
      <name val="Calibri"/>
      <family val="2"/>
      <charset val="238"/>
    </font>
    <font>
      <i/>
      <sz val="10"/>
      <name val="Arial"/>
      <family val="2"/>
      <charset val="238"/>
    </font>
    <font>
      <i/>
      <sz val="10"/>
      <color indexed="8"/>
      <name val="Calibri"/>
      <family val="2"/>
      <charset val="238"/>
      <scheme val="minor"/>
    </font>
    <font>
      <b/>
      <i/>
      <sz val="10"/>
      <color indexed="8"/>
      <name val="Calibri"/>
      <family val="2"/>
      <charset val="238"/>
      <scheme val="minor"/>
    </font>
    <font>
      <b/>
      <i/>
      <sz val="10"/>
      <name val="Calibri"/>
      <family val="2"/>
      <charset val="238"/>
      <scheme val="minor"/>
    </font>
    <font>
      <b/>
      <i/>
      <sz val="12"/>
      <color indexed="8"/>
      <name val="Calibri"/>
      <family val="2"/>
      <charset val="238"/>
      <scheme val="minor"/>
    </font>
    <font>
      <b/>
      <i/>
      <sz val="12"/>
      <name val="Calibri"/>
      <family val="2"/>
      <charset val="238"/>
      <scheme val="minor"/>
    </font>
    <font>
      <i/>
      <sz val="12"/>
      <name val="Arial"/>
      <family val="2"/>
      <charset val="238"/>
    </font>
    <font>
      <sz val="9"/>
      <name val="Calibri"/>
      <family val="2"/>
      <charset val="238"/>
      <scheme val="minor"/>
    </font>
    <font>
      <sz val="10"/>
      <name val="Arial"/>
      <family val="2"/>
      <charset val="238"/>
    </font>
    <font>
      <i/>
      <sz val="10"/>
      <color theme="1"/>
      <name val="Calibri"/>
      <family val="2"/>
      <charset val="238"/>
      <scheme val="minor"/>
    </font>
    <font>
      <sz val="10"/>
      <color theme="1"/>
      <name val="Arial"/>
      <family val="2"/>
      <charset val="238"/>
    </font>
    <font>
      <sz val="10"/>
      <name val="Arial CE"/>
      <family val="2"/>
      <charset val="238"/>
    </font>
    <font>
      <b/>
      <sz val="12"/>
      <name val="Arial"/>
      <family val="2"/>
    </font>
    <font>
      <sz val="7"/>
      <name val="Arial"/>
      <family val="2"/>
    </font>
    <font>
      <sz val="6"/>
      <name val="Arial"/>
      <family val="2"/>
    </font>
    <font>
      <b/>
      <sz val="10"/>
      <name val="Arial"/>
      <family val="2"/>
    </font>
    <font>
      <b/>
      <sz val="10"/>
      <name val="Arial CE"/>
      <family val="2"/>
      <charset val="238"/>
    </font>
    <font>
      <sz val="8"/>
      <name val="Arial CE"/>
      <charset val="238"/>
    </font>
    <font>
      <sz val="9"/>
      <name val="Arial"/>
      <family val="2"/>
      <charset val="238"/>
    </font>
    <font>
      <sz val="9"/>
      <color theme="1"/>
      <name val="Arial Unicode MS"/>
      <family val="2"/>
      <charset val="238"/>
    </font>
    <font>
      <sz val="10"/>
      <color indexed="10"/>
      <name val="Arial"/>
      <family val="2"/>
      <charset val="238"/>
    </font>
    <font>
      <sz val="10"/>
      <color rgb="FF00B0F0"/>
      <name val="Arial CE"/>
      <family val="2"/>
      <charset val="238"/>
    </font>
    <font>
      <u/>
      <sz val="10"/>
      <name val="Arial"/>
      <family val="2"/>
      <charset val="238"/>
    </font>
    <font>
      <sz val="10"/>
      <color rgb="FFFF0000"/>
      <name val="Arial CE"/>
      <family val="2"/>
      <charset val="238"/>
    </font>
    <font>
      <sz val="10"/>
      <color indexed="8"/>
      <name val="Calibri"/>
      <family val="2"/>
      <charset val="238"/>
    </font>
    <font>
      <sz val="10"/>
      <color indexed="8"/>
      <name val="Arial"/>
      <family val="2"/>
      <charset val="238"/>
    </font>
    <font>
      <vertAlign val="subscript"/>
      <sz val="10"/>
      <name val="Arial"/>
      <family val="2"/>
      <charset val="238"/>
    </font>
    <font>
      <sz val="10"/>
      <color rgb="FF0070C0"/>
      <name val="Arial"/>
      <family val="2"/>
      <charset val="238"/>
    </font>
    <font>
      <sz val="10"/>
      <color rgb="FF000000"/>
      <name val="Arial"/>
      <family val="2"/>
      <charset val="238"/>
    </font>
    <font>
      <sz val="10"/>
      <name val="AvantArt_PP"/>
      <charset val="238"/>
    </font>
    <font>
      <sz val="9"/>
      <color indexed="8"/>
      <name val="Arial Unicode MS"/>
      <family val="2"/>
      <charset val="238"/>
    </font>
    <font>
      <b/>
      <sz val="10"/>
      <name val="Helv"/>
    </font>
    <font>
      <b/>
      <sz val="11"/>
      <name val="Arial CE"/>
      <family val="2"/>
      <charset val="238"/>
    </font>
    <font>
      <b/>
      <sz val="10"/>
      <name val="Helv"/>
      <charset val="238"/>
    </font>
    <font>
      <b/>
      <sz val="12"/>
      <name val="Arial"/>
      <family val="2"/>
      <charset val="238"/>
    </font>
    <font>
      <b/>
      <sz val="14"/>
      <color rgb="FFFF0000"/>
      <name val="Arial"/>
      <family val="2"/>
      <charset val="238"/>
    </font>
    <font>
      <b/>
      <sz val="14"/>
      <name val="Arial"/>
      <family val="2"/>
      <charset val="238"/>
    </font>
    <font>
      <b/>
      <sz val="10"/>
      <color rgb="FFFF0000"/>
      <name val="Arial"/>
      <family val="2"/>
      <charset val="238"/>
    </font>
    <font>
      <b/>
      <sz val="10"/>
      <name val="Calibri"/>
      <family val="2"/>
      <scheme val="minor"/>
    </font>
    <font>
      <sz val="10"/>
      <name val="Arial CE"/>
      <charset val="238"/>
    </font>
    <font>
      <sz val="9"/>
      <name val="Arial"/>
      <family val="2"/>
    </font>
    <font>
      <b/>
      <sz val="9"/>
      <name val="Arial"/>
      <family val="2"/>
    </font>
    <font>
      <vertAlign val="superscript"/>
      <sz val="9"/>
      <name val="Arial"/>
      <family val="2"/>
    </font>
    <font>
      <sz val="10"/>
      <color rgb="FFFF0000"/>
      <name val="Arial"/>
      <family val="2"/>
    </font>
    <font>
      <sz val="10"/>
      <color rgb="FF7030A0"/>
      <name val="Arial"/>
      <family val="2"/>
      <charset val="238"/>
    </font>
    <font>
      <b/>
      <sz val="10"/>
      <color rgb="FFFF0000"/>
      <name val="Arial"/>
      <family val="2"/>
    </font>
    <font>
      <b/>
      <sz val="9"/>
      <name val="Arial"/>
      <family val="2"/>
      <charset val="238"/>
    </font>
    <font>
      <sz val="9"/>
      <name val="Calibri"/>
      <family val="2"/>
      <charset val="238"/>
    </font>
    <font>
      <b/>
      <sz val="10"/>
      <name val="Arial Narrow"/>
      <family val="2"/>
      <charset val="238"/>
    </font>
    <font>
      <b/>
      <sz val="12"/>
      <name val="Arial Narrow"/>
      <family val="2"/>
      <charset val="238"/>
    </font>
    <font>
      <sz val="11"/>
      <name val="Arial"/>
      <family val="2"/>
      <charset val="238"/>
    </font>
    <font>
      <b/>
      <sz val="12"/>
      <color rgb="FFFF0000"/>
      <name val="Arial"/>
      <family val="2"/>
      <charset val="238"/>
    </font>
    <font>
      <b/>
      <sz val="14"/>
      <name val="Calibri"/>
      <family val="2"/>
      <charset val="238"/>
      <scheme val="minor"/>
    </font>
    <font>
      <sz val="14"/>
      <name val="Arial"/>
      <family val="2"/>
      <charset val="238"/>
    </font>
    <font>
      <b/>
      <i/>
      <sz val="12"/>
      <name val="Arial"/>
      <family val="2"/>
      <charset val="238"/>
    </font>
    <font>
      <sz val="8"/>
      <color rgb="FFFF0000"/>
      <name val="Arial"/>
      <family val="2"/>
    </font>
    <font>
      <sz val="6"/>
      <name val="Calibri"/>
      <family val="2"/>
      <charset val="238"/>
      <scheme val="minor"/>
    </font>
    <font>
      <b/>
      <sz val="7"/>
      <name val="Calibri"/>
      <family val="2"/>
      <charset val="238"/>
      <scheme val="minor"/>
    </font>
    <font>
      <sz val="6"/>
      <name val="Arial CE"/>
      <family val="2"/>
      <charset val="238"/>
    </font>
    <font>
      <sz val="6"/>
      <name val="Arial"/>
      <family val="2"/>
      <charset val="238"/>
    </font>
    <font>
      <b/>
      <sz val="12"/>
      <name val="Calibri"/>
      <family val="2"/>
      <charset val="238"/>
      <scheme val="minor"/>
    </font>
    <font>
      <sz val="12"/>
      <name val="Calibri"/>
      <family val="2"/>
      <charset val="238"/>
      <scheme val="minor"/>
    </font>
    <font>
      <b/>
      <sz val="6"/>
      <name val="Calibri"/>
      <family val="2"/>
      <charset val="238"/>
      <scheme val="minor"/>
    </font>
    <font>
      <sz val="8"/>
      <name val="Calibri"/>
      <family val="2"/>
      <charset val="238"/>
      <scheme val="minor"/>
    </font>
    <font>
      <b/>
      <sz val="11"/>
      <color rgb="FFFF0000"/>
      <name val="Calibri"/>
      <family val="2"/>
      <charset val="238"/>
      <scheme val="minor"/>
    </font>
    <font>
      <vertAlign val="superscript"/>
      <sz val="10"/>
      <name val="Calibri"/>
      <family val="2"/>
      <charset val="238"/>
      <scheme val="minor"/>
    </font>
    <font>
      <sz val="12"/>
      <color rgb="FFFF0000"/>
      <name val="Calibri"/>
      <family val="2"/>
      <charset val="238"/>
      <scheme val="minor"/>
    </font>
    <font>
      <b/>
      <u/>
      <sz val="10"/>
      <name val="Calibri"/>
      <family val="2"/>
      <charset val="238"/>
      <scheme val="minor"/>
    </font>
    <font>
      <strike/>
      <sz val="10"/>
      <color rgb="FFFF0000"/>
      <name val="Calibri"/>
      <family val="2"/>
      <charset val="238"/>
      <scheme val="minor"/>
    </font>
    <font>
      <b/>
      <strike/>
      <sz val="10"/>
      <color rgb="FFFF0000"/>
      <name val="Calibri"/>
      <family val="2"/>
      <charset val="238"/>
      <scheme val="minor"/>
    </font>
    <font>
      <strike/>
      <sz val="10"/>
      <color rgb="FFFF0000"/>
      <name val="Arial"/>
      <family val="2"/>
      <charset val="238"/>
    </font>
    <font>
      <sz val="10"/>
      <color rgb="FF00B0F0"/>
      <name val="Calibri"/>
      <family val="2"/>
      <charset val="238"/>
      <scheme val="minor"/>
    </font>
    <font>
      <b/>
      <sz val="10"/>
      <color rgb="FF00B0F0"/>
      <name val="Calibri"/>
      <family val="2"/>
      <charset val="238"/>
      <scheme val="minor"/>
    </font>
    <font>
      <sz val="10"/>
      <color rgb="FF00B0F0"/>
      <name val="Arial"/>
      <family val="2"/>
      <charset val="238"/>
    </font>
    <font>
      <strike/>
      <sz val="10"/>
      <color rgb="FFFF0000"/>
      <name val="Calibri"/>
      <family val="2"/>
      <charset val="238"/>
    </font>
    <font>
      <sz val="10"/>
      <color rgb="FF00B0F0"/>
      <name val="Calibri"/>
      <family val="2"/>
      <charset val="238"/>
    </font>
    <font>
      <strike/>
      <sz val="10"/>
      <color rgb="FFFF0000"/>
      <name val="Arial Narrow"/>
      <family val="2"/>
      <charset val="238"/>
    </font>
    <font>
      <sz val="10"/>
      <color rgb="FF00B0F0"/>
      <name val="Arial Narrow"/>
      <family val="2"/>
      <charset val="238"/>
    </font>
    <font>
      <sz val="10"/>
      <color rgb="FF00B0F0"/>
      <name val="Century Gothic"/>
      <family val="2"/>
      <charset val="238"/>
    </font>
    <font>
      <sz val="10"/>
      <color rgb="FF00B0F0"/>
      <name val="Arial"/>
      <family val="2"/>
    </font>
  </fonts>
  <fills count="11">
    <fill>
      <patternFill patternType="none"/>
    </fill>
    <fill>
      <patternFill patternType="gray125"/>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theme="0"/>
        <bgColor indexed="64"/>
      </patternFill>
    </fill>
    <fill>
      <patternFill patternType="solid">
        <fgColor indexed="22"/>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9"/>
        <bgColor indexed="64"/>
      </patternFill>
    </fill>
  </fills>
  <borders count="23">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indexed="64"/>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right style="hair">
        <color auto="1"/>
      </right>
      <top style="hair">
        <color auto="1"/>
      </top>
      <bottom style="hair">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auto="1"/>
      </left>
      <right/>
      <top style="hair">
        <color auto="1"/>
      </top>
      <bottom style="hair">
        <color auto="1"/>
      </bottom>
      <diagonal/>
    </border>
    <border>
      <left/>
      <right/>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hair">
        <color auto="1"/>
      </top>
      <bottom style="hair">
        <color auto="1"/>
      </bottom>
      <diagonal/>
    </border>
    <border>
      <left style="hair">
        <color auto="1"/>
      </left>
      <right/>
      <top style="hair">
        <color auto="1"/>
      </top>
      <bottom style="thin">
        <color indexed="64"/>
      </bottom>
      <diagonal/>
    </border>
    <border>
      <left/>
      <right/>
      <top style="hair">
        <color auto="1"/>
      </top>
      <bottom style="thin">
        <color indexed="64"/>
      </bottom>
      <diagonal/>
    </border>
    <border>
      <left/>
      <right style="hair">
        <color auto="1"/>
      </right>
      <top style="hair">
        <color auto="1"/>
      </top>
      <bottom style="thin">
        <color indexed="64"/>
      </bottom>
      <diagonal/>
    </border>
    <border>
      <left/>
      <right/>
      <top style="hair">
        <color auto="1"/>
      </top>
      <bottom/>
      <diagonal/>
    </border>
  </borders>
  <cellStyleXfs count="91">
    <xf numFmtId="0" fontId="0" fillId="0" borderId="0"/>
    <xf numFmtId="0" fontId="3" fillId="0" borderId="0">
      <alignment horizontal="left" vertical="top" wrapText="1"/>
    </xf>
    <xf numFmtId="164" fontId="9"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7" fillId="0" borderId="0" applyFont="0" applyFill="0" applyBorder="0" applyAlignment="0" applyProtection="0"/>
    <xf numFmtId="44" fontId="18" fillId="0" borderId="0" applyFont="0" applyFill="0" applyBorder="0" applyAlignment="0" applyProtection="0"/>
    <xf numFmtId="0" fontId="9" fillId="0" borderId="0"/>
    <xf numFmtId="0" fontId="14" fillId="0" borderId="0">
      <alignment horizontal="left"/>
    </xf>
    <xf numFmtId="4" fontId="15" fillId="0" borderId="0">
      <alignment horizontal="right"/>
    </xf>
    <xf numFmtId="0" fontId="4" fillId="0" borderId="0"/>
    <xf numFmtId="0" fontId="4" fillId="0" borderId="0"/>
    <xf numFmtId="0" fontId="4" fillId="0" borderId="0"/>
    <xf numFmtId="0" fontId="19" fillId="0" borderId="0"/>
    <xf numFmtId="0" fontId="3" fillId="0" borderId="0"/>
    <xf numFmtId="0" fontId="5" fillId="0" borderId="0"/>
    <xf numFmtId="0" fontId="4" fillId="0" borderId="0"/>
    <xf numFmtId="0" fontId="9" fillId="0" borderId="0"/>
    <xf numFmtId="0" fontId="4" fillId="0" borderId="0"/>
    <xf numFmtId="0" fontId="4" fillId="0" borderId="0"/>
    <xf numFmtId="0" fontId="10" fillId="0" borderId="0"/>
    <xf numFmtId="0" fontId="12" fillId="0" borderId="0"/>
    <xf numFmtId="0" fontId="20" fillId="0" borderId="0"/>
    <xf numFmtId="0" fontId="4" fillId="0" borderId="0"/>
    <xf numFmtId="0" fontId="4" fillId="0" borderId="0"/>
    <xf numFmtId="0" fontId="4" fillId="0" borderId="0"/>
    <xf numFmtId="0" fontId="18" fillId="0" borderId="0"/>
    <xf numFmtId="0" fontId="6" fillId="0" borderId="0"/>
    <xf numFmtId="0" fontId="4" fillId="0" borderId="0"/>
    <xf numFmtId="0" fontId="18" fillId="0" borderId="0"/>
    <xf numFmtId="0" fontId="3" fillId="0" borderId="0"/>
    <xf numFmtId="0" fontId="6" fillId="0" borderId="0"/>
    <xf numFmtId="0" fontId="4" fillId="0" borderId="0"/>
    <xf numFmtId="0" fontId="4" fillId="0" borderId="0"/>
    <xf numFmtId="166" fontId="9" fillId="0" borderId="0">
      <alignment horizontal="justify" vertical="top" wrapText="1"/>
    </xf>
    <xf numFmtId="166" fontId="9" fillId="0" borderId="0">
      <alignment horizontal="justify" vertical="top" wrapText="1"/>
    </xf>
    <xf numFmtId="166" fontId="9" fillId="0" borderId="0">
      <alignment horizontal="justify" vertical="top" wrapText="1"/>
    </xf>
    <xf numFmtId="0" fontId="9" fillId="0" borderId="0"/>
    <xf numFmtId="0" fontId="4" fillId="0" borderId="0"/>
    <xf numFmtId="4" fontId="16" fillId="0" borderId="0">
      <alignment horizontal="justify" vertical="justify"/>
    </xf>
    <xf numFmtId="0" fontId="4" fillId="2" borderId="0"/>
    <xf numFmtId="0" fontId="18" fillId="0" borderId="0"/>
    <xf numFmtId="0" fontId="4" fillId="2" borderId="0"/>
    <xf numFmtId="0" fontId="11" fillId="0" borderId="0"/>
    <xf numFmtId="0" fontId="4" fillId="2" borderId="0"/>
    <xf numFmtId="0" fontId="4" fillId="2" borderId="0"/>
    <xf numFmtId="4" fontId="4" fillId="0" borderId="0">
      <alignment horizontal="justify" vertical="justify"/>
    </xf>
    <xf numFmtId="0" fontId="4" fillId="0" borderId="0"/>
    <xf numFmtId="0" fontId="4" fillId="0" borderId="0"/>
    <xf numFmtId="0" fontId="6" fillId="0" borderId="0"/>
    <xf numFmtId="0" fontId="4" fillId="0" borderId="0"/>
    <xf numFmtId="0" fontId="4" fillId="0" borderId="0"/>
    <xf numFmtId="9" fontId="4" fillId="0" borderId="0" applyFont="0" applyFill="0" applyBorder="0" applyAlignment="0" applyProtection="0"/>
    <xf numFmtId="0" fontId="4" fillId="3" borderId="0" applyNumberFormat="0" applyFont="0" applyBorder="0" applyAlignment="0" applyProtection="0"/>
    <xf numFmtId="0" fontId="4" fillId="4" borderId="0" applyNumberFormat="0" applyFont="0" applyBorder="0" applyAlignment="0" applyProtection="0">
      <protection locked="0"/>
    </xf>
    <xf numFmtId="0" fontId="4" fillId="4" borderId="0" applyNumberFormat="0" applyFont="0" applyBorder="0" applyAlignment="0" applyProtection="0">
      <protection locked="0"/>
    </xf>
    <xf numFmtId="0" fontId="7" fillId="2" borderId="0" applyNumberFormat="0" applyFont="0" applyBorder="0" applyAlignment="0" applyProtection="0"/>
    <xf numFmtId="0" fontId="8" fillId="0" borderId="0"/>
    <xf numFmtId="0" fontId="8" fillId="0" borderId="0"/>
    <xf numFmtId="0" fontId="13" fillId="0" borderId="0"/>
    <xf numFmtId="165" fontId="4" fillId="0" borderId="0" applyFont="0" applyFill="0" applyBorder="0" applyAlignment="0" applyProtection="0"/>
    <xf numFmtId="164" fontId="4" fillId="0" borderId="0" applyFont="0" applyFill="0" applyBorder="0" applyAlignment="0" applyProtection="0"/>
    <xf numFmtId="167" fontId="27" fillId="0" borderId="0"/>
    <xf numFmtId="167" fontId="4" fillId="0" borderId="0"/>
    <xf numFmtId="0" fontId="4" fillId="0" borderId="0"/>
    <xf numFmtId="172"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6" fillId="0" borderId="0"/>
    <xf numFmtId="0" fontId="1" fillId="0" borderId="0"/>
    <xf numFmtId="0" fontId="4" fillId="0" borderId="0"/>
    <xf numFmtId="0" fontId="4" fillId="0" borderId="0" applyNumberFormat="0" applyFont="0" applyFill="0" applyBorder="0" applyAlignment="0" applyProtection="0">
      <alignment vertical="top"/>
    </xf>
    <xf numFmtId="0" fontId="4" fillId="0" borderId="0"/>
    <xf numFmtId="0" fontId="4" fillId="0" borderId="0"/>
    <xf numFmtId="0" fontId="88" fillId="0" borderId="0"/>
    <xf numFmtId="0" fontId="59" fillId="0" borderId="0"/>
    <xf numFmtId="0" fontId="4" fillId="0" borderId="0"/>
    <xf numFmtId="0" fontId="4" fillId="0" borderId="0"/>
    <xf numFmtId="0" fontId="4" fillId="0" borderId="0"/>
    <xf numFmtId="43" fontId="4" fillId="0" borderId="0" applyFont="0" applyFill="0" applyBorder="0" applyAlignment="0" applyProtection="0"/>
    <xf numFmtId="0" fontId="3" fillId="0" borderId="0"/>
    <xf numFmtId="0" fontId="3" fillId="0" borderId="0"/>
    <xf numFmtId="0" fontId="4" fillId="0" borderId="0"/>
    <xf numFmtId="0" fontId="4" fillId="0" borderId="0"/>
  </cellStyleXfs>
  <cellXfs count="980">
    <xf numFmtId="0" fontId="0" fillId="0" borderId="0" xfId="0"/>
    <xf numFmtId="0" fontId="22" fillId="5" borderId="0" xfId="19" applyFont="1" applyFill="1"/>
    <xf numFmtId="0" fontId="22" fillId="5" borderId="0" xfId="19" applyFont="1" applyFill="1" applyAlignment="1">
      <alignment wrapText="1"/>
    </xf>
    <xf numFmtId="4" fontId="22" fillId="5" borderId="0" xfId="19" applyNumberFormat="1" applyFont="1" applyFill="1" applyAlignment="1">
      <alignment horizontal="right"/>
    </xf>
    <xf numFmtId="2" fontId="22" fillId="5" borderId="0" xfId="19" applyNumberFormat="1" applyFont="1" applyFill="1"/>
    <xf numFmtId="0" fontId="22" fillId="0" borderId="0" xfId="19" applyFont="1"/>
    <xf numFmtId="2" fontId="22" fillId="5" borderId="0" xfId="19" applyNumberFormat="1" applyFont="1" applyFill="1" applyAlignment="1">
      <alignment horizontal="right"/>
    </xf>
    <xf numFmtId="0" fontId="24" fillId="5" borderId="0" xfId="19" applyFont="1" applyFill="1"/>
    <xf numFmtId="0" fontId="22" fillId="0" borderId="0" xfId="19" applyFont="1" applyAlignment="1">
      <alignment wrapText="1"/>
    </xf>
    <xf numFmtId="4" fontId="22" fillId="0" borderId="0" xfId="19" applyNumberFormat="1" applyFont="1"/>
    <xf numFmtId="2" fontId="22" fillId="0" borderId="0" xfId="19" applyNumberFormat="1" applyFont="1"/>
    <xf numFmtId="0" fontId="21" fillId="5" borderId="0" xfId="19" applyFont="1" applyFill="1" applyAlignment="1">
      <alignment horizontal="center"/>
    </xf>
    <xf numFmtId="4" fontId="22" fillId="5" borderId="1" xfId="0" applyNumberFormat="1" applyFont="1" applyFill="1" applyBorder="1" applyAlignment="1" applyProtection="1">
      <alignment horizontal="right" wrapText="1"/>
      <protection locked="0"/>
    </xf>
    <xf numFmtId="4" fontId="34" fillId="6" borderId="1" xfId="0" applyNumberFormat="1" applyFont="1" applyFill="1" applyBorder="1" applyAlignment="1" applyProtection="1">
      <alignment horizontal="center" vertical="center" wrapText="1"/>
      <protection locked="0"/>
    </xf>
    <xf numFmtId="0" fontId="21" fillId="0" borderId="1" xfId="0" applyFont="1" applyBorder="1"/>
    <xf numFmtId="0" fontId="22" fillId="0" borderId="1" xfId="0" applyFont="1" applyBorder="1"/>
    <xf numFmtId="2" fontId="22" fillId="0" borderId="1" xfId="0" applyNumberFormat="1" applyFont="1" applyBorder="1"/>
    <xf numFmtId="0" fontId="22" fillId="0" borderId="1" xfId="19" applyFont="1" applyBorder="1" applyAlignment="1">
      <alignment vertical="top"/>
    </xf>
    <xf numFmtId="49" fontId="22" fillId="5" borderId="1" xfId="0" applyNumberFormat="1" applyFont="1" applyFill="1" applyBorder="1" applyAlignment="1" applyProtection="1">
      <alignment horizontal="center" vertical="top"/>
      <protection locked="0"/>
    </xf>
    <xf numFmtId="0" fontId="22" fillId="0" borderId="1" xfId="0" applyFont="1" applyBorder="1" applyAlignment="1">
      <alignment horizontal="center" vertical="top"/>
    </xf>
    <xf numFmtId="0" fontId="22" fillId="5" borderId="1" xfId="0" applyFont="1" applyFill="1" applyBorder="1" applyAlignment="1" applyProtection="1">
      <alignment horizontal="left" vertical="top" wrapText="1"/>
      <protection locked="0"/>
    </xf>
    <xf numFmtId="0" fontId="22" fillId="5" borderId="1" xfId="0" applyFont="1" applyFill="1" applyBorder="1" applyAlignment="1" applyProtection="1">
      <alignment horizontal="right" wrapText="1"/>
      <protection locked="0"/>
    </xf>
    <xf numFmtId="0" fontId="22" fillId="5" borderId="1" xfId="0" applyFont="1" applyFill="1" applyBorder="1" applyAlignment="1" applyProtection="1">
      <alignment horizontal="justify" vertical="top" wrapText="1"/>
      <protection locked="0"/>
    </xf>
    <xf numFmtId="4" fontId="22" fillId="5" borderId="1" xfId="0" applyNumberFormat="1" applyFont="1" applyFill="1" applyBorder="1" applyAlignment="1">
      <alignment horizontal="right" wrapText="1"/>
    </xf>
    <xf numFmtId="0" fontId="22" fillId="5" borderId="1" xfId="0" applyFont="1" applyFill="1" applyBorder="1" applyAlignment="1">
      <alignment horizontal="justify" vertical="top" wrapText="1"/>
    </xf>
    <xf numFmtId="0" fontId="22" fillId="5" borderId="1" xfId="0" applyFont="1" applyFill="1" applyBorder="1" applyAlignment="1">
      <alignment horizontal="left" vertical="top" wrapText="1"/>
    </xf>
    <xf numFmtId="3" fontId="22" fillId="5" borderId="1" xfId="0" applyNumberFormat="1" applyFont="1" applyFill="1" applyBorder="1" applyAlignment="1" applyProtection="1">
      <alignment horizontal="right" wrapText="1"/>
      <protection locked="0"/>
    </xf>
    <xf numFmtId="0" fontId="21" fillId="0" borderId="1" xfId="0" applyFont="1" applyBorder="1" applyAlignment="1">
      <alignment horizontal="center" vertical="top"/>
    </xf>
    <xf numFmtId="4" fontId="21" fillId="5" borderId="1" xfId="0" applyNumberFormat="1" applyFont="1" applyFill="1" applyBorder="1" applyAlignment="1">
      <alignment horizontal="right" wrapText="1"/>
    </xf>
    <xf numFmtId="169" fontId="22" fillId="5" borderId="1" xfId="0" applyNumberFormat="1" applyFont="1" applyFill="1" applyBorder="1" applyAlignment="1" applyProtection="1">
      <alignment horizontal="right" wrapText="1"/>
      <protection locked="0"/>
    </xf>
    <xf numFmtId="0" fontId="22" fillId="5" borderId="1" xfId="0" quotePrefix="1" applyFont="1" applyFill="1" applyBorder="1" applyAlignment="1" applyProtection="1">
      <alignment horizontal="justify" vertical="top" wrapText="1"/>
      <protection locked="0"/>
    </xf>
    <xf numFmtId="170" fontId="22" fillId="5" borderId="1" xfId="0" applyNumberFormat="1" applyFont="1" applyFill="1" applyBorder="1" applyAlignment="1" applyProtection="1">
      <alignment horizontal="right" wrapText="1"/>
      <protection locked="0"/>
    </xf>
    <xf numFmtId="0" fontId="22" fillId="0" borderId="1" xfId="0" applyFont="1" applyBorder="1" applyAlignment="1">
      <alignment horizontal="left" vertical="top" wrapText="1"/>
    </xf>
    <xf numFmtId="49" fontId="21" fillId="5" borderId="1" xfId="0" applyNumberFormat="1" applyFont="1" applyFill="1" applyBorder="1" applyAlignment="1" applyProtection="1">
      <alignment horizontal="center" vertical="top"/>
      <protection locked="0"/>
    </xf>
    <xf numFmtId="0" fontId="22" fillId="5" borderId="1" xfId="0" applyFont="1" applyFill="1" applyBorder="1" applyAlignment="1">
      <alignment horizontal="justify" vertical="top"/>
    </xf>
    <xf numFmtId="2" fontId="22" fillId="0" borderId="1" xfId="0" applyNumberFormat="1" applyFont="1" applyBorder="1" applyAlignment="1">
      <alignment horizontal="right" vertical="top" wrapText="1"/>
    </xf>
    <xf numFmtId="0" fontId="22" fillId="0" borderId="1" xfId="0" applyFont="1" applyBorder="1" applyAlignment="1">
      <alignment vertical="top" wrapText="1"/>
    </xf>
    <xf numFmtId="0" fontId="22" fillId="5" borderId="1" xfId="0" applyFont="1" applyFill="1" applyBorder="1" applyAlignment="1">
      <alignment horizontal="right" vertical="top" wrapText="1"/>
    </xf>
    <xf numFmtId="0" fontId="21" fillId="5" borderId="1" xfId="0" applyFont="1" applyFill="1" applyBorder="1" applyAlignment="1">
      <alignment horizontal="left" vertical="top" wrapText="1"/>
    </xf>
    <xf numFmtId="171" fontId="22" fillId="0" borderId="1"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4" fontId="22" fillId="5" borderId="1" xfId="0" applyNumberFormat="1" applyFont="1" applyFill="1" applyBorder="1"/>
    <xf numFmtId="0" fontId="21" fillId="5" borderId="1" xfId="19" applyFont="1" applyFill="1" applyBorder="1" applyAlignment="1">
      <alignment vertical="top"/>
    </xf>
    <xf numFmtId="4" fontId="22" fillId="0" borderId="1" xfId="0" applyNumberFormat="1" applyFont="1" applyBorder="1"/>
    <xf numFmtId="4" fontId="22" fillId="5" borderId="1" xfId="65" applyNumberFormat="1" applyFont="1" applyFill="1" applyBorder="1"/>
    <xf numFmtId="0" fontId="22" fillId="5" borderId="1" xfId="0" applyFont="1" applyFill="1" applyBorder="1" applyAlignment="1">
      <alignment horizontal="left" vertical="top" wrapText="1" shrinkToFit="1"/>
    </xf>
    <xf numFmtId="0" fontId="36" fillId="0" borderId="1" xfId="0" applyFont="1" applyBorder="1"/>
    <xf numFmtId="0" fontId="22" fillId="0" borderId="3" xfId="0" applyFont="1" applyBorder="1"/>
    <xf numFmtId="2" fontId="22" fillId="0" borderId="3" xfId="0" applyNumberFormat="1" applyFont="1" applyBorder="1"/>
    <xf numFmtId="49" fontId="21" fillId="5" borderId="2" xfId="0" applyNumberFormat="1" applyFont="1" applyFill="1" applyBorder="1" applyAlignment="1" applyProtection="1">
      <alignment horizontal="center" vertical="top"/>
      <protection locked="0"/>
    </xf>
    <xf numFmtId="49" fontId="21" fillId="5" borderId="3" xfId="0" applyNumberFormat="1" applyFont="1" applyFill="1" applyBorder="1" applyAlignment="1" applyProtection="1">
      <alignment horizontal="center" vertical="top"/>
      <protection locked="0"/>
    </xf>
    <xf numFmtId="0" fontId="21" fillId="5" borderId="3" xfId="0" applyFont="1" applyFill="1" applyBorder="1" applyAlignment="1" applyProtection="1">
      <alignment horizontal="left" vertical="center" wrapText="1"/>
      <protection locked="0"/>
    </xf>
    <xf numFmtId="4" fontId="21" fillId="5" borderId="3" xfId="0" applyNumberFormat="1" applyFont="1" applyFill="1" applyBorder="1" applyAlignment="1">
      <alignment horizontal="right" wrapText="1"/>
    </xf>
    <xf numFmtId="0" fontId="21" fillId="0" borderId="2" xfId="0" applyFont="1" applyBorder="1" applyAlignment="1">
      <alignment horizontal="center" vertical="top"/>
    </xf>
    <xf numFmtId="0" fontId="21" fillId="5" borderId="2" xfId="0" applyFont="1" applyFill="1" applyBorder="1" applyAlignment="1" applyProtection="1">
      <alignment vertical="center"/>
      <protection locked="0"/>
    </xf>
    <xf numFmtId="0" fontId="23" fillId="0" borderId="1" xfId="19" applyFont="1" applyBorder="1" applyAlignment="1">
      <alignment horizontal="center" vertical="top"/>
    </xf>
    <xf numFmtId="0" fontId="30" fillId="0" borderId="1" xfId="0" applyFont="1" applyBorder="1" applyAlignment="1">
      <alignment vertical="top" wrapText="1"/>
    </xf>
    <xf numFmtId="4" fontId="30" fillId="0" borderId="1" xfId="0" applyNumberFormat="1" applyFont="1" applyBorder="1"/>
    <xf numFmtId="0" fontId="29" fillId="5" borderId="1" xfId="65" applyNumberFormat="1" applyFont="1" applyFill="1" applyBorder="1" applyAlignment="1">
      <alignment vertical="top" wrapText="1"/>
    </xf>
    <xf numFmtId="0" fontId="31" fillId="0" borderId="1" xfId="19" applyFont="1" applyBorder="1" applyAlignment="1">
      <alignment vertical="top"/>
    </xf>
    <xf numFmtId="0" fontId="31" fillId="0" borderId="1" xfId="19" applyFont="1" applyBorder="1" applyAlignment="1">
      <alignment vertical="center"/>
    </xf>
    <xf numFmtId="0" fontId="23" fillId="0" borderId="1" xfId="19" applyFont="1" applyBorder="1" applyAlignment="1">
      <alignment vertical="top"/>
    </xf>
    <xf numFmtId="0" fontId="32" fillId="0" borderId="1" xfId="0" applyFont="1" applyBorder="1" applyAlignment="1">
      <alignment horizontal="center" vertical="top"/>
    </xf>
    <xf numFmtId="0" fontId="30" fillId="0" borderId="1" xfId="0" applyFont="1" applyBorder="1"/>
    <xf numFmtId="0" fontId="30" fillId="5" borderId="1" xfId="0" applyFont="1" applyFill="1" applyBorder="1" applyAlignment="1">
      <alignment vertical="top" wrapText="1"/>
    </xf>
    <xf numFmtId="4" fontId="25" fillId="0" borderId="1" xfId="0" applyNumberFormat="1" applyFont="1" applyBorder="1"/>
    <xf numFmtId="0" fontId="34" fillId="6" borderId="1" xfId="0" applyFont="1" applyFill="1" applyBorder="1" applyAlignment="1" applyProtection="1">
      <alignment horizontal="center" vertical="top" wrapText="1"/>
      <protection locked="0"/>
    </xf>
    <xf numFmtId="3" fontId="34" fillId="6" borderId="1" xfId="0" applyNumberFormat="1" applyFont="1" applyFill="1" applyBorder="1" applyAlignment="1">
      <alignment horizontal="center" vertical="center" wrapText="1"/>
    </xf>
    <xf numFmtId="4" fontId="34" fillId="6" borderId="1" xfId="0" applyNumberFormat="1" applyFont="1" applyFill="1" applyBorder="1" applyAlignment="1">
      <alignment horizontal="center" vertical="center" wrapText="1"/>
    </xf>
    <xf numFmtId="0" fontId="0" fillId="0" borderId="1" xfId="0" applyBorder="1"/>
    <xf numFmtId="0" fontId="23" fillId="5" borderId="1" xfId="19" applyFont="1" applyFill="1" applyBorder="1" applyAlignment="1">
      <alignment vertical="top"/>
    </xf>
    <xf numFmtId="0" fontId="22" fillId="0" borderId="1" xfId="0" applyFont="1" applyBorder="1" applyAlignment="1">
      <alignment horizontal="right" wrapText="1"/>
    </xf>
    <xf numFmtId="171" fontId="22" fillId="0" borderId="1" xfId="0" applyNumberFormat="1" applyFont="1" applyBorder="1" applyAlignment="1">
      <alignment vertical="center"/>
    </xf>
    <xf numFmtId="4" fontId="30" fillId="5" borderId="1" xfId="0" applyNumberFormat="1" applyFont="1" applyFill="1" applyBorder="1"/>
    <xf numFmtId="0" fontId="31" fillId="5" borderId="1" xfId="19" applyFont="1" applyFill="1" applyBorder="1" applyAlignment="1">
      <alignment vertical="top"/>
    </xf>
    <xf numFmtId="4" fontId="29" fillId="5" borderId="1" xfId="0" applyNumberFormat="1" applyFont="1" applyFill="1" applyBorder="1"/>
    <xf numFmtId="0" fontId="22" fillId="0" borderId="1" xfId="67" applyFont="1" applyBorder="1" applyAlignment="1">
      <alignment horizontal="justify" vertical="top" wrapText="1"/>
    </xf>
    <xf numFmtId="0" fontId="22" fillId="0" borderId="1" xfId="67" applyFont="1" applyBorder="1" applyAlignment="1">
      <alignment horizontal="right"/>
    </xf>
    <xf numFmtId="4" fontId="38" fillId="0" borderId="1" xfId="76" applyNumberFormat="1" applyFont="1" applyBorder="1" applyAlignment="1">
      <alignment horizontal="right" wrapText="1"/>
    </xf>
    <xf numFmtId="0" fontId="33" fillId="0" borderId="1" xfId="19" applyFont="1" applyBorder="1" applyAlignment="1">
      <alignment horizontal="left" vertical="top"/>
    </xf>
    <xf numFmtId="0" fontId="31" fillId="0" borderId="3" xfId="19" applyFont="1" applyBorder="1" applyAlignment="1">
      <alignment vertical="top"/>
    </xf>
    <xf numFmtId="0" fontId="21" fillId="0" borderId="3" xfId="0" applyFont="1" applyBorder="1" applyAlignment="1">
      <alignment horizontal="center" vertical="top"/>
    </xf>
    <xf numFmtId="0" fontId="31" fillId="0" borderId="2" xfId="19" applyFont="1" applyBorder="1" applyAlignment="1">
      <alignment vertical="top"/>
    </xf>
    <xf numFmtId="0" fontId="31" fillId="5" borderId="3" xfId="19" applyFont="1" applyFill="1" applyBorder="1" applyAlignment="1">
      <alignment vertical="top"/>
    </xf>
    <xf numFmtId="4" fontId="21" fillId="8" borderId="2" xfId="0" applyNumberFormat="1" applyFont="1" applyFill="1" applyBorder="1" applyAlignment="1">
      <alignment horizontal="right" wrapText="1"/>
    </xf>
    <xf numFmtId="4" fontId="22" fillId="8" borderId="1" xfId="0" applyNumberFormat="1" applyFont="1" applyFill="1" applyBorder="1" applyAlignment="1">
      <alignment horizontal="right" wrapText="1"/>
    </xf>
    <xf numFmtId="4" fontId="22" fillId="8" borderId="1" xfId="0" applyNumberFormat="1" applyFont="1" applyFill="1" applyBorder="1"/>
    <xf numFmtId="4" fontId="30" fillId="8" borderId="1" xfId="0" applyNumberFormat="1" applyFont="1" applyFill="1" applyBorder="1"/>
    <xf numFmtId="0" fontId="22" fillId="0" borderId="5" xfId="0" applyFont="1" applyBorder="1"/>
    <xf numFmtId="0" fontId="22" fillId="0" borderId="7" xfId="19" applyFont="1" applyBorder="1" applyAlignment="1">
      <alignment wrapText="1"/>
    </xf>
    <xf numFmtId="0" fontId="22" fillId="0" borderId="9" xfId="19" applyFont="1" applyBorder="1" applyAlignment="1">
      <alignment wrapText="1"/>
    </xf>
    <xf numFmtId="0" fontId="21" fillId="0" borderId="8" xfId="19" applyFont="1" applyBorder="1" applyAlignment="1">
      <alignment vertical="top" wrapText="1"/>
    </xf>
    <xf numFmtId="0" fontId="21" fillId="0" borderId="8" xfId="0" applyFont="1" applyBorder="1" applyAlignment="1">
      <alignment vertical="top" wrapText="1"/>
    </xf>
    <xf numFmtId="0" fontId="21" fillId="0" borderId="9" xfId="0" applyFont="1" applyBorder="1" applyAlignment="1">
      <alignment vertical="top" wrapText="1"/>
    </xf>
    <xf numFmtId="0" fontId="22" fillId="0" borderId="8" xfId="0" applyFont="1" applyBorder="1" applyAlignment="1">
      <alignment vertical="top" wrapText="1"/>
    </xf>
    <xf numFmtId="0" fontId="22" fillId="0" borderId="9" xfId="0" applyFont="1" applyBorder="1" applyAlignment="1">
      <alignment vertical="top" wrapText="1"/>
    </xf>
    <xf numFmtId="49" fontId="21" fillId="5" borderId="8" xfId="0" applyNumberFormat="1" applyFont="1" applyFill="1" applyBorder="1" applyAlignment="1" applyProtection="1">
      <alignment vertical="top" wrapText="1"/>
      <protection locked="0"/>
    </xf>
    <xf numFmtId="0" fontId="23" fillId="0" borderId="9" xfId="19" applyFont="1" applyBorder="1" applyAlignment="1">
      <alignment horizontal="center" vertical="top"/>
    </xf>
    <xf numFmtId="49" fontId="21" fillId="5" borderId="9" xfId="0" applyNumberFormat="1" applyFont="1" applyFill="1" applyBorder="1" applyAlignment="1" applyProtection="1">
      <alignment horizontal="center" vertical="top"/>
      <protection locked="0"/>
    </xf>
    <xf numFmtId="49" fontId="22" fillId="5" borderId="8" xfId="0" applyNumberFormat="1" applyFont="1" applyFill="1" applyBorder="1" applyAlignment="1" applyProtection="1">
      <alignment vertical="top" wrapText="1"/>
      <protection locked="0"/>
    </xf>
    <xf numFmtId="49" fontId="22" fillId="5" borderId="9" xfId="0" applyNumberFormat="1" applyFont="1" applyFill="1" applyBorder="1" applyAlignment="1" applyProtection="1">
      <alignment vertical="top" wrapText="1"/>
      <protection locked="0"/>
    </xf>
    <xf numFmtId="0" fontId="30" fillId="0" borderId="8" xfId="0" applyFont="1" applyBorder="1" applyAlignment="1">
      <alignment vertical="top" wrapText="1"/>
    </xf>
    <xf numFmtId="0" fontId="30" fillId="0" borderId="9" xfId="0" applyFont="1" applyBorder="1" applyAlignment="1">
      <alignment vertical="top" wrapText="1"/>
    </xf>
    <xf numFmtId="0" fontId="29" fillId="0" borderId="8" xfId="65" applyNumberFormat="1" applyFont="1" applyBorder="1" applyAlignment="1">
      <alignment vertical="top" wrapText="1"/>
    </xf>
    <xf numFmtId="0" fontId="29" fillId="0" borderId="9" xfId="65" applyNumberFormat="1" applyFont="1" applyBorder="1" applyAlignment="1">
      <alignment vertical="top" wrapText="1"/>
    </xf>
    <xf numFmtId="0" fontId="32" fillId="0" borderId="8" xfId="0" applyFont="1" applyBorder="1" applyAlignment="1">
      <alignment horizontal="left" vertical="top"/>
    </xf>
    <xf numFmtId="0" fontId="30" fillId="0" borderId="9" xfId="0" applyFont="1" applyBorder="1" applyAlignment="1">
      <alignment horizontal="left" vertical="top"/>
    </xf>
    <xf numFmtId="0" fontId="28" fillId="0" borderId="8" xfId="65" applyNumberFormat="1" applyFont="1" applyBorder="1" applyAlignment="1">
      <alignment vertical="top" wrapText="1"/>
    </xf>
    <xf numFmtId="0" fontId="22" fillId="0" borderId="8" xfId="65" applyNumberFormat="1" applyFont="1" applyBorder="1" applyAlignment="1">
      <alignment vertical="top" wrapText="1"/>
    </xf>
    <xf numFmtId="0" fontId="22" fillId="0" borderId="9" xfId="65" applyNumberFormat="1" applyFont="1" applyBorder="1" applyAlignment="1">
      <alignment vertical="top" wrapText="1"/>
    </xf>
    <xf numFmtId="0" fontId="29" fillId="5" borderId="8" xfId="65" applyNumberFormat="1" applyFont="1" applyFill="1" applyBorder="1" applyAlignment="1">
      <alignment vertical="top" wrapText="1"/>
    </xf>
    <xf numFmtId="0" fontId="29" fillId="5" borderId="9" xfId="65" applyNumberFormat="1" applyFont="1" applyFill="1" applyBorder="1" applyAlignment="1">
      <alignment vertical="top" wrapText="1"/>
    </xf>
    <xf numFmtId="0" fontId="32" fillId="0" borderId="8" xfId="0" applyFont="1" applyBorder="1" applyAlignment="1">
      <alignment vertical="top" wrapText="1"/>
    </xf>
    <xf numFmtId="0" fontId="30" fillId="0" borderId="8" xfId="0" quotePrefix="1" applyFont="1" applyBorder="1" applyAlignment="1">
      <alignment vertical="top" wrapText="1"/>
    </xf>
    <xf numFmtId="0" fontId="30" fillId="0" borderId="9" xfId="0" quotePrefix="1" applyFont="1" applyBorder="1" applyAlignment="1">
      <alignment vertical="top" wrapText="1"/>
    </xf>
    <xf numFmtId="0" fontId="30" fillId="0" borderId="9" xfId="0" applyFont="1" applyBorder="1" applyAlignment="1">
      <alignment vertical="top"/>
    </xf>
    <xf numFmtId="0" fontId="32" fillId="0" borderId="8" xfId="0" applyFont="1" applyBorder="1" applyAlignment="1">
      <alignment vertical="top"/>
    </xf>
    <xf numFmtId="0" fontId="30" fillId="0" borderId="8" xfId="0" applyFont="1" applyBorder="1" applyAlignment="1">
      <alignment vertical="top"/>
    </xf>
    <xf numFmtId="0" fontId="42" fillId="0" borderId="9" xfId="0" applyFont="1" applyBorder="1" applyAlignment="1">
      <alignment vertical="top" wrapText="1"/>
    </xf>
    <xf numFmtId="0" fontId="30" fillId="0" borderId="8" xfId="0" applyFont="1" applyBorder="1" applyAlignment="1">
      <alignment horizontal="left" vertical="top" wrapText="1"/>
    </xf>
    <xf numFmtId="0" fontId="30" fillId="0" borderId="9" xfId="0" applyFont="1" applyBorder="1" applyAlignment="1">
      <alignment horizontal="left" vertical="top" wrapText="1"/>
    </xf>
    <xf numFmtId="0" fontId="32" fillId="0" borderId="8" xfId="0" applyFont="1" applyBorder="1" applyAlignment="1">
      <alignment horizontal="left" vertical="top" wrapText="1"/>
    </xf>
    <xf numFmtId="0" fontId="22" fillId="5" borderId="8" xfId="0" applyFont="1" applyFill="1" applyBorder="1" applyAlignment="1">
      <alignment vertical="top" wrapText="1"/>
    </xf>
    <xf numFmtId="0" fontId="22" fillId="5" borderId="9" xfId="0" applyFont="1" applyFill="1" applyBorder="1" applyAlignment="1">
      <alignment vertical="top" wrapText="1"/>
    </xf>
    <xf numFmtId="49" fontId="30" fillId="0" borderId="8" xfId="0" applyNumberFormat="1" applyFont="1" applyBorder="1" applyAlignment="1">
      <alignment vertical="top" wrapText="1"/>
    </xf>
    <xf numFmtId="49" fontId="30" fillId="0" borderId="9" xfId="0" applyNumberFormat="1" applyFont="1" applyBorder="1" applyAlignment="1">
      <alignment vertical="top" wrapText="1"/>
    </xf>
    <xf numFmtId="2" fontId="22" fillId="5" borderId="8" xfId="47" applyNumberFormat="1" applyFont="1" applyFill="1" applyBorder="1" applyAlignment="1">
      <alignment vertical="top" wrapText="1"/>
    </xf>
    <xf numFmtId="2" fontId="22" fillId="5" borderId="9" xfId="47" applyNumberFormat="1" applyFont="1" applyFill="1" applyBorder="1" applyAlignment="1">
      <alignment vertical="top" wrapText="1"/>
    </xf>
    <xf numFmtId="2" fontId="22" fillId="5" borderId="8" xfId="47" applyNumberFormat="1" applyFont="1" applyFill="1" applyBorder="1" applyAlignment="1">
      <alignment horizontal="justify" vertical="top"/>
    </xf>
    <xf numFmtId="2" fontId="22" fillId="5" borderId="9" xfId="47" applyNumberFormat="1" applyFont="1" applyFill="1" applyBorder="1" applyAlignment="1">
      <alignment horizontal="justify" vertical="top" wrapText="1"/>
    </xf>
    <xf numFmtId="0" fontId="21" fillId="0" borderId="8" xfId="74" applyFont="1" applyBorder="1" applyAlignment="1">
      <alignment horizontal="justify" vertical="top" wrapText="1"/>
    </xf>
    <xf numFmtId="0" fontId="22" fillId="0" borderId="9" xfId="74" applyFont="1" applyBorder="1"/>
    <xf numFmtId="0" fontId="22" fillId="0" borderId="8" xfId="74" applyFont="1" applyBorder="1" applyAlignment="1">
      <alignment horizontal="justify" vertical="top" wrapText="1"/>
    </xf>
    <xf numFmtId="0" fontId="22" fillId="0" borderId="9" xfId="74" applyFont="1" applyBorder="1" applyAlignment="1">
      <alignment horizontal="right" vertical="top" wrapText="1"/>
    </xf>
    <xf numFmtId="2" fontId="21" fillId="0" borderId="8" xfId="61" applyNumberFormat="1" applyFont="1" applyBorder="1" applyAlignment="1">
      <alignment horizontal="justify" wrapText="1"/>
    </xf>
    <xf numFmtId="0" fontId="21" fillId="0" borderId="9" xfId="74" applyFont="1" applyBorder="1" applyAlignment="1">
      <alignment horizontal="right" vertical="top" wrapText="1"/>
    </xf>
    <xf numFmtId="2" fontId="22" fillId="0" borderId="8" xfId="75" applyNumberFormat="1" applyFont="1" applyBorder="1" applyAlignment="1">
      <alignment horizontal="justify" vertical="top" wrapText="1"/>
    </xf>
    <xf numFmtId="0" fontId="37" fillId="0" borderId="8" xfId="0" applyFont="1" applyBorder="1" applyAlignment="1">
      <alignment horizontal="justify" vertical="top" wrapText="1"/>
    </xf>
    <xf numFmtId="2" fontId="22" fillId="0" borderId="10" xfId="75" applyNumberFormat="1" applyFont="1" applyBorder="1" applyAlignment="1">
      <alignment horizontal="justify" vertical="top" wrapText="1"/>
    </xf>
    <xf numFmtId="0" fontId="22" fillId="0" borderId="11" xfId="74" applyFont="1" applyBorder="1" applyAlignment="1">
      <alignment horizontal="right" vertical="top" wrapText="1"/>
    </xf>
    <xf numFmtId="49" fontId="22" fillId="5" borderId="1" xfId="0" applyNumberFormat="1" applyFont="1" applyFill="1" applyBorder="1" applyAlignment="1" applyProtection="1">
      <alignment horizontal="left" vertical="top" wrapText="1"/>
      <protection locked="0"/>
    </xf>
    <xf numFmtId="0" fontId="21" fillId="5" borderId="1" xfId="0" applyFont="1" applyFill="1" applyBorder="1" applyAlignment="1" applyProtection="1">
      <alignment horizontal="left" vertical="center" wrapText="1"/>
      <protection locked="0"/>
    </xf>
    <xf numFmtId="0" fontId="22" fillId="0" borderId="1" xfId="0" applyFont="1" applyBorder="1" applyAlignment="1">
      <alignment horizontal="right"/>
    </xf>
    <xf numFmtId="0" fontId="22" fillId="0" borderId="3" xfId="0" applyFont="1" applyBorder="1" applyAlignment="1">
      <alignment horizontal="right"/>
    </xf>
    <xf numFmtId="0" fontId="30" fillId="5" borderId="1" xfId="0" applyFont="1" applyFill="1" applyBorder="1" applyAlignment="1">
      <alignment horizontal="right"/>
    </xf>
    <xf numFmtId="0" fontId="30" fillId="0" borderId="1" xfId="0" applyFont="1" applyBorder="1" applyAlignment="1">
      <alignment horizontal="right"/>
    </xf>
    <xf numFmtId="0" fontId="29" fillId="5" borderId="1" xfId="0" applyFont="1" applyFill="1" applyBorder="1" applyAlignment="1">
      <alignment horizontal="right"/>
    </xf>
    <xf numFmtId="0" fontId="0" fillId="0" borderId="1" xfId="0" applyBorder="1" applyAlignment="1">
      <alignment horizontal="right"/>
    </xf>
    <xf numFmtId="4" fontId="38" fillId="0" borderId="1" xfId="19" applyNumberFormat="1" applyFont="1" applyBorder="1" applyAlignment="1">
      <alignment horizontal="right"/>
    </xf>
    <xf numFmtId="0" fontId="25" fillId="0" borderId="1" xfId="0" applyFont="1" applyBorder="1" applyAlignment="1">
      <alignment horizontal="right"/>
    </xf>
    <xf numFmtId="0" fontId="36" fillId="0" borderId="1" xfId="0" applyFont="1" applyBorder="1" applyAlignment="1">
      <alignment horizontal="right"/>
    </xf>
    <xf numFmtId="0" fontId="34" fillId="6" borderId="1" xfId="0" applyFont="1" applyFill="1" applyBorder="1" applyAlignment="1">
      <alignment horizontal="right" wrapText="1"/>
    </xf>
    <xf numFmtId="0" fontId="22" fillId="5" borderId="1" xfId="0" applyFont="1" applyFill="1" applyBorder="1" applyAlignment="1">
      <alignment horizontal="right" wrapText="1"/>
    </xf>
    <xf numFmtId="0" fontId="21" fillId="5" borderId="2" xfId="0" applyFont="1" applyFill="1" applyBorder="1" applyAlignment="1" applyProtection="1">
      <alignment horizontal="right"/>
      <protection locked="0"/>
    </xf>
    <xf numFmtId="0" fontId="21" fillId="5" borderId="3" xfId="0" applyFont="1" applyFill="1" applyBorder="1" applyAlignment="1" applyProtection="1">
      <alignment horizontal="right" wrapText="1"/>
      <protection locked="0"/>
    </xf>
    <xf numFmtId="49" fontId="22" fillId="5" borderId="1" xfId="0" applyNumberFormat="1" applyFont="1" applyFill="1" applyBorder="1" applyAlignment="1" applyProtection="1">
      <alignment horizontal="right" wrapText="1"/>
      <protection locked="0"/>
    </xf>
    <xf numFmtId="0" fontId="21" fillId="5" borderId="1" xfId="0" applyFont="1" applyFill="1" applyBorder="1" applyAlignment="1" applyProtection="1">
      <alignment horizontal="right" wrapText="1"/>
      <protection locked="0"/>
    </xf>
    <xf numFmtId="4" fontId="25" fillId="5" borderId="1" xfId="0" applyNumberFormat="1" applyFont="1" applyFill="1" applyBorder="1" applyAlignment="1" applyProtection="1">
      <alignment horizontal="right" wrapText="1"/>
      <protection locked="0"/>
    </xf>
    <xf numFmtId="4" fontId="30" fillId="5" borderId="1" xfId="0" applyNumberFormat="1" applyFont="1" applyFill="1" applyBorder="1" applyAlignment="1">
      <alignment horizontal="right"/>
    </xf>
    <xf numFmtId="0" fontId="22" fillId="5" borderId="1" xfId="0" applyFont="1" applyFill="1" applyBorder="1" applyAlignment="1">
      <alignment horizontal="right"/>
    </xf>
    <xf numFmtId="0" fontId="4" fillId="0" borderId="1" xfId="0" applyFont="1" applyBorder="1"/>
    <xf numFmtId="0" fontId="24" fillId="0" borderId="1" xfId="19" applyFont="1" applyBorder="1" applyAlignment="1">
      <alignment vertical="center"/>
    </xf>
    <xf numFmtId="0" fontId="25" fillId="0" borderId="1" xfId="19" applyFont="1" applyBorder="1" applyAlignment="1">
      <alignment horizontal="center" vertical="top"/>
    </xf>
    <xf numFmtId="0" fontId="24" fillId="0" borderId="1" xfId="0" applyFont="1" applyBorder="1"/>
    <xf numFmtId="0" fontId="24" fillId="5" borderId="1" xfId="0" applyFont="1" applyFill="1" applyBorder="1" applyAlignment="1" applyProtection="1">
      <alignment horizontal="left" vertical="center" wrapText="1"/>
      <protection locked="0"/>
    </xf>
    <xf numFmtId="4" fontId="24" fillId="5" borderId="1" xfId="0" applyNumberFormat="1" applyFont="1" applyFill="1" applyBorder="1" applyAlignment="1">
      <alignment horizontal="right" wrapText="1"/>
    </xf>
    <xf numFmtId="0" fontId="43" fillId="0" borderId="1" xfId="0" applyFont="1" applyBorder="1"/>
    <xf numFmtId="0" fontId="25" fillId="5" borderId="1" xfId="0" applyFont="1" applyFill="1" applyBorder="1" applyAlignment="1">
      <alignment horizontal="justify" vertical="top" wrapText="1"/>
    </xf>
    <xf numFmtId="0" fontId="44" fillId="0" borderId="1" xfId="0" applyFont="1" applyBorder="1" applyAlignment="1">
      <alignment vertical="top" wrapText="1"/>
    </xf>
    <xf numFmtId="0" fontId="44" fillId="0" borderId="1" xfId="0" applyFont="1" applyBorder="1" applyAlignment="1">
      <alignment horizontal="right"/>
    </xf>
    <xf numFmtId="2" fontId="44" fillId="0" borderId="1" xfId="0" applyNumberFormat="1" applyFont="1" applyBorder="1"/>
    <xf numFmtId="0" fontId="44" fillId="0" borderId="1" xfId="0" applyFont="1" applyBorder="1"/>
    <xf numFmtId="0" fontId="45" fillId="0" borderId="1" xfId="0" applyFont="1" applyBorder="1"/>
    <xf numFmtId="4" fontId="44" fillId="0" borderId="1" xfId="0" applyNumberFormat="1" applyFont="1" applyBorder="1"/>
    <xf numFmtId="0" fontId="21" fillId="0" borderId="5" xfId="0" applyFont="1" applyBorder="1"/>
    <xf numFmtId="0" fontId="22" fillId="0" borderId="4" xfId="0" applyFont="1" applyBorder="1"/>
    <xf numFmtId="0" fontId="21" fillId="0" borderId="0" xfId="0" applyFont="1" applyAlignment="1">
      <alignment horizontal="center" vertical="top"/>
    </xf>
    <xf numFmtId="0" fontId="31" fillId="0" borderId="1" xfId="19" applyFont="1" applyBorder="1" applyAlignment="1">
      <alignment horizontal="center" vertical="top"/>
    </xf>
    <xf numFmtId="0" fontId="46" fillId="0" borderId="1" xfId="0" applyFont="1" applyBorder="1"/>
    <xf numFmtId="0" fontId="21" fillId="0" borderId="1" xfId="0" applyFont="1" applyBorder="1" applyAlignment="1">
      <alignment horizontal="right"/>
    </xf>
    <xf numFmtId="2" fontId="21" fillId="0" borderId="1" xfId="0" applyNumberFormat="1" applyFont="1" applyBorder="1"/>
    <xf numFmtId="0" fontId="21" fillId="0" borderId="1" xfId="19" applyFont="1" applyBorder="1" applyAlignment="1">
      <alignment vertical="top"/>
    </xf>
    <xf numFmtId="0" fontId="22" fillId="5" borderId="1" xfId="0" applyFont="1" applyFill="1" applyBorder="1" applyAlignment="1" applyProtection="1">
      <alignment vertical="top" wrapText="1"/>
      <protection locked="0"/>
    </xf>
    <xf numFmtId="0" fontId="22" fillId="0" borderId="1" xfId="0" applyFont="1" applyBorder="1" applyAlignment="1">
      <alignment horizontal="justify" vertical="top" wrapText="1"/>
    </xf>
    <xf numFmtId="0" fontId="23" fillId="0" borderId="8" xfId="19" applyFont="1" applyBorder="1" applyAlignment="1">
      <alignment vertical="top" wrapText="1"/>
    </xf>
    <xf numFmtId="0" fontId="22" fillId="0" borderId="5" xfId="19" applyFont="1" applyBorder="1"/>
    <xf numFmtId="0" fontId="22" fillId="0" borderId="1" xfId="19" applyFont="1" applyBorder="1"/>
    <xf numFmtId="0" fontId="22" fillId="0" borderId="9" xfId="0" applyFont="1" applyBorder="1" applyAlignment="1">
      <alignment horizontal="center"/>
    </xf>
    <xf numFmtId="0" fontId="21" fillId="0" borderId="9" xfId="0" applyFont="1" applyBorder="1" applyAlignment="1">
      <alignment wrapText="1"/>
    </xf>
    <xf numFmtId="0" fontId="22" fillId="0" borderId="9" xfId="0" applyFont="1" applyBorder="1" applyAlignment="1">
      <alignment wrapText="1"/>
    </xf>
    <xf numFmtId="0" fontId="30" fillId="0" borderId="9" xfId="0" applyFont="1" applyBorder="1" applyAlignment="1">
      <alignment horizontal="left" wrapText="1"/>
    </xf>
    <xf numFmtId="0" fontId="30" fillId="0" borderId="8" xfId="0" applyFont="1" applyBorder="1" applyAlignment="1">
      <alignment horizontal="left" wrapText="1"/>
    </xf>
    <xf numFmtId="0" fontId="23" fillId="0" borderId="9" xfId="19" applyFont="1" applyBorder="1" applyAlignment="1">
      <alignment vertical="top" wrapText="1"/>
    </xf>
    <xf numFmtId="0" fontId="22" fillId="0" borderId="5" xfId="0" applyFont="1" applyBorder="1" applyAlignment="1">
      <alignment vertical="top"/>
    </xf>
    <xf numFmtId="0" fontId="22" fillId="0" borderId="1" xfId="0" applyFont="1" applyBorder="1" applyAlignment="1">
      <alignment vertical="top"/>
    </xf>
    <xf numFmtId="0" fontId="37" fillId="5" borderId="8" xfId="47" applyFont="1" applyFill="1" applyBorder="1" applyAlignment="1">
      <alignment vertical="top" wrapText="1"/>
    </xf>
    <xf numFmtId="0" fontId="37" fillId="5" borderId="9" xfId="47" applyFont="1" applyFill="1" applyBorder="1" applyAlignment="1">
      <alignment vertical="top" wrapText="1"/>
    </xf>
    <xf numFmtId="0" fontId="21" fillId="0" borderId="8" xfId="19" applyFont="1" applyBorder="1" applyAlignment="1">
      <alignment vertical="top"/>
    </xf>
    <xf numFmtId="0" fontId="22" fillId="0" borderId="6" xfId="19" applyFont="1" applyBorder="1" applyAlignment="1">
      <alignment vertical="top"/>
    </xf>
    <xf numFmtId="0" fontId="22" fillId="5" borderId="5" xfId="0" applyFont="1" applyFill="1" applyBorder="1" applyAlignment="1">
      <alignment vertical="top"/>
    </xf>
    <xf numFmtId="0" fontId="22" fillId="5" borderId="1" xfId="0" applyFont="1" applyFill="1" applyBorder="1" applyAlignment="1">
      <alignment vertical="top"/>
    </xf>
    <xf numFmtId="0" fontId="31" fillId="0" borderId="8" xfId="19" applyFont="1" applyBorder="1" applyAlignment="1">
      <alignment vertical="top"/>
    </xf>
    <xf numFmtId="0" fontId="31" fillId="0" borderId="8" xfId="19" applyFont="1" applyBorder="1" applyAlignment="1">
      <alignment horizontal="left" vertical="top"/>
    </xf>
    <xf numFmtId="0" fontId="21" fillId="5" borderId="8" xfId="0" applyFont="1" applyFill="1" applyBorder="1" applyAlignment="1">
      <alignment vertical="top"/>
    </xf>
    <xf numFmtId="0" fontId="28" fillId="5" borderId="9" xfId="65" applyNumberFormat="1" applyFont="1" applyFill="1" applyBorder="1" applyAlignment="1">
      <alignment horizontal="center" vertical="top" wrapText="1"/>
    </xf>
    <xf numFmtId="0" fontId="23" fillId="0" borderId="9" xfId="19" applyFont="1" applyBorder="1" applyAlignment="1">
      <alignment vertical="top"/>
    </xf>
    <xf numFmtId="0" fontId="37" fillId="5" borderId="9" xfId="47" applyFont="1" applyFill="1" applyBorder="1" applyAlignment="1">
      <alignment horizontal="justify" vertical="top"/>
    </xf>
    <xf numFmtId="0" fontId="22" fillId="0" borderId="9" xfId="74" applyFont="1" applyBorder="1" applyAlignment="1">
      <alignment vertical="top"/>
    </xf>
    <xf numFmtId="0" fontId="22" fillId="0" borderId="3" xfId="0" applyFont="1" applyBorder="1" applyAlignment="1">
      <alignment vertical="top" wrapText="1"/>
    </xf>
    <xf numFmtId="4" fontId="22" fillId="0" borderId="1" xfId="0" applyNumberFormat="1" applyFont="1" applyBorder="1" applyAlignment="1">
      <alignment horizontal="right" wrapText="1"/>
    </xf>
    <xf numFmtId="4" fontId="21" fillId="0" borderId="1" xfId="0" applyNumberFormat="1" applyFont="1" applyBorder="1" applyAlignment="1">
      <alignment horizontal="right" wrapText="1"/>
    </xf>
    <xf numFmtId="0" fontId="21" fillId="0" borderId="3" xfId="19" applyFont="1" applyBorder="1" applyAlignment="1">
      <alignment vertical="top"/>
    </xf>
    <xf numFmtId="0" fontId="22" fillId="5" borderId="3" xfId="0" applyFont="1" applyFill="1" applyBorder="1" applyAlignment="1" applyProtection="1">
      <alignment vertical="top" wrapText="1"/>
      <protection locked="0"/>
    </xf>
    <xf numFmtId="0" fontId="22" fillId="0" borderId="1" xfId="0" applyFont="1" applyBorder="1" applyAlignment="1">
      <alignment horizontal="center"/>
    </xf>
    <xf numFmtId="0" fontId="47" fillId="0" borderId="1" xfId="0" applyFont="1" applyBorder="1"/>
    <xf numFmtId="49" fontId="22" fillId="0" borderId="1" xfId="0" applyNumberFormat="1" applyFont="1" applyBorder="1" applyAlignment="1" applyProtection="1">
      <alignment horizontal="center" vertical="top"/>
      <protection locked="0"/>
    </xf>
    <xf numFmtId="0" fontId="22" fillId="5" borderId="1" xfId="19" applyFont="1" applyFill="1" applyBorder="1" applyAlignment="1">
      <alignment vertical="top"/>
    </xf>
    <xf numFmtId="0" fontId="22" fillId="5" borderId="1" xfId="0" applyFont="1" applyFill="1" applyBorder="1" applyAlignment="1" applyProtection="1">
      <alignment horizontal="left" vertical="center" wrapText="1"/>
      <protection locked="0"/>
    </xf>
    <xf numFmtId="0" fontId="22" fillId="5" borderId="1" xfId="0" applyFont="1" applyFill="1" applyBorder="1" applyAlignment="1">
      <alignment vertical="top" wrapText="1"/>
    </xf>
    <xf numFmtId="0" fontId="23" fillId="0" borderId="3" xfId="19" applyFont="1" applyBorder="1" applyAlignment="1">
      <alignment vertical="top"/>
    </xf>
    <xf numFmtId="0" fontId="22" fillId="0" borderId="3" xfId="0" applyFont="1" applyBorder="1" applyAlignment="1">
      <alignment horizontal="center" vertical="top"/>
    </xf>
    <xf numFmtId="0" fontId="22" fillId="5" borderId="3" xfId="0" applyFont="1" applyFill="1" applyBorder="1" applyAlignment="1" applyProtection="1">
      <alignment horizontal="left" vertical="center" wrapText="1"/>
      <protection locked="0"/>
    </xf>
    <xf numFmtId="0" fontId="22" fillId="5" borderId="3" xfId="0" applyFont="1" applyFill="1" applyBorder="1" applyAlignment="1" applyProtection="1">
      <alignment horizontal="right" wrapText="1"/>
      <protection locked="0"/>
    </xf>
    <xf numFmtId="4" fontId="22" fillId="5" borderId="3" xfId="0" applyNumberFormat="1" applyFont="1" applyFill="1" applyBorder="1" applyAlignment="1">
      <alignment horizontal="right" wrapText="1"/>
    </xf>
    <xf numFmtId="0" fontId="22" fillId="0" borderId="1" xfId="19" applyFont="1" applyBorder="1" applyAlignment="1">
      <alignment horizontal="center" vertical="top"/>
    </xf>
    <xf numFmtId="0" fontId="22" fillId="0" borderId="1" xfId="0" quotePrefix="1" applyFont="1" applyBorder="1" applyAlignment="1">
      <alignment vertical="top" wrapText="1"/>
    </xf>
    <xf numFmtId="0" fontId="22" fillId="0" borderId="3" xfId="19" applyFont="1" applyBorder="1" applyAlignment="1">
      <alignment vertical="top"/>
    </xf>
    <xf numFmtId="0" fontId="22" fillId="5" borderId="3" xfId="0" applyFont="1" applyFill="1" applyBorder="1" applyAlignment="1" applyProtection="1">
      <alignment horizontal="left" vertical="top" wrapText="1"/>
      <protection locked="0"/>
    </xf>
    <xf numFmtId="0" fontId="23" fillId="0" borderId="1" xfId="19" applyFont="1" applyBorder="1" applyAlignment="1">
      <alignment vertical="top" wrapText="1"/>
    </xf>
    <xf numFmtId="0" fontId="23" fillId="0" borderId="1" xfId="19" applyFont="1" applyBorder="1" applyAlignment="1">
      <alignment horizontal="center" vertical="top" wrapText="1"/>
    </xf>
    <xf numFmtId="0" fontId="22" fillId="0" borderId="1" xfId="0" applyFont="1" applyBorder="1" applyAlignment="1">
      <alignment horizontal="right" vertical="top" wrapText="1"/>
    </xf>
    <xf numFmtId="2" fontId="22" fillId="0" borderId="1" xfId="0" applyNumberFormat="1" applyFont="1" applyBorder="1" applyAlignment="1">
      <alignment vertical="top" wrapText="1"/>
    </xf>
    <xf numFmtId="0" fontId="4" fillId="0" borderId="1" xfId="0" applyFont="1" applyBorder="1" applyAlignment="1">
      <alignment vertical="top" wrapText="1"/>
    </xf>
    <xf numFmtId="2" fontId="22" fillId="0" borderId="1" xfId="0" applyNumberFormat="1" applyFont="1" applyBorder="1" applyAlignment="1">
      <alignment horizontal="right" wrapText="1"/>
    </xf>
    <xf numFmtId="49" fontId="22" fillId="5" borderId="3" xfId="0" applyNumberFormat="1" applyFont="1" applyFill="1" applyBorder="1" applyAlignment="1" applyProtection="1">
      <alignment horizontal="center" vertical="top"/>
      <protection locked="0"/>
    </xf>
    <xf numFmtId="0" fontId="36" fillId="0" borderId="3" xfId="0" applyFont="1" applyBorder="1"/>
    <xf numFmtId="49" fontId="36" fillId="5" borderId="1" xfId="0" applyNumberFormat="1" applyFont="1" applyFill="1" applyBorder="1" applyAlignment="1" applyProtection="1">
      <alignment horizontal="center" vertical="top"/>
      <protection locked="0"/>
    </xf>
    <xf numFmtId="0" fontId="36" fillId="0" borderId="5" xfId="0" applyFont="1" applyBorder="1"/>
    <xf numFmtId="0" fontId="36" fillId="0" borderId="3" xfId="0" applyFont="1" applyBorder="1" applyAlignment="1">
      <alignment horizontal="right"/>
    </xf>
    <xf numFmtId="2" fontId="36" fillId="0" borderId="3" xfId="0" applyNumberFormat="1" applyFont="1" applyBorder="1"/>
    <xf numFmtId="4" fontId="36" fillId="8" borderId="3" xfId="0" applyNumberFormat="1" applyFont="1" applyFill="1" applyBorder="1"/>
    <xf numFmtId="0" fontId="49" fillId="0" borderId="1" xfId="0" applyFont="1" applyBorder="1"/>
    <xf numFmtId="0" fontId="50" fillId="0" borderId="3" xfId="19" applyFont="1" applyBorder="1" applyAlignment="1">
      <alignment vertical="top"/>
    </xf>
    <xf numFmtId="0" fontId="36" fillId="5" borderId="3" xfId="0" applyFont="1" applyFill="1" applyBorder="1" applyAlignment="1" applyProtection="1">
      <alignment horizontal="right" wrapText="1"/>
      <protection locked="0"/>
    </xf>
    <xf numFmtId="0" fontId="36" fillId="5" borderId="3" xfId="0" applyFont="1" applyFill="1" applyBorder="1" applyAlignment="1" applyProtection="1">
      <alignment horizontal="left" vertical="center" wrapText="1"/>
      <protection locked="0"/>
    </xf>
    <xf numFmtId="0" fontId="50" fillId="0" borderId="1" xfId="19" applyFont="1" applyBorder="1" applyAlignment="1">
      <alignment vertical="center"/>
    </xf>
    <xf numFmtId="2" fontId="36" fillId="0" borderId="1" xfId="0" applyNumberFormat="1" applyFont="1" applyBorder="1"/>
    <xf numFmtId="0" fontId="51" fillId="0" borderId="1" xfId="19" applyFont="1" applyBorder="1" applyAlignment="1">
      <alignment vertical="top"/>
    </xf>
    <xf numFmtId="49" fontId="52" fillId="5" borderId="1" xfId="0" applyNumberFormat="1" applyFont="1" applyFill="1" applyBorder="1" applyAlignment="1" applyProtection="1">
      <alignment horizontal="center" vertical="top"/>
      <protection locked="0"/>
    </xf>
    <xf numFmtId="0" fontId="52" fillId="5" borderId="1" xfId="0" applyFont="1" applyFill="1" applyBorder="1" applyAlignment="1" applyProtection="1">
      <alignment horizontal="left" vertical="center" wrapText="1"/>
      <protection locked="0"/>
    </xf>
    <xf numFmtId="4" fontId="52" fillId="5" borderId="1" xfId="0" applyNumberFormat="1" applyFont="1" applyFill="1" applyBorder="1" applyAlignment="1">
      <alignment horizontal="right" wrapText="1"/>
    </xf>
    <xf numFmtId="0" fontId="35" fillId="0" borderId="1" xfId="0" applyFont="1" applyBorder="1"/>
    <xf numFmtId="0" fontId="51" fillId="0" borderId="2" xfId="19" applyFont="1" applyBorder="1" applyAlignment="1">
      <alignment vertical="top"/>
    </xf>
    <xf numFmtId="49" fontId="52" fillId="5" borderId="2" xfId="0" applyNumberFormat="1" applyFont="1" applyFill="1" applyBorder="1" applyAlignment="1" applyProtection="1">
      <alignment horizontal="center" vertical="top"/>
      <protection locked="0"/>
    </xf>
    <xf numFmtId="0" fontId="52" fillId="5" borderId="2" xfId="0" applyFont="1" applyFill="1" applyBorder="1" applyAlignment="1" applyProtection="1">
      <alignment vertical="center"/>
      <protection locked="0"/>
    </xf>
    <xf numFmtId="0" fontId="52" fillId="5" borderId="2" xfId="0" applyFont="1" applyFill="1" applyBorder="1" applyAlignment="1" applyProtection="1">
      <alignment horizontal="right"/>
      <protection locked="0"/>
    </xf>
    <xf numFmtId="4" fontId="52" fillId="8" borderId="2" xfId="0" applyNumberFormat="1" applyFont="1" applyFill="1" applyBorder="1" applyAlignment="1">
      <alignment horizontal="right" wrapText="1"/>
    </xf>
    <xf numFmtId="0" fontId="22" fillId="0" borderId="1" xfId="0" quotePrefix="1" applyFont="1" applyBorder="1" applyAlignment="1">
      <alignment horizontal="left" vertical="top" wrapText="1"/>
    </xf>
    <xf numFmtId="4" fontId="22" fillId="0" borderId="1" xfId="67" applyNumberFormat="1" applyFont="1" applyBorder="1" applyAlignment="1">
      <alignment horizontal="right"/>
    </xf>
    <xf numFmtId="0" fontId="4" fillId="0" borderId="1" xfId="0" applyFont="1" applyBorder="1" applyAlignment="1">
      <alignment wrapText="1"/>
    </xf>
    <xf numFmtId="0" fontId="23" fillId="0" borderId="3" xfId="19" applyFont="1" applyBorder="1" applyAlignment="1">
      <alignment vertical="top" wrapText="1"/>
    </xf>
    <xf numFmtId="0" fontId="22" fillId="0" borderId="3" xfId="0" applyFont="1" applyBorder="1" applyAlignment="1">
      <alignment vertical="top"/>
    </xf>
    <xf numFmtId="0" fontId="22" fillId="0" borderId="3" xfId="0" applyFont="1" applyBorder="1" applyAlignment="1">
      <alignment horizontal="center" vertical="top" wrapText="1"/>
    </xf>
    <xf numFmtId="0" fontId="22" fillId="0" borderId="3" xfId="0" quotePrefix="1" applyFont="1" applyBorder="1" applyAlignment="1">
      <alignment vertical="top" wrapText="1"/>
    </xf>
    <xf numFmtId="0" fontId="22" fillId="0" borderId="3" xfId="0" applyFont="1" applyBorder="1" applyAlignment="1">
      <alignment horizontal="right" wrapText="1"/>
    </xf>
    <xf numFmtId="49" fontId="22" fillId="5" borderId="1" xfId="0" applyNumberFormat="1" applyFont="1" applyFill="1" applyBorder="1" applyAlignment="1" applyProtection="1">
      <alignment horizontal="center" vertical="top" wrapText="1"/>
      <protection locked="0"/>
    </xf>
    <xf numFmtId="0" fontId="22" fillId="0" borderId="3" xfId="0" applyFont="1" applyBorder="1" applyAlignment="1">
      <alignment wrapText="1"/>
    </xf>
    <xf numFmtId="2" fontId="22" fillId="0" borderId="3" xfId="0" applyNumberFormat="1" applyFont="1" applyBorder="1" applyAlignment="1">
      <alignment wrapText="1"/>
    </xf>
    <xf numFmtId="0" fontId="22" fillId="5" borderId="3" xfId="0" quotePrefix="1" applyFont="1" applyFill="1" applyBorder="1" applyAlignment="1" applyProtection="1">
      <alignment horizontal="left" vertical="top" wrapText="1"/>
      <protection locked="0"/>
    </xf>
    <xf numFmtId="0" fontId="22" fillId="5" borderId="1" xfId="0" quotePrefix="1" applyFont="1" applyFill="1" applyBorder="1" applyAlignment="1" applyProtection="1">
      <alignment horizontal="left" vertical="top" wrapText="1"/>
      <protection locked="0"/>
    </xf>
    <xf numFmtId="0" fontId="22" fillId="5" borderId="1" xfId="0" quotePrefix="1" applyFont="1" applyFill="1" applyBorder="1" applyAlignment="1" applyProtection="1">
      <alignment horizontal="justify" vertical="top"/>
      <protection locked="0"/>
    </xf>
    <xf numFmtId="0" fontId="30" fillId="0" borderId="1" xfId="0" applyFont="1" applyBorder="1" applyAlignment="1">
      <alignment vertical="top"/>
    </xf>
    <xf numFmtId="0" fontId="23" fillId="5" borderId="3" xfId="19" applyFont="1" applyFill="1" applyBorder="1" applyAlignment="1">
      <alignment vertical="top"/>
    </xf>
    <xf numFmtId="0" fontId="22" fillId="5" borderId="1" xfId="0" applyFont="1" applyFill="1" applyBorder="1" applyAlignment="1" applyProtection="1">
      <alignment horizontal="right" vertical="top" wrapText="1"/>
      <protection locked="0"/>
    </xf>
    <xf numFmtId="170" fontId="22" fillId="5" borderId="1" xfId="0" applyNumberFormat="1" applyFont="1" applyFill="1" applyBorder="1" applyAlignment="1" applyProtection="1">
      <alignment horizontal="right" vertical="top" wrapText="1"/>
      <protection locked="0"/>
    </xf>
    <xf numFmtId="0" fontId="4" fillId="0" borderId="1" xfId="0" applyFont="1" applyBorder="1" applyAlignment="1">
      <alignment vertical="top"/>
    </xf>
    <xf numFmtId="0" fontId="22" fillId="0" borderId="3" xfId="0" applyFont="1" applyBorder="1" applyAlignment="1">
      <alignment horizontal="right" vertical="top"/>
    </xf>
    <xf numFmtId="2" fontId="22" fillId="0" borderId="3" xfId="0" applyNumberFormat="1" applyFont="1" applyBorder="1" applyAlignment="1">
      <alignment vertical="top"/>
    </xf>
    <xf numFmtId="0" fontId="22" fillId="5" borderId="3" xfId="0" applyFont="1" applyFill="1" applyBorder="1" applyAlignment="1" applyProtection="1">
      <alignment horizontal="right" vertical="top" wrapText="1"/>
      <protection locked="0"/>
    </xf>
    <xf numFmtId="4" fontId="22" fillId="5" borderId="3" xfId="0" applyNumberFormat="1" applyFont="1" applyFill="1" applyBorder="1" applyAlignment="1">
      <alignment horizontal="right" vertical="top" wrapText="1"/>
    </xf>
    <xf numFmtId="0" fontId="4" fillId="0" borderId="1" xfId="0" applyFont="1" applyBorder="1" applyAlignment="1">
      <alignment horizontal="right" vertical="top"/>
    </xf>
    <xf numFmtId="4" fontId="22" fillId="5" borderId="1" xfId="0" applyNumberFormat="1" applyFont="1" applyFill="1" applyBorder="1" applyAlignment="1" applyProtection="1">
      <alignment horizontal="right" vertical="top" wrapText="1"/>
      <protection locked="0"/>
    </xf>
    <xf numFmtId="4" fontId="22" fillId="5" borderId="1" xfId="0" applyNumberFormat="1" applyFont="1" applyFill="1" applyBorder="1" applyAlignment="1">
      <alignment horizontal="right" vertical="top" wrapText="1"/>
    </xf>
    <xf numFmtId="2" fontId="22" fillId="0" borderId="1" xfId="0" applyNumberFormat="1" applyFont="1" applyBorder="1" applyAlignment="1">
      <alignment vertical="top"/>
    </xf>
    <xf numFmtId="4" fontId="22" fillId="0" borderId="1" xfId="0" applyNumberFormat="1" applyFont="1" applyBorder="1" applyAlignment="1">
      <alignment horizontal="right" vertical="top" wrapText="1"/>
    </xf>
    <xf numFmtId="0" fontId="30" fillId="0" borderId="1" xfId="0" applyFont="1" applyBorder="1" applyAlignment="1">
      <alignment horizontal="right" vertical="top"/>
    </xf>
    <xf numFmtId="4" fontId="30" fillId="0" borderId="1" xfId="0" applyNumberFormat="1" applyFont="1" applyBorder="1" applyAlignment="1">
      <alignment vertical="top"/>
    </xf>
    <xf numFmtId="4" fontId="22" fillId="0" borderId="1" xfId="0" applyNumberFormat="1" applyFont="1" applyBorder="1" applyAlignment="1">
      <alignment vertical="top"/>
    </xf>
    <xf numFmtId="0" fontId="22" fillId="0" borderId="1" xfId="0" applyFont="1" applyBorder="1" applyAlignment="1">
      <alignment horizontal="right" vertical="top"/>
    </xf>
    <xf numFmtId="0" fontId="22" fillId="5" borderId="3" xfId="19" applyFont="1" applyFill="1" applyBorder="1" applyAlignment="1">
      <alignment vertical="top"/>
    </xf>
    <xf numFmtId="0" fontId="51" fillId="8" borderId="2" xfId="19" applyFont="1" applyFill="1" applyBorder="1" applyAlignment="1">
      <alignment vertical="top"/>
    </xf>
    <xf numFmtId="49" fontId="52" fillId="8" borderId="2" xfId="0" applyNumberFormat="1" applyFont="1" applyFill="1" applyBorder="1" applyAlignment="1" applyProtection="1">
      <alignment horizontal="center" vertical="top"/>
      <protection locked="0"/>
    </xf>
    <xf numFmtId="0" fontId="52" fillId="8" borderId="2" xfId="0" applyFont="1" applyFill="1" applyBorder="1" applyAlignment="1" applyProtection="1">
      <alignment vertical="center"/>
      <protection locked="0"/>
    </xf>
    <xf numFmtId="0" fontId="52" fillId="8" borderId="2" xfId="0" applyFont="1" applyFill="1" applyBorder="1" applyAlignment="1" applyProtection="1">
      <alignment horizontal="right"/>
      <protection locked="0"/>
    </xf>
    <xf numFmtId="0" fontId="53" fillId="8" borderId="2" xfId="19" applyFont="1" applyFill="1" applyBorder="1" applyAlignment="1">
      <alignment vertical="top"/>
    </xf>
    <xf numFmtId="49" fontId="54" fillId="8" borderId="2" xfId="0" applyNumberFormat="1" applyFont="1" applyFill="1" applyBorder="1" applyAlignment="1" applyProtection="1">
      <alignment horizontal="center" vertical="top"/>
      <protection locked="0"/>
    </xf>
    <xf numFmtId="0" fontId="54" fillId="8" borderId="2" xfId="0" applyFont="1" applyFill="1" applyBorder="1" applyAlignment="1" applyProtection="1">
      <alignment vertical="center"/>
      <protection locked="0"/>
    </xf>
    <xf numFmtId="0" fontId="54" fillId="8" borderId="2" xfId="0" applyFont="1" applyFill="1" applyBorder="1" applyAlignment="1" applyProtection="1">
      <alignment horizontal="right"/>
      <protection locked="0"/>
    </xf>
    <xf numFmtId="4" fontId="54" fillId="8" borderId="2" xfId="0" applyNumberFormat="1" applyFont="1" applyFill="1" applyBorder="1" applyAlignment="1">
      <alignment horizontal="right" wrapText="1"/>
    </xf>
    <xf numFmtId="0" fontId="55" fillId="0" borderId="1" xfId="0" applyFont="1" applyBorder="1"/>
    <xf numFmtId="0" fontId="21" fillId="0" borderId="1" xfId="19" applyFont="1" applyBorder="1" applyAlignment="1">
      <alignment vertical="center"/>
    </xf>
    <xf numFmtId="0" fontId="21" fillId="0" borderId="1" xfId="19" applyFont="1" applyBorder="1" applyAlignment="1">
      <alignment horizontal="center" vertical="top"/>
    </xf>
    <xf numFmtId="0" fontId="56" fillId="0" borderId="1" xfId="0" applyFont="1" applyBorder="1" applyAlignment="1">
      <alignment horizontal="right"/>
    </xf>
    <xf numFmtId="0" fontId="57" fillId="0" borderId="1" xfId="0" applyFont="1" applyBorder="1"/>
    <xf numFmtId="0" fontId="30" fillId="0" borderId="1" xfId="0" applyFont="1" applyBorder="1" applyAlignment="1">
      <alignment horizontal="center"/>
    </xf>
    <xf numFmtId="0" fontId="58" fillId="0" borderId="1" xfId="0" applyFont="1" applyBorder="1" applyAlignment="1">
      <alignment vertical="top" wrapText="1"/>
    </xf>
    <xf numFmtId="0" fontId="6" fillId="0" borderId="0" xfId="13" applyFont="1"/>
    <xf numFmtId="0" fontId="60" fillId="0" borderId="0" xfId="13" applyFont="1"/>
    <xf numFmtId="0" fontId="4" fillId="0" borderId="0" xfId="13"/>
    <xf numFmtId="0" fontId="61" fillId="0" borderId="0" xfId="13" applyFont="1" applyAlignment="1">
      <alignment horizontal="left"/>
    </xf>
    <xf numFmtId="0" fontId="63" fillId="0" borderId="0" xfId="13" applyFont="1"/>
    <xf numFmtId="0" fontId="46" fillId="0" borderId="0" xfId="13" applyFont="1" applyAlignment="1">
      <alignment vertical="top" wrapText="1"/>
    </xf>
    <xf numFmtId="0" fontId="46" fillId="0" borderId="0" xfId="13" applyFont="1"/>
    <xf numFmtId="0" fontId="6" fillId="0" borderId="0" xfId="13" applyFont="1" applyAlignment="1">
      <alignment wrapText="1"/>
    </xf>
    <xf numFmtId="0" fontId="64" fillId="0" borderId="0" xfId="13" applyFont="1" applyAlignment="1">
      <alignment vertical="top" wrapText="1"/>
    </xf>
    <xf numFmtId="0" fontId="6" fillId="0" borderId="0" xfId="13" applyFont="1" applyAlignment="1">
      <alignment vertical="top" wrapText="1"/>
    </xf>
    <xf numFmtId="2" fontId="46" fillId="0" borderId="0" xfId="13" applyNumberFormat="1" applyFont="1" applyAlignment="1">
      <alignment vertical="top" wrapText="1"/>
    </xf>
    <xf numFmtId="4" fontId="46" fillId="0" borderId="0" xfId="13" applyNumberFormat="1" applyFont="1" applyAlignment="1">
      <alignment horizontal="right" vertical="top"/>
    </xf>
    <xf numFmtId="0" fontId="46" fillId="0" borderId="0" xfId="13" applyFont="1" applyAlignment="1">
      <alignment horizontal="justify" vertical="justify" wrapText="1"/>
    </xf>
    <xf numFmtId="4" fontId="46" fillId="0" borderId="0" xfId="13" applyNumberFormat="1" applyFont="1" applyAlignment="1">
      <alignment horizontal="right" vertical="justify" wrapText="1"/>
    </xf>
    <xf numFmtId="4" fontId="64" fillId="0" borderId="0" xfId="13" applyNumberFormat="1" applyFont="1" applyAlignment="1">
      <alignment vertical="top" wrapText="1"/>
    </xf>
    <xf numFmtId="4" fontId="65" fillId="0" borderId="0" xfId="13" applyNumberFormat="1" applyFont="1" applyAlignment="1">
      <alignment horizontal="right"/>
    </xf>
    <xf numFmtId="4" fontId="46" fillId="0" borderId="0" xfId="13" applyNumberFormat="1" applyFont="1" applyAlignment="1">
      <alignment horizontal="right"/>
    </xf>
    <xf numFmtId="0" fontId="46" fillId="0" borderId="0" xfId="13" applyFont="1" applyAlignment="1">
      <alignment wrapText="1"/>
    </xf>
    <xf numFmtId="4" fontId="46" fillId="0" borderId="0" xfId="13" applyNumberFormat="1" applyFont="1" applyAlignment="1">
      <alignment vertical="top" wrapText="1"/>
    </xf>
    <xf numFmtId="0" fontId="7" fillId="0" borderId="0" xfId="13" applyFont="1"/>
    <xf numFmtId="0" fontId="66" fillId="0" borderId="0" xfId="13" applyFont="1" applyAlignment="1">
      <alignment horizontal="center" vertical="top"/>
    </xf>
    <xf numFmtId="4" fontId="66" fillId="0" borderId="0" xfId="13" applyNumberFormat="1" applyFont="1" applyAlignment="1">
      <alignment horizontal="center" vertical="top"/>
    </xf>
    <xf numFmtId="4" fontId="66" fillId="0" borderId="0" xfId="13" applyNumberFormat="1" applyFont="1" applyAlignment="1">
      <alignment horizontal="center"/>
    </xf>
    <xf numFmtId="0" fontId="46" fillId="0" borderId="0" xfId="13" applyFont="1" applyAlignment="1">
      <alignment horizontal="center" vertical="top"/>
    </xf>
    <xf numFmtId="0" fontId="46" fillId="0" borderId="0" xfId="13" applyFont="1" applyAlignment="1">
      <alignment horizontal="left" vertical="top"/>
    </xf>
    <xf numFmtId="0" fontId="4" fillId="0" borderId="0" xfId="13" applyAlignment="1">
      <alignment horizontal="center" vertical="top"/>
    </xf>
    <xf numFmtId="0" fontId="4" fillId="0" borderId="0" xfId="13" applyAlignment="1">
      <alignment wrapText="1"/>
    </xf>
    <xf numFmtId="4" fontId="4" fillId="0" borderId="0" xfId="13" applyNumberFormat="1" applyAlignment="1">
      <alignment horizontal="center"/>
    </xf>
    <xf numFmtId="4" fontId="4" fillId="0" borderId="0" xfId="13" applyNumberFormat="1" applyAlignment="1">
      <alignment horizontal="right"/>
    </xf>
    <xf numFmtId="0" fontId="46" fillId="5" borderId="0" xfId="13" applyFont="1" applyFill="1" applyAlignment="1">
      <alignment horizontal="justify" vertical="justify" wrapText="1"/>
    </xf>
    <xf numFmtId="0" fontId="4" fillId="0" borderId="0" xfId="13" applyAlignment="1">
      <alignment horizontal="center"/>
    </xf>
    <xf numFmtId="49" fontId="46" fillId="0" borderId="0" xfId="13" applyNumberFormat="1" applyFont="1" applyAlignment="1">
      <alignment horizontal="center" vertical="top"/>
    </xf>
    <xf numFmtId="49" fontId="46" fillId="0" borderId="0" xfId="13" applyNumberFormat="1" applyFont="1" applyAlignment="1">
      <alignment vertical="top" wrapText="1"/>
    </xf>
    <xf numFmtId="0" fontId="66" fillId="0" borderId="0" xfId="13" applyFont="1" applyAlignment="1">
      <alignment horizontal="center" vertical="center"/>
    </xf>
    <xf numFmtId="4" fontId="66" fillId="0" borderId="0" xfId="13" applyNumberFormat="1" applyFont="1" applyAlignment="1">
      <alignment horizontal="center" vertical="center"/>
    </xf>
    <xf numFmtId="49" fontId="4" fillId="0" borderId="0" xfId="13" applyNumberFormat="1" applyAlignment="1">
      <alignment horizontal="center" vertical="top"/>
    </xf>
    <xf numFmtId="0" fontId="67" fillId="0" borderId="0" xfId="13" applyFont="1" applyAlignment="1">
      <alignment horizontal="justify" vertical="top"/>
    </xf>
    <xf numFmtId="0" fontId="67" fillId="0" borderId="0" xfId="13" applyFont="1" applyAlignment="1">
      <alignment horizontal="justify" vertical="top" wrapText="1"/>
    </xf>
    <xf numFmtId="0" fontId="67" fillId="0" borderId="0" xfId="19" applyFont="1" applyAlignment="1">
      <alignment horizontal="justify" vertical="center" wrapText="1"/>
    </xf>
    <xf numFmtId="0" fontId="67" fillId="0" borderId="0" xfId="19" applyFont="1" applyAlignment="1">
      <alignment horizontal="justify" wrapText="1"/>
    </xf>
    <xf numFmtId="16" fontId="4" fillId="0" borderId="0" xfId="13" applyNumberFormat="1" applyAlignment="1">
      <alignment horizontal="center" vertical="top"/>
    </xf>
    <xf numFmtId="0" fontId="4" fillId="0" borderId="0" xfId="13" applyAlignment="1">
      <alignment horizontal="justify" vertical="top"/>
    </xf>
    <xf numFmtId="0" fontId="4" fillId="0" borderId="0" xfId="13" applyAlignment="1">
      <alignment horizontal="left" vertical="top"/>
    </xf>
    <xf numFmtId="0" fontId="4" fillId="0" borderId="0" xfId="13" applyAlignment="1">
      <alignment horizontal="left" vertical="top" wrapText="1"/>
    </xf>
    <xf numFmtId="0" fontId="4" fillId="0" borderId="0" xfId="13" applyAlignment="1">
      <alignment vertical="top"/>
    </xf>
    <xf numFmtId="0" fontId="4" fillId="0" borderId="0" xfId="13" applyAlignment="1">
      <alignment horizontal="justify" vertical="top" wrapText="1"/>
    </xf>
    <xf numFmtId="0" fontId="4" fillId="0" borderId="0" xfId="13" quotePrefix="1" applyAlignment="1">
      <alignment horizontal="justify" vertical="top"/>
    </xf>
    <xf numFmtId="0" fontId="4" fillId="0" borderId="0" xfId="13" quotePrefix="1" applyAlignment="1">
      <alignment horizontal="left" vertical="top"/>
    </xf>
    <xf numFmtId="0" fontId="4" fillId="0" borderId="0" xfId="13" quotePrefix="1" applyAlignment="1">
      <alignment horizontal="left" vertical="top" wrapText="1"/>
    </xf>
    <xf numFmtId="14" fontId="59" fillId="0" borderId="0" xfId="13" applyNumberFormat="1" applyFont="1" applyAlignment="1">
      <alignment vertical="top" wrapText="1" shrinkToFit="1"/>
    </xf>
    <xf numFmtId="4" fontId="4" fillId="0" borderId="0" xfId="13" applyNumberFormat="1" applyAlignment="1">
      <alignment horizontal="left"/>
    </xf>
    <xf numFmtId="0" fontId="60" fillId="0" borderId="0" xfId="13" applyFont="1" applyAlignment="1">
      <alignment horizontal="center" vertical="top"/>
    </xf>
    <xf numFmtId="2" fontId="66" fillId="0" borderId="0" xfId="13" applyNumberFormat="1" applyFont="1" applyAlignment="1">
      <alignment horizontal="center"/>
    </xf>
    <xf numFmtId="0" fontId="4" fillId="0" borderId="0" xfId="13" applyAlignment="1">
      <alignment horizontal="left"/>
    </xf>
    <xf numFmtId="2" fontId="4" fillId="0" borderId="0" xfId="13" applyNumberFormat="1" applyAlignment="1">
      <alignment horizontal="right"/>
    </xf>
    <xf numFmtId="49" fontId="60" fillId="0" borderId="0" xfId="13" applyNumberFormat="1" applyFont="1" applyAlignment="1">
      <alignment horizontal="center" vertical="top"/>
    </xf>
    <xf numFmtId="173" fontId="4" fillId="0" borderId="0" xfId="13" applyNumberFormat="1" applyAlignment="1">
      <alignment horizontal="right"/>
    </xf>
    <xf numFmtId="4" fontId="60" fillId="0" borderId="0" xfId="13" applyNumberFormat="1" applyFont="1" applyAlignment="1">
      <alignment horizontal="right"/>
    </xf>
    <xf numFmtId="0" fontId="4" fillId="0" borderId="0" xfId="13" applyAlignment="1">
      <alignment horizontal="justify"/>
    </xf>
    <xf numFmtId="4" fontId="4" fillId="0" borderId="0" xfId="13" applyNumberFormat="1" applyAlignment="1">
      <alignment horizontal="right" vertical="top"/>
    </xf>
    <xf numFmtId="4" fontId="60" fillId="0" borderId="0" xfId="13" applyNumberFormat="1" applyFont="1" applyAlignment="1">
      <alignment horizontal="center" vertical="center"/>
    </xf>
    <xf numFmtId="174" fontId="4" fillId="0" borderId="0" xfId="13" applyNumberFormat="1" applyAlignment="1">
      <alignment horizontal="right"/>
    </xf>
    <xf numFmtId="4" fontId="43" fillId="0" borderId="0" xfId="13" applyNumberFormat="1" applyFont="1" applyAlignment="1">
      <alignment horizontal="center"/>
    </xf>
    <xf numFmtId="0" fontId="4" fillId="0" borderId="0" xfId="13" applyAlignment="1">
      <alignment vertical="top" wrapText="1"/>
    </xf>
    <xf numFmtId="167" fontId="59" fillId="0" borderId="0" xfId="13" applyNumberFormat="1" applyFont="1" applyAlignment="1">
      <alignment vertical="top" shrinkToFit="1"/>
    </xf>
    <xf numFmtId="167" fontId="68" fillId="0" borderId="0" xfId="13" applyNumberFormat="1" applyFont="1" applyAlignment="1">
      <alignment vertical="top" shrinkToFit="1"/>
    </xf>
    <xf numFmtId="0" fontId="4" fillId="0" borderId="0" xfId="78" applyNumberFormat="1" applyFont="1" applyFill="1" applyBorder="1" applyAlignment="1" applyProtection="1">
      <alignment horizontal="left" vertical="top" wrapText="1"/>
    </xf>
    <xf numFmtId="0" fontId="4" fillId="0" borderId="0" xfId="13" applyAlignment="1">
      <alignment vertical="center" wrapText="1"/>
    </xf>
    <xf numFmtId="4" fontId="4" fillId="0" borderId="0" xfId="13" applyNumberFormat="1" applyAlignment="1">
      <alignment horizontal="center" vertical="center"/>
    </xf>
    <xf numFmtId="0" fontId="4" fillId="0" borderId="14" xfId="13" applyBorder="1" applyAlignment="1">
      <alignment horizontal="center" vertical="top"/>
    </xf>
    <xf numFmtId="0" fontId="4" fillId="0" borderId="14" xfId="78" applyNumberFormat="1" applyFont="1" applyFill="1" applyBorder="1" applyAlignment="1" applyProtection="1">
      <alignment horizontal="left" vertical="top" wrapText="1"/>
    </xf>
    <xf numFmtId="0" fontId="4" fillId="0" borderId="14" xfId="13" applyBorder="1" applyAlignment="1">
      <alignment vertical="center" wrapText="1"/>
    </xf>
    <xf numFmtId="4" fontId="4" fillId="0" borderId="14" xfId="13" applyNumberFormat="1" applyBorder="1" applyAlignment="1">
      <alignment horizontal="center" vertical="center"/>
    </xf>
    <xf numFmtId="174" fontId="4" fillId="0" borderId="14" xfId="13" applyNumberFormat="1" applyBorder="1" applyAlignment="1">
      <alignment horizontal="right"/>
    </xf>
    <xf numFmtId="0" fontId="4" fillId="0" borderId="0" xfId="13" applyAlignment="1">
      <alignment horizontal="justify" vertical="justify" wrapText="1"/>
    </xf>
    <xf numFmtId="0" fontId="4" fillId="0" borderId="0" xfId="13" applyAlignment="1">
      <alignment horizontal="left" vertical="center"/>
    </xf>
    <xf numFmtId="0" fontId="4" fillId="0" borderId="0" xfId="13" applyAlignment="1">
      <alignment horizontal="center" vertical="center"/>
    </xf>
    <xf numFmtId="2" fontId="4" fillId="0" borderId="0" xfId="13" applyNumberFormat="1"/>
    <xf numFmtId="0" fontId="43" fillId="0" borderId="0" xfId="13" applyFont="1" applyAlignment="1">
      <alignment horizontal="center" vertical="top"/>
    </xf>
    <xf numFmtId="0" fontId="43" fillId="0" borderId="0" xfId="13" applyFont="1" applyAlignment="1">
      <alignment vertical="top" wrapText="1"/>
    </xf>
    <xf numFmtId="0" fontId="43" fillId="0" borderId="0" xfId="13" applyFont="1" applyAlignment="1">
      <alignment wrapText="1"/>
    </xf>
    <xf numFmtId="4" fontId="43" fillId="0" borderId="0" xfId="13" applyNumberFormat="1" applyFont="1" applyAlignment="1">
      <alignment horizontal="right"/>
    </xf>
    <xf numFmtId="0" fontId="6" fillId="0" borderId="0" xfId="13" applyFont="1" applyAlignment="1">
      <alignment horizontal="left" vertical="top" wrapText="1"/>
    </xf>
    <xf numFmtId="4" fontId="60" fillId="0" borderId="0" xfId="13" applyNumberFormat="1" applyFont="1" applyAlignment="1">
      <alignment horizontal="center"/>
    </xf>
    <xf numFmtId="4" fontId="70" fillId="0" borderId="0" xfId="13" applyNumberFormat="1" applyFont="1" applyAlignment="1">
      <alignment horizontal="right"/>
    </xf>
    <xf numFmtId="0" fontId="71" fillId="0" borderId="0" xfId="13" applyFont="1" applyAlignment="1">
      <alignment horizontal="left" vertical="top" wrapText="1"/>
    </xf>
    <xf numFmtId="4" fontId="60" fillId="0" borderId="0" xfId="13" applyNumberFormat="1" applyFont="1" applyAlignment="1">
      <alignment horizontal="left"/>
    </xf>
    <xf numFmtId="4" fontId="70" fillId="0" borderId="0" xfId="13" applyNumberFormat="1" applyFont="1" applyAlignment="1">
      <alignment horizontal="left"/>
    </xf>
    <xf numFmtId="0" fontId="4" fillId="5" borderId="0" xfId="19" applyFill="1" applyAlignment="1">
      <alignment vertical="top" wrapText="1"/>
    </xf>
    <xf numFmtId="0" fontId="4" fillId="0" borderId="0" xfId="13" applyAlignment="1">
      <alignment horizontal="center" vertical="top" wrapText="1"/>
    </xf>
    <xf numFmtId="0" fontId="4" fillId="0" borderId="0" xfId="19" applyAlignment="1">
      <alignment vertical="top" wrapText="1"/>
    </xf>
    <xf numFmtId="0" fontId="4" fillId="0" borderId="0" xfId="13" applyAlignment="1" applyProtection="1">
      <alignment vertical="top" wrapText="1"/>
      <protection locked="0"/>
    </xf>
    <xf numFmtId="4" fontId="4" fillId="0" borderId="0" xfId="13" applyNumberFormat="1"/>
    <xf numFmtId="0" fontId="43" fillId="9" borderId="0" xfId="13" applyFont="1" applyFill="1" applyAlignment="1">
      <alignment wrapText="1"/>
    </xf>
    <xf numFmtId="0" fontId="43" fillId="0" borderId="0" xfId="13" applyFont="1"/>
    <xf numFmtId="0" fontId="59" fillId="0" borderId="0" xfId="13" applyFont="1" applyAlignment="1">
      <alignment horizontal="left"/>
    </xf>
    <xf numFmtId="43" fontId="59" fillId="0" borderId="0" xfId="3" applyNumberFormat="1" applyFont="1" applyAlignment="1">
      <alignment horizontal="center"/>
    </xf>
    <xf numFmtId="0" fontId="4" fillId="0" borderId="0" xfId="13" applyAlignment="1">
      <alignment horizontal="right"/>
    </xf>
    <xf numFmtId="4" fontId="60" fillId="0" borderId="0" xfId="13" applyNumberFormat="1" applyFont="1" applyAlignment="1">
      <alignment horizontal="right" vertical="top" wrapText="1"/>
    </xf>
    <xf numFmtId="4" fontId="72" fillId="0" borderId="0" xfId="13" applyNumberFormat="1" applyFont="1" applyAlignment="1">
      <alignment horizontal="right"/>
    </xf>
    <xf numFmtId="0" fontId="72" fillId="0" borderId="14" xfId="13" applyFont="1" applyBorder="1" applyAlignment="1">
      <alignment horizontal="center" vertical="top"/>
    </xf>
    <xf numFmtId="0" fontId="6" fillId="0" borderId="14" xfId="13" applyFont="1" applyBorder="1" applyAlignment="1">
      <alignment horizontal="left" vertical="top" wrapText="1"/>
    </xf>
    <xf numFmtId="0" fontId="4" fillId="0" borderId="14" xfId="13" applyBorder="1" applyAlignment="1">
      <alignment horizontal="center"/>
    </xf>
    <xf numFmtId="4" fontId="60" fillId="0" borderId="14" xfId="13" applyNumberFormat="1" applyFont="1" applyBorder="1" applyAlignment="1">
      <alignment horizontal="right"/>
    </xf>
    <xf numFmtId="0" fontId="46" fillId="0" borderId="0" xfId="78" applyNumberFormat="1" applyFont="1" applyFill="1" applyBorder="1" applyAlignment="1" applyProtection="1">
      <alignment horizontal="left" vertical="top" wrapText="1"/>
    </xf>
    <xf numFmtId="0" fontId="46" fillId="0" borderId="0" xfId="13" applyFont="1" applyAlignment="1">
      <alignment horizontal="center"/>
    </xf>
    <xf numFmtId="0" fontId="59" fillId="0" borderId="0" xfId="13" applyFont="1" applyAlignment="1">
      <alignment horizontal="center" vertical="top"/>
    </xf>
    <xf numFmtId="0" fontId="59" fillId="0" borderId="0" xfId="13" applyFont="1" applyAlignment="1">
      <alignment vertical="top" wrapText="1"/>
    </xf>
    <xf numFmtId="0" fontId="59" fillId="0" borderId="0" xfId="13" applyFont="1" applyAlignment="1">
      <alignment wrapText="1"/>
    </xf>
    <xf numFmtId="4" fontId="59" fillId="0" borderId="0" xfId="13" applyNumberFormat="1" applyFont="1" applyAlignment="1">
      <alignment horizontal="right"/>
    </xf>
    <xf numFmtId="0" fontId="59" fillId="0" borderId="0" xfId="13" applyFont="1"/>
    <xf numFmtId="0" fontId="4" fillId="0" borderId="14" xfId="13" applyBorder="1"/>
    <xf numFmtId="0" fontId="4" fillId="0" borderId="14" xfId="13" applyBorder="1" applyAlignment="1">
      <alignment wrapText="1"/>
    </xf>
    <xf numFmtId="4" fontId="4" fillId="0" borderId="14" xfId="13" applyNumberFormat="1" applyBorder="1" applyAlignment="1">
      <alignment horizontal="right"/>
    </xf>
    <xf numFmtId="4" fontId="4" fillId="0" borderId="14" xfId="13" applyNumberFormat="1" applyBorder="1" applyAlignment="1">
      <alignment horizontal="right" vertical="top"/>
    </xf>
    <xf numFmtId="0" fontId="46" fillId="0" borderId="0" xfId="13" applyFont="1" applyAlignment="1">
      <alignment vertical="top"/>
    </xf>
    <xf numFmtId="0" fontId="46" fillId="0" borderId="0" xfId="13" applyFont="1" applyAlignment="1">
      <alignment horizontal="justify" vertical="top" wrapText="1"/>
    </xf>
    <xf numFmtId="0" fontId="46" fillId="0" borderId="14" xfId="13" applyFont="1" applyBorder="1" applyAlignment="1">
      <alignment horizontal="center" vertical="top"/>
    </xf>
    <xf numFmtId="0" fontId="46" fillId="0" borderId="14" xfId="13" applyFont="1" applyBorder="1" applyAlignment="1">
      <alignment horizontal="justify" vertical="top" wrapText="1"/>
    </xf>
    <xf numFmtId="4" fontId="46" fillId="0" borderId="14" xfId="13" applyNumberFormat="1" applyFont="1" applyBorder="1" applyAlignment="1">
      <alignment horizontal="right"/>
    </xf>
    <xf numFmtId="0" fontId="4" fillId="0" borderId="0" xfId="14" applyAlignment="1">
      <alignment vertical="top" wrapText="1" shrinkToFit="1"/>
    </xf>
    <xf numFmtId="4" fontId="4" fillId="0" borderId="0" xfId="13" applyNumberFormat="1" applyAlignment="1">
      <alignment horizontal="center" vertical="top"/>
    </xf>
    <xf numFmtId="2" fontId="43" fillId="0" borderId="0" xfId="13" applyNumberFormat="1" applyFont="1"/>
    <xf numFmtId="49" fontId="4" fillId="0" borderId="0" xfId="14" applyNumberFormat="1" applyAlignment="1">
      <alignment vertical="top" wrapText="1" shrinkToFit="1"/>
    </xf>
    <xf numFmtId="49" fontId="4" fillId="0" borderId="0" xfId="14" applyNumberFormat="1" applyAlignment="1">
      <alignment horizontal="left" wrapText="1" shrinkToFit="1"/>
    </xf>
    <xf numFmtId="49" fontId="4" fillId="0" borderId="0" xfId="14" applyNumberFormat="1" applyAlignment="1">
      <alignment horizontal="left" vertical="top" wrapText="1" shrinkToFit="1"/>
    </xf>
    <xf numFmtId="49" fontId="4" fillId="0" borderId="0" xfId="13" applyNumberFormat="1" applyAlignment="1">
      <alignment vertical="top" wrapText="1"/>
    </xf>
    <xf numFmtId="0" fontId="4" fillId="0" borderId="0" xfId="13" quotePrefix="1" applyAlignment="1">
      <alignment vertical="top"/>
    </xf>
    <xf numFmtId="0" fontId="4" fillId="0" borderId="0" xfId="13" quotePrefix="1"/>
    <xf numFmtId="0" fontId="43" fillId="0" borderId="0" xfId="13" applyFont="1" applyAlignment="1">
      <alignment horizontal="center"/>
    </xf>
    <xf numFmtId="0" fontId="76" fillId="0" borderId="0" xfId="13" applyFont="1" applyAlignment="1">
      <alignment horizontal="center" vertical="top"/>
    </xf>
    <xf numFmtId="0" fontId="76" fillId="0" borderId="0" xfId="13" applyFont="1" applyAlignment="1" applyProtection="1">
      <alignment vertical="top" wrapText="1"/>
      <protection locked="0"/>
    </xf>
    <xf numFmtId="0" fontId="76" fillId="0" borderId="0" xfId="13" applyFont="1" applyAlignment="1">
      <alignment horizontal="left" vertical="top" wrapText="1"/>
    </xf>
    <xf numFmtId="4" fontId="76" fillId="0" borderId="0" xfId="13" applyNumberFormat="1" applyFont="1" applyAlignment="1">
      <alignment horizontal="center" vertical="top"/>
    </xf>
    <xf numFmtId="49" fontId="4" fillId="0" borderId="0" xfId="78" applyNumberFormat="1" applyFont="1" applyFill="1" applyBorder="1" applyAlignment="1" applyProtection="1">
      <alignment horizontal="center" vertical="top"/>
    </xf>
    <xf numFmtId="0" fontId="4" fillId="0" borderId="0" xfId="78" applyNumberFormat="1" applyFont="1" applyFill="1" applyBorder="1" applyAlignment="1" applyProtection="1">
      <alignment horizontal="center" wrapText="1"/>
    </xf>
    <xf numFmtId="4" fontId="4" fillId="0" borderId="0" xfId="78" applyNumberFormat="1" applyFont="1" applyFill="1" applyBorder="1" applyAlignment="1" applyProtection="1">
      <alignment horizontal="center" wrapText="1"/>
    </xf>
    <xf numFmtId="4" fontId="43" fillId="0" borderId="0" xfId="78" applyNumberFormat="1" applyFont="1" applyFill="1" applyBorder="1" applyAlignment="1" applyProtection="1">
      <alignment horizontal="right"/>
    </xf>
    <xf numFmtId="0" fontId="4" fillId="0" borderId="0" xfId="78" applyNumberFormat="1" applyFont="1" applyFill="1" applyBorder="1" applyAlignment="1" applyProtection="1">
      <alignment vertical="top"/>
    </xf>
    <xf numFmtId="49" fontId="4" fillId="0" borderId="0" xfId="78" applyNumberFormat="1" applyFont="1" applyFill="1" applyBorder="1" applyAlignment="1" applyProtection="1">
      <alignment horizontal="left" vertical="top"/>
    </xf>
    <xf numFmtId="0" fontId="4" fillId="0" borderId="0" xfId="78" applyNumberFormat="1" applyFont="1" applyFill="1" applyBorder="1" applyAlignment="1" applyProtection="1">
      <alignment horizontal="left" wrapText="1"/>
    </xf>
    <xf numFmtId="4" fontId="4" fillId="0" borderId="0" xfId="78" applyNumberFormat="1" applyFont="1" applyFill="1" applyBorder="1" applyAlignment="1" applyProtection="1">
      <alignment horizontal="right"/>
    </xf>
    <xf numFmtId="0" fontId="77" fillId="0" borderId="0" xfId="13" applyFont="1"/>
    <xf numFmtId="0" fontId="78" fillId="0" borderId="0" xfId="13" applyFont="1"/>
    <xf numFmtId="167" fontId="79" fillId="0" borderId="0" xfId="13" applyNumberFormat="1" applyFont="1" applyAlignment="1">
      <alignment horizontal="justify" vertical="top" wrapText="1"/>
    </xf>
    <xf numFmtId="0" fontId="4" fillId="0" borderId="0" xfId="13" applyAlignment="1" applyProtection="1">
      <alignment horizontal="left" vertical="top" wrapText="1"/>
      <protection locked="0"/>
    </xf>
    <xf numFmtId="49" fontId="46" fillId="0" borderId="0" xfId="78" applyNumberFormat="1" applyFont="1" applyFill="1" applyBorder="1" applyAlignment="1" applyProtection="1">
      <alignment horizontal="center" vertical="top"/>
    </xf>
    <xf numFmtId="0" fontId="46" fillId="0" borderId="0" xfId="78" applyNumberFormat="1" applyFont="1" applyFill="1" applyBorder="1" applyAlignment="1" applyProtection="1">
      <alignment horizontal="center" wrapText="1"/>
    </xf>
    <xf numFmtId="4" fontId="46" fillId="0" borderId="0" xfId="78" applyNumberFormat="1" applyFont="1" applyFill="1" applyBorder="1" applyAlignment="1" applyProtection="1">
      <alignment horizontal="right" wrapText="1"/>
    </xf>
    <xf numFmtId="4" fontId="46" fillId="0" borderId="0" xfId="78" applyNumberFormat="1" applyFont="1" applyFill="1" applyBorder="1" applyAlignment="1" applyProtection="1">
      <alignment horizontal="right"/>
    </xf>
    <xf numFmtId="0" fontId="46" fillId="0" borderId="0" xfId="13" applyFont="1" applyAlignment="1">
      <alignment horizontal="center" vertical="top" wrapText="1"/>
    </xf>
    <xf numFmtId="4" fontId="80" fillId="0" borderId="0" xfId="13" applyNumberFormat="1" applyFont="1"/>
    <xf numFmtId="0" fontId="6" fillId="0" borderId="0" xfId="79" applyFont="1" applyAlignment="1">
      <alignment horizontal="left" vertical="top" wrapText="1"/>
    </xf>
    <xf numFmtId="4" fontId="8" fillId="0" borderId="0" xfId="13" applyNumberFormat="1" applyFont="1"/>
    <xf numFmtId="0" fontId="6" fillId="0" borderId="0" xfId="79" applyFont="1" applyAlignment="1">
      <alignment horizontal="justify" vertical="top"/>
    </xf>
    <xf numFmtId="0" fontId="6" fillId="0" borderId="0" xfId="79" applyFont="1" applyAlignment="1">
      <alignment horizontal="justify" vertical="top" wrapText="1"/>
    </xf>
    <xf numFmtId="0" fontId="6" fillId="0" borderId="0" xfId="79" applyFont="1" applyAlignment="1">
      <alignment vertical="top" wrapText="1"/>
    </xf>
    <xf numFmtId="0" fontId="74" fillId="0" borderId="0" xfId="13" applyFont="1" applyAlignment="1">
      <alignment vertical="top" wrapText="1"/>
    </xf>
    <xf numFmtId="0" fontId="64" fillId="0" borderId="0" xfId="13" applyFont="1" applyAlignment="1">
      <alignment horizontal="center" vertical="top" wrapText="1"/>
    </xf>
    <xf numFmtId="4" fontId="46" fillId="0" borderId="0" xfId="13" applyNumberFormat="1" applyFont="1" applyAlignment="1">
      <alignment vertical="top"/>
    </xf>
    <xf numFmtId="4" fontId="43" fillId="0" borderId="0" xfId="13" applyNumberFormat="1" applyFont="1" applyAlignment="1">
      <alignment horizontal="right" vertical="top"/>
    </xf>
    <xf numFmtId="4" fontId="43" fillId="0" borderId="0" xfId="13" applyNumberFormat="1" applyFont="1"/>
    <xf numFmtId="0" fontId="4" fillId="0" borderId="0" xfId="13" applyAlignment="1">
      <alignment horizontal="left" wrapText="1"/>
    </xf>
    <xf numFmtId="0" fontId="4" fillId="0" borderId="14" xfId="13" applyBorder="1" applyAlignment="1">
      <alignment horizontal="center" vertical="top" wrapText="1"/>
    </xf>
    <xf numFmtId="0" fontId="4" fillId="0" borderId="14" xfId="13" applyBorder="1" applyAlignment="1">
      <alignment vertical="top" wrapText="1"/>
    </xf>
    <xf numFmtId="4" fontId="4" fillId="0" borderId="14" xfId="13" applyNumberFormat="1" applyBorder="1"/>
    <xf numFmtId="0" fontId="46" fillId="10" borderId="0" xfId="13" applyFont="1" applyFill="1" applyAlignment="1">
      <alignment horizontal="left" vertical="top"/>
    </xf>
    <xf numFmtId="0" fontId="4" fillId="0" borderId="0" xfId="13" applyAlignment="1">
      <alignment horizontal="center" vertical="center" wrapText="1"/>
    </xf>
    <xf numFmtId="2" fontId="46" fillId="0" borderId="0" xfId="13" applyNumberFormat="1" applyFont="1" applyAlignment="1">
      <alignment wrapText="1"/>
    </xf>
    <xf numFmtId="0" fontId="8" fillId="0" borderId="0" xfId="13" applyFont="1" applyAlignment="1">
      <alignment horizontal="left" vertical="top" wrapText="1"/>
    </xf>
    <xf numFmtId="0" fontId="81" fillId="10" borderId="0" xfId="13" applyFont="1" applyFill="1" applyAlignment="1">
      <alignment horizontal="left" vertical="top"/>
    </xf>
    <xf numFmtId="0" fontId="8" fillId="0" borderId="0" xfId="13" applyFont="1" applyAlignment="1">
      <alignment horizontal="center" vertical="center" wrapText="1"/>
    </xf>
    <xf numFmtId="2" fontId="82" fillId="0" borderId="0" xfId="13" applyNumberFormat="1" applyFont="1" applyAlignment="1">
      <alignment wrapText="1"/>
    </xf>
    <xf numFmtId="0" fontId="46" fillId="0" borderId="14" xfId="13" applyFont="1" applyBorder="1" applyAlignment="1">
      <alignment horizontal="justify" vertical="justify" wrapText="1"/>
    </xf>
    <xf numFmtId="4" fontId="46" fillId="0" borderId="14" xfId="13" applyNumberFormat="1" applyFont="1" applyBorder="1" applyAlignment="1">
      <alignment horizontal="right" vertical="top"/>
    </xf>
    <xf numFmtId="4" fontId="65" fillId="0" borderId="14" xfId="13" applyNumberFormat="1" applyFont="1" applyBorder="1" applyAlignment="1">
      <alignment horizontal="right"/>
    </xf>
    <xf numFmtId="4" fontId="43" fillId="0" borderId="0" xfId="13" applyNumberFormat="1" applyFont="1" applyAlignment="1">
      <alignment horizontal="left" vertical="top" wrapText="1"/>
    </xf>
    <xf numFmtId="4" fontId="4" fillId="0" borderId="0" xfId="13" applyNumberFormat="1" applyAlignment="1">
      <alignment horizontal="left" vertical="top" wrapText="1"/>
    </xf>
    <xf numFmtId="0" fontId="83" fillId="0" borderId="0" xfId="13" applyFont="1" applyAlignment="1">
      <alignment vertical="top" wrapText="1"/>
    </xf>
    <xf numFmtId="0" fontId="49" fillId="0" borderId="0" xfId="13" applyFont="1" applyAlignment="1">
      <alignment vertical="top" wrapText="1"/>
    </xf>
    <xf numFmtId="0" fontId="46" fillId="0" borderId="0" xfId="13" applyFont="1" applyAlignment="1">
      <alignment horizontal="left" vertical="top" wrapText="1"/>
    </xf>
    <xf numFmtId="4" fontId="86" fillId="0" borderId="0" xfId="13" applyNumberFormat="1" applyFont="1" applyAlignment="1">
      <alignment horizontal="left" vertical="top" wrapText="1"/>
    </xf>
    <xf numFmtId="4" fontId="46" fillId="0" borderId="0" xfId="13" applyNumberFormat="1" applyFont="1" applyAlignment="1">
      <alignment horizontal="left" vertical="top" wrapText="1"/>
    </xf>
    <xf numFmtId="0" fontId="87" fillId="8" borderId="15" xfId="13" applyFont="1" applyFill="1" applyBorder="1" applyAlignment="1">
      <alignment vertical="top" wrapText="1"/>
    </xf>
    <xf numFmtId="0" fontId="4" fillId="0" borderId="0" xfId="80"/>
    <xf numFmtId="0" fontId="4" fillId="0" borderId="15" xfId="13" applyBorder="1" applyAlignment="1">
      <alignment horizontal="left" vertical="top" wrapText="1"/>
    </xf>
    <xf numFmtId="4" fontId="43" fillId="0" borderId="15" xfId="13" applyNumberFormat="1" applyFont="1" applyBorder="1" applyAlignment="1">
      <alignment horizontal="left" vertical="top" wrapText="1"/>
    </xf>
    <xf numFmtId="4" fontId="4" fillId="0" borderId="15" xfId="13" applyNumberFormat="1" applyBorder="1" applyAlignment="1">
      <alignment horizontal="left" vertical="top" wrapText="1"/>
    </xf>
    <xf numFmtId="0" fontId="64" fillId="8" borderId="15" xfId="13" applyFont="1" applyFill="1" applyBorder="1" applyAlignment="1">
      <alignment horizontal="left" vertical="top" wrapText="1"/>
    </xf>
    <xf numFmtId="4" fontId="64" fillId="8" borderId="15" xfId="13" applyNumberFormat="1" applyFont="1" applyFill="1" applyBorder="1" applyAlignment="1">
      <alignment horizontal="left" vertical="top" wrapText="1"/>
    </xf>
    <xf numFmtId="0" fontId="64" fillId="8" borderId="0" xfId="13" applyFont="1" applyFill="1" applyAlignment="1">
      <alignment horizontal="left" vertical="top" wrapText="1"/>
    </xf>
    <xf numFmtId="169" fontId="89" fillId="0" borderId="15" xfId="81" applyNumberFormat="1" applyFont="1" applyBorder="1" applyAlignment="1" applyProtection="1">
      <alignment horizontal="left" vertical="top"/>
      <protection locked="0"/>
    </xf>
    <xf numFmtId="0" fontId="90" fillId="0" borderId="15" xfId="19" applyFont="1" applyBorder="1" applyAlignment="1" applyProtection="1">
      <alignment horizontal="right" vertical="top" wrapText="1"/>
      <protection locked="0"/>
    </xf>
    <xf numFmtId="1" fontId="89" fillId="0" borderId="15" xfId="14" applyNumberFormat="1" applyFont="1" applyBorder="1" applyAlignment="1" applyProtection="1">
      <alignment horizontal="center" wrapText="1"/>
      <protection locked="0"/>
    </xf>
    <xf numFmtId="4" fontId="89" fillId="0" borderId="15" xfId="14" applyNumberFormat="1" applyFont="1" applyBorder="1" applyAlignment="1" applyProtection="1">
      <alignment horizontal="right" wrapText="1"/>
      <protection locked="0"/>
    </xf>
    <xf numFmtId="0" fontId="89" fillId="0" borderId="15" xfId="14" applyFont="1" applyBorder="1" applyAlignment="1">
      <alignment horizontal="right"/>
    </xf>
    <xf numFmtId="0" fontId="89" fillId="0" borderId="0" xfId="14" applyFont="1" applyAlignment="1">
      <alignment vertical="top"/>
    </xf>
    <xf numFmtId="0" fontId="6" fillId="0" borderId="15" xfId="13" applyFont="1" applyBorder="1" applyAlignment="1">
      <alignment horizontal="left" vertical="top" wrapText="1"/>
    </xf>
    <xf numFmtId="4" fontId="6" fillId="0" borderId="15" xfId="13" applyNumberFormat="1" applyFont="1" applyBorder="1" applyAlignment="1">
      <alignment horizontal="left" vertical="top" wrapText="1"/>
    </xf>
    <xf numFmtId="0" fontId="64" fillId="0" borderId="15" xfId="13" applyFont="1" applyBorder="1" applyAlignment="1">
      <alignment horizontal="left" vertical="top" wrapText="1"/>
    </xf>
    <xf numFmtId="4" fontId="64" fillId="0" borderId="15" xfId="13" applyNumberFormat="1" applyFont="1" applyBorder="1" applyAlignment="1">
      <alignment horizontal="left" vertical="top" wrapText="1"/>
    </xf>
    <xf numFmtId="0" fontId="64" fillId="0" borderId="0" xfId="13" applyFont="1" applyAlignment="1">
      <alignment horizontal="left" vertical="top" wrapText="1"/>
    </xf>
    <xf numFmtId="0" fontId="43" fillId="0" borderId="0" xfId="13" applyFont="1" applyAlignment="1">
      <alignment horizontal="left" vertical="top" wrapText="1"/>
    </xf>
    <xf numFmtId="4" fontId="92" fillId="0" borderId="0" xfId="13" applyNumberFormat="1" applyFont="1" applyAlignment="1">
      <alignment horizontal="left" vertical="top" wrapText="1"/>
    </xf>
    <xf numFmtId="0" fontId="92" fillId="0" borderId="0" xfId="13" applyFont="1" applyAlignment="1">
      <alignment horizontal="left" vertical="top" wrapText="1"/>
    </xf>
    <xf numFmtId="4" fontId="6" fillId="8" borderId="15" xfId="13" applyNumberFormat="1" applyFont="1" applyFill="1" applyBorder="1" applyAlignment="1">
      <alignment horizontal="left" vertical="top" wrapText="1"/>
    </xf>
    <xf numFmtId="0" fontId="93" fillId="0" borderId="15" xfId="13" applyFont="1" applyBorder="1" applyAlignment="1">
      <alignment horizontal="left" vertical="top" wrapText="1"/>
    </xf>
    <xf numFmtId="4" fontId="93" fillId="0" borderId="15" xfId="13" applyNumberFormat="1" applyFont="1" applyBorder="1" applyAlignment="1">
      <alignment horizontal="left" vertical="top" wrapText="1"/>
    </xf>
    <xf numFmtId="0" fontId="93" fillId="0" borderId="0" xfId="13" applyFont="1" applyAlignment="1">
      <alignment horizontal="left" vertical="top" wrapText="1"/>
    </xf>
    <xf numFmtId="0" fontId="94" fillId="0" borderId="15" xfId="13" applyFont="1" applyBorder="1" applyAlignment="1">
      <alignment horizontal="left" vertical="top" wrapText="1"/>
    </xf>
    <xf numFmtId="4" fontId="94" fillId="0" borderId="15" xfId="13" applyNumberFormat="1" applyFont="1" applyBorder="1" applyAlignment="1">
      <alignment horizontal="left" vertical="top" wrapText="1"/>
    </xf>
    <xf numFmtId="4" fontId="92" fillId="0" borderId="15" xfId="13" applyNumberFormat="1" applyFont="1" applyBorder="1" applyAlignment="1">
      <alignment horizontal="left" vertical="top" wrapText="1"/>
    </xf>
    <xf numFmtId="0" fontId="94" fillId="0" borderId="0" xfId="13" applyFont="1" applyAlignment="1">
      <alignment horizontal="left" vertical="top" wrapText="1"/>
    </xf>
    <xf numFmtId="0" fontId="92" fillId="0" borderId="15" xfId="13" applyFont="1" applyBorder="1" applyAlignment="1">
      <alignment horizontal="left" vertical="top" wrapText="1"/>
    </xf>
    <xf numFmtId="0" fontId="89" fillId="0" borderId="15" xfId="13" applyFont="1" applyBorder="1" applyAlignment="1">
      <alignment vertical="top" wrapText="1"/>
    </xf>
    <xf numFmtId="0" fontId="89" fillId="0" borderId="15" xfId="13" applyFont="1" applyBorder="1" applyAlignment="1">
      <alignment horizontal="center" wrapText="1"/>
    </xf>
    <xf numFmtId="1" fontId="89" fillId="0" borderId="15" xfId="13" applyNumberFormat="1" applyFont="1" applyBorder="1" applyAlignment="1">
      <alignment horizontal="center" wrapText="1"/>
    </xf>
    <xf numFmtId="4" fontId="89" fillId="0" borderId="15" xfId="13" applyNumberFormat="1" applyFont="1" applyBorder="1" applyAlignment="1">
      <alignment horizontal="right" wrapText="1"/>
    </xf>
    <xf numFmtId="0" fontId="89" fillId="0" borderId="0" xfId="14" applyFont="1"/>
    <xf numFmtId="0" fontId="89" fillId="0" borderId="0" xfId="13" applyFont="1" applyAlignment="1">
      <alignment horizontal="left" vertical="top" wrapText="1"/>
    </xf>
    <xf numFmtId="4" fontId="6" fillId="0" borderId="0" xfId="13" applyNumberFormat="1" applyFont="1" applyAlignment="1">
      <alignment horizontal="left" vertical="top" wrapText="1"/>
    </xf>
    <xf numFmtId="0" fontId="6" fillId="0" borderId="15" xfId="13" applyFont="1" applyBorder="1" applyAlignment="1">
      <alignment horizontal="left" vertical="top"/>
    </xf>
    <xf numFmtId="0" fontId="6" fillId="0" borderId="15" xfId="13" applyFont="1" applyBorder="1" applyAlignment="1" applyProtection="1">
      <alignment horizontal="justify" vertical="top" wrapText="1"/>
      <protection locked="0"/>
    </xf>
    <xf numFmtId="0" fontId="6" fillId="0" borderId="15" xfId="13" applyFont="1" applyBorder="1" applyAlignment="1">
      <alignment horizontal="center" wrapText="1"/>
    </xf>
    <xf numFmtId="1" fontId="6" fillId="0" borderId="15" xfId="13" applyNumberFormat="1" applyFont="1" applyBorder="1" applyAlignment="1">
      <alignment horizontal="center" wrapText="1"/>
    </xf>
    <xf numFmtId="4" fontId="6" fillId="0" borderId="15" xfId="13" applyNumberFormat="1" applyFont="1" applyBorder="1" applyAlignment="1">
      <alignment horizontal="right" wrapText="1"/>
    </xf>
    <xf numFmtId="0" fontId="6" fillId="0" borderId="0" xfId="14" applyFont="1" applyAlignment="1">
      <alignment vertical="top"/>
    </xf>
    <xf numFmtId="0" fontId="6" fillId="0" borderId="15" xfId="13" applyFont="1" applyBorder="1" applyAlignment="1" applyProtection="1">
      <alignment horizontal="left" vertical="top" wrapText="1"/>
      <protection locked="0"/>
    </xf>
    <xf numFmtId="4" fontId="6" fillId="0" borderId="15" xfId="13" applyNumberFormat="1" applyFont="1" applyBorder="1" applyAlignment="1">
      <alignment horizontal="left" wrapText="1"/>
    </xf>
    <xf numFmtId="4" fontId="64" fillId="0" borderId="15" xfId="13" applyNumberFormat="1" applyFont="1" applyBorder="1" applyAlignment="1">
      <alignment horizontal="left" wrapText="1"/>
    </xf>
    <xf numFmtId="4" fontId="64" fillId="0" borderId="0" xfId="13" applyNumberFormat="1" applyFont="1" applyAlignment="1">
      <alignment horizontal="left" vertical="top" wrapText="1"/>
    </xf>
    <xf numFmtId="4" fontId="6" fillId="8" borderId="0" xfId="13" applyNumberFormat="1" applyFont="1" applyFill="1" applyAlignment="1">
      <alignment horizontal="left" vertical="top" wrapText="1"/>
    </xf>
    <xf numFmtId="4" fontId="64" fillId="8" borderId="0" xfId="13" applyNumberFormat="1" applyFont="1" applyFill="1" applyAlignment="1">
      <alignment horizontal="left" vertical="top" wrapText="1"/>
    </xf>
    <xf numFmtId="4" fontId="64" fillId="0" borderId="15" xfId="13" applyNumberFormat="1" applyFont="1" applyBorder="1" applyAlignment="1">
      <alignment horizontal="left"/>
    </xf>
    <xf numFmtId="0" fontId="4" fillId="0" borderId="15" xfId="13" applyBorder="1"/>
    <xf numFmtId="4" fontId="4" fillId="0" borderId="15" xfId="13" applyNumberFormat="1" applyBorder="1"/>
    <xf numFmtId="0" fontId="83" fillId="0" borderId="0" xfId="13" applyFont="1" applyAlignment="1">
      <alignment horizontal="left" vertical="top" wrapText="1"/>
    </xf>
    <xf numFmtId="4" fontId="22" fillId="5" borderId="0" xfId="19" applyNumberFormat="1" applyFont="1" applyFill="1"/>
    <xf numFmtId="0" fontId="4" fillId="0" borderId="0" xfId="13" applyAlignment="1">
      <alignment horizontal="center" wrapText="1"/>
    </xf>
    <xf numFmtId="2" fontId="4" fillId="0" borderId="0" xfId="13" applyNumberFormat="1" applyAlignment="1">
      <alignment horizontal="center" wrapText="1"/>
    </xf>
    <xf numFmtId="4" fontId="4" fillId="0" borderId="0" xfId="13" applyNumberFormat="1" applyAlignment="1">
      <alignment horizontal="right" wrapText="1"/>
    </xf>
    <xf numFmtId="0" fontId="85" fillId="0" borderId="0" xfId="13" applyFont="1" applyAlignment="1">
      <alignment horizontal="center" vertical="center"/>
    </xf>
    <xf numFmtId="0" fontId="46" fillId="0" borderId="0" xfId="13" applyFont="1" applyAlignment="1">
      <alignment horizontal="center" wrapText="1"/>
    </xf>
    <xf numFmtId="2" fontId="46" fillId="0" borderId="0" xfId="13" applyNumberFormat="1" applyFont="1" applyAlignment="1">
      <alignment horizontal="center" wrapText="1"/>
    </xf>
    <xf numFmtId="4" fontId="46" fillId="0" borderId="0" xfId="13" applyNumberFormat="1" applyFont="1" applyAlignment="1">
      <alignment horizontal="right" wrapText="1"/>
    </xf>
    <xf numFmtId="0" fontId="43" fillId="0" borderId="0" xfId="13" applyFont="1" applyAlignment="1">
      <alignment horizontal="center" wrapText="1"/>
    </xf>
    <xf numFmtId="2" fontId="43" fillId="0" borderId="0" xfId="13" applyNumberFormat="1" applyFont="1" applyAlignment="1">
      <alignment horizontal="center" wrapText="1"/>
    </xf>
    <xf numFmtId="4" fontId="43" fillId="0" borderId="0" xfId="13" applyNumberFormat="1" applyFont="1" applyAlignment="1">
      <alignment horizontal="right" wrapText="1"/>
    </xf>
    <xf numFmtId="49" fontId="4" fillId="0" borderId="0" xfId="80" applyNumberFormat="1" applyAlignment="1">
      <alignment horizontal="center" vertical="top" wrapText="1"/>
    </xf>
    <xf numFmtId="49" fontId="9" fillId="0" borderId="0" xfId="80" applyNumberFormat="1" applyFont="1" applyAlignment="1">
      <alignment horizontal="left" vertical="top" wrapText="1"/>
    </xf>
    <xf numFmtId="0" fontId="4" fillId="0" borderId="0" xfId="80" applyAlignment="1">
      <alignment horizontal="center" wrapText="1"/>
    </xf>
    <xf numFmtId="4" fontId="4" fillId="0" borderId="0" xfId="80" applyNumberFormat="1" applyAlignment="1">
      <alignment horizontal="right" wrapText="1"/>
    </xf>
    <xf numFmtId="49" fontId="95" fillId="0" borderId="16" xfId="13" applyNumberFormat="1" applyFont="1" applyBorder="1" applyAlignment="1">
      <alignment horizontal="center" vertical="top" wrapText="1"/>
    </xf>
    <xf numFmtId="49" fontId="95" fillId="0" borderId="17" xfId="13" applyNumberFormat="1" applyFont="1" applyBorder="1" applyAlignment="1">
      <alignment horizontal="left" vertical="top"/>
    </xf>
    <xf numFmtId="49" fontId="95" fillId="0" borderId="17" xfId="13" applyNumberFormat="1" applyFont="1" applyBorder="1" applyAlignment="1">
      <alignment horizontal="center" wrapText="1"/>
    </xf>
    <xf numFmtId="4" fontId="95" fillId="0" borderId="17" xfId="13" applyNumberFormat="1" applyFont="1" applyBorder="1" applyAlignment="1">
      <alignment horizontal="right" wrapText="1"/>
    </xf>
    <xf numFmtId="0" fontId="67" fillId="0" borderId="0" xfId="13" applyFont="1"/>
    <xf numFmtId="1" fontId="67" fillId="0" borderId="0" xfId="60" applyNumberFormat="1" applyFont="1" applyAlignment="1">
      <alignment horizontal="left" vertical="top"/>
    </xf>
    <xf numFmtId="49" fontId="67" fillId="0" borderId="0" xfId="60" applyNumberFormat="1" applyFont="1" applyAlignment="1">
      <alignment horizontal="center" wrapText="1"/>
    </xf>
    <xf numFmtId="4" fontId="67" fillId="0" borderId="0" xfId="60" applyNumberFormat="1" applyFont="1" applyAlignment="1">
      <alignment horizontal="right" wrapText="1"/>
    </xf>
    <xf numFmtId="49" fontId="67" fillId="0" borderId="0" xfId="60" applyNumberFormat="1" applyFont="1" applyAlignment="1">
      <alignment horizontal="left" vertical="justify"/>
    </xf>
    <xf numFmtId="49" fontId="67" fillId="0" borderId="0" xfId="60" applyNumberFormat="1" applyFont="1" applyAlignment="1">
      <alignment horizontal="center"/>
    </xf>
    <xf numFmtId="4" fontId="67" fillId="0" borderId="0" xfId="60" applyNumberFormat="1" applyFont="1" applyAlignment="1">
      <alignment horizontal="right"/>
    </xf>
    <xf numFmtId="49" fontId="67" fillId="0" borderId="0" xfId="60" applyNumberFormat="1" applyFont="1" applyAlignment="1">
      <alignment horizontal="left" vertical="top" wrapText="1"/>
    </xf>
    <xf numFmtId="4" fontId="67" fillId="0" borderId="0" xfId="13" applyNumberFormat="1" applyFont="1" applyAlignment="1">
      <alignment horizontal="right"/>
    </xf>
    <xf numFmtId="49" fontId="95" fillId="0" borderId="0" xfId="60" applyNumberFormat="1" applyFont="1" applyAlignment="1">
      <alignment horizontal="left" vertical="top" wrapText="1"/>
    </xf>
    <xf numFmtId="49" fontId="96" fillId="0" borderId="0" xfId="82" applyNumberFormat="1" applyFont="1" applyAlignment="1">
      <alignment horizontal="justify" vertical="top" wrapText="1"/>
    </xf>
    <xf numFmtId="0" fontId="95" fillId="0" borderId="0" xfId="83" applyFont="1" applyProtection="1">
      <protection hidden="1"/>
    </xf>
    <xf numFmtId="0" fontId="67" fillId="0" borderId="0" xfId="83" applyFont="1" applyAlignment="1" applyProtection="1">
      <alignment horizontal="center"/>
      <protection hidden="1"/>
    </xf>
    <xf numFmtId="4" fontId="67" fillId="0" borderId="0" xfId="83" applyNumberFormat="1" applyFont="1" applyAlignment="1" applyProtection="1">
      <alignment horizontal="right"/>
      <protection hidden="1"/>
    </xf>
    <xf numFmtId="4" fontId="67" fillId="0" borderId="0" xfId="83" applyNumberFormat="1" applyFont="1" applyAlignment="1" applyProtection="1">
      <alignment horizontal="right"/>
      <protection locked="0"/>
    </xf>
    <xf numFmtId="49" fontId="96" fillId="0" borderId="0" xfId="82" applyNumberFormat="1" applyFont="1" applyAlignment="1">
      <alignment horizontal="justify" wrapText="1"/>
    </xf>
    <xf numFmtId="49" fontId="96" fillId="0" borderId="0" xfId="82" applyNumberFormat="1" applyFont="1" applyAlignment="1">
      <alignment horizontal="center" wrapText="1"/>
    </xf>
    <xf numFmtId="4" fontId="96" fillId="0" borderId="0" xfId="86" applyNumberFormat="1" applyFont="1" applyFill="1" applyBorder="1" applyAlignment="1" applyProtection="1">
      <alignment horizontal="right" wrapText="1"/>
    </xf>
    <xf numFmtId="49" fontId="97" fillId="0" borderId="0" xfId="80" applyNumberFormat="1" applyFont="1" applyAlignment="1">
      <alignment horizontal="center" vertical="top" wrapText="1"/>
    </xf>
    <xf numFmtId="49" fontId="98" fillId="0" borderId="0" xfId="80" applyNumberFormat="1" applyFont="1" applyAlignment="1">
      <alignment horizontal="justify" vertical="top" wrapText="1"/>
    </xf>
    <xf numFmtId="49" fontId="97" fillId="0" borderId="0" xfId="80" applyNumberFormat="1" applyFont="1" applyAlignment="1">
      <alignment horizontal="justify" vertical="top" wrapText="1"/>
    </xf>
    <xf numFmtId="49" fontId="97" fillId="0" borderId="15" xfId="80" applyNumberFormat="1" applyFont="1" applyBorder="1" applyAlignment="1">
      <alignment horizontal="center" vertical="top" wrapText="1"/>
    </xf>
    <xf numFmtId="49" fontId="97" fillId="0" borderId="15" xfId="80" applyNumberFormat="1" applyFont="1" applyBorder="1" applyAlignment="1">
      <alignment horizontal="justify" vertical="top" wrapText="1"/>
    </xf>
    <xf numFmtId="0" fontId="4" fillId="0" borderId="15" xfId="80" applyBorder="1" applyAlignment="1">
      <alignment horizontal="center" wrapText="1"/>
    </xf>
    <xf numFmtId="4" fontId="4" fillId="0" borderId="15" xfId="80" applyNumberFormat="1" applyBorder="1" applyAlignment="1">
      <alignment horizontal="right" wrapText="1"/>
    </xf>
    <xf numFmtId="0" fontId="67" fillId="0" borderId="0" xfId="80" applyFont="1"/>
    <xf numFmtId="175" fontId="38" fillId="0" borderId="0" xfId="80" applyNumberFormat="1" applyFont="1" applyAlignment="1">
      <alignment horizontal="right" wrapText="1"/>
    </xf>
    <xf numFmtId="0" fontId="40" fillId="0" borderId="0" xfId="87" applyFont="1" applyAlignment="1">
      <alignment vertical="top" wrapText="1"/>
    </xf>
    <xf numFmtId="0" fontId="38" fillId="0" borderId="0" xfId="88" applyFont="1"/>
    <xf numFmtId="49" fontId="4" fillId="0" borderId="15" xfId="89" applyNumberFormat="1" applyBorder="1" applyAlignment="1">
      <alignment horizontal="left" vertical="top"/>
    </xf>
    <xf numFmtId="49" fontId="4" fillId="0" borderId="15" xfId="90" applyNumberFormat="1" applyBorder="1" applyAlignment="1">
      <alignment vertical="top" wrapText="1"/>
    </xf>
    <xf numFmtId="0" fontId="4" fillId="0" borderId="15" xfId="80" applyBorder="1" applyAlignment="1">
      <alignment vertical="top" wrapText="1"/>
    </xf>
    <xf numFmtId="49" fontId="4" fillId="0" borderId="15" xfId="80" applyNumberFormat="1" applyBorder="1" applyAlignment="1">
      <alignment vertical="top" wrapText="1"/>
    </xf>
    <xf numFmtId="49" fontId="4" fillId="0" borderId="15" xfId="80" applyNumberFormat="1" applyBorder="1" applyAlignment="1">
      <alignment horizontal="left" vertical="top" wrapText="1"/>
    </xf>
    <xf numFmtId="0" fontId="67" fillId="0" borderId="0" xfId="88" applyFont="1"/>
    <xf numFmtId="0" fontId="99" fillId="0" borderId="0" xfId="88" applyFont="1"/>
    <xf numFmtId="0" fontId="46" fillId="0" borderId="15" xfId="13" applyFont="1" applyBorder="1" applyAlignment="1">
      <alignment horizontal="left" vertical="top" wrapText="1"/>
    </xf>
    <xf numFmtId="4" fontId="46" fillId="0" borderId="15" xfId="13" applyNumberFormat="1" applyFont="1" applyBorder="1" applyAlignment="1">
      <alignment horizontal="left" vertical="top" wrapText="1"/>
    </xf>
    <xf numFmtId="49" fontId="4" fillId="0" borderId="0" xfId="80" applyNumberFormat="1" applyAlignment="1">
      <alignment horizontal="left" vertical="top" wrapText="1"/>
    </xf>
    <xf numFmtId="0" fontId="102" fillId="0" borderId="0" xfId="0" applyFont="1"/>
    <xf numFmtId="0" fontId="53" fillId="0" borderId="1" xfId="19" applyFont="1" applyBorder="1" applyAlignment="1">
      <alignment vertical="top"/>
    </xf>
    <xf numFmtId="49" fontId="54" fillId="5" borderId="1" xfId="0" applyNumberFormat="1" applyFont="1" applyFill="1" applyBorder="1" applyAlignment="1" applyProtection="1">
      <alignment horizontal="center" vertical="top"/>
      <protection locked="0"/>
    </xf>
    <xf numFmtId="0" fontId="54" fillId="5" borderId="1" xfId="0" applyFont="1" applyFill="1" applyBorder="1" applyAlignment="1" applyProtection="1">
      <alignment horizontal="left" vertical="center" wrapText="1"/>
      <protection locked="0"/>
    </xf>
    <xf numFmtId="4" fontId="54" fillId="5" borderId="1" xfId="0" applyNumberFormat="1" applyFont="1" applyFill="1" applyBorder="1" applyAlignment="1">
      <alignment horizontal="right" wrapText="1"/>
    </xf>
    <xf numFmtId="0" fontId="103" fillId="0" borderId="1" xfId="0" applyFont="1" applyBorder="1"/>
    <xf numFmtId="0" fontId="92" fillId="0" borderId="0" xfId="13" applyFont="1"/>
    <xf numFmtId="0" fontId="72" fillId="0" borderId="0" xfId="13" applyFont="1"/>
    <xf numFmtId="0" fontId="61" fillId="0" borderId="0" xfId="13" applyFont="1" applyAlignment="1">
      <alignment horizontal="right"/>
    </xf>
    <xf numFmtId="0" fontId="92" fillId="0" borderId="0" xfId="13" applyFont="1" applyAlignment="1">
      <alignment vertical="top" wrapText="1"/>
    </xf>
    <xf numFmtId="0" fontId="92" fillId="0" borderId="0" xfId="13" applyFont="1" applyAlignment="1">
      <alignment wrapText="1"/>
    </xf>
    <xf numFmtId="0" fontId="104" fillId="0" borderId="0" xfId="13" applyFont="1" applyAlignment="1">
      <alignment vertical="top" wrapText="1"/>
    </xf>
    <xf numFmtId="0" fontId="105" fillId="0" borderId="0" xfId="13" applyFont="1" applyAlignment="1">
      <alignment horizontal="right" vertical="center"/>
    </xf>
    <xf numFmtId="0" fontId="107" fillId="0" borderId="0" xfId="13" applyFont="1"/>
    <xf numFmtId="0" fontId="108" fillId="0" borderId="0" xfId="13" applyFont="1"/>
    <xf numFmtId="0" fontId="109" fillId="0" borderId="13" xfId="13" applyFont="1" applyBorder="1" applyAlignment="1">
      <alignment vertical="center" wrapText="1"/>
    </xf>
    <xf numFmtId="0" fontId="109" fillId="0" borderId="13" xfId="13" applyFont="1" applyBorder="1" applyAlignment="1">
      <alignment vertical="center"/>
    </xf>
    <xf numFmtId="0" fontId="110" fillId="0" borderId="13" xfId="13" applyFont="1" applyBorder="1" applyAlignment="1">
      <alignment horizontal="center" vertical="center"/>
    </xf>
    <xf numFmtId="0" fontId="34" fillId="0" borderId="0" xfId="13" applyFont="1" applyAlignment="1">
      <alignment horizontal="left" vertical="center" wrapText="1"/>
    </xf>
    <xf numFmtId="0" fontId="34" fillId="0" borderId="0" xfId="13" applyFont="1" applyAlignment="1">
      <alignment horizontal="left" vertical="center"/>
    </xf>
    <xf numFmtId="0" fontId="21" fillId="0" borderId="0" xfId="13" applyFont="1" applyAlignment="1">
      <alignment horizontal="center" vertical="top"/>
    </xf>
    <xf numFmtId="0" fontId="37" fillId="0" borderId="0" xfId="13" applyFont="1" applyAlignment="1">
      <alignment horizontal="justify" vertical="justify" wrapText="1"/>
    </xf>
    <xf numFmtId="0" fontId="25" fillId="0" borderId="0" xfId="13" applyFont="1" applyAlignment="1">
      <alignment horizontal="center"/>
    </xf>
    <xf numFmtId="4" fontId="25" fillId="0" borderId="0" xfId="13" applyNumberFormat="1" applyFont="1" applyAlignment="1">
      <alignment horizontal="right"/>
    </xf>
    <xf numFmtId="0" fontId="25" fillId="0" borderId="0" xfId="13" applyFont="1" applyAlignment="1">
      <alignment horizontal="right"/>
    </xf>
    <xf numFmtId="0" fontId="111" fillId="0" borderId="0" xfId="13" applyFont="1" applyAlignment="1">
      <alignment horizontal="center" vertical="top"/>
    </xf>
    <xf numFmtId="0" fontId="105" fillId="0" borderId="0" xfId="13" applyFont="1" applyAlignment="1">
      <alignment horizontal="center" vertical="center" wrapText="1"/>
    </xf>
    <xf numFmtId="0" fontId="105" fillId="0" borderId="0" xfId="13" applyFont="1" applyAlignment="1">
      <alignment horizontal="left"/>
    </xf>
    <xf numFmtId="0" fontId="105" fillId="0" borderId="0" xfId="13" applyFont="1"/>
    <xf numFmtId="17" fontId="105" fillId="0" borderId="0" xfId="13" applyNumberFormat="1" applyFont="1" applyAlignment="1">
      <alignment horizontal="center"/>
    </xf>
    <xf numFmtId="0" fontId="112" fillId="0" borderId="17" xfId="13" applyFont="1" applyBorder="1" applyAlignment="1">
      <alignment horizontal="center" vertical="top"/>
    </xf>
    <xf numFmtId="4" fontId="112" fillId="0" borderId="17" xfId="13" applyNumberFormat="1" applyFont="1" applyBorder="1" applyAlignment="1">
      <alignment horizontal="center" vertical="top"/>
    </xf>
    <xf numFmtId="0" fontId="22" fillId="0" borderId="0" xfId="13" applyFont="1" applyAlignment="1">
      <alignment horizontal="center" vertical="top"/>
    </xf>
    <xf numFmtId="0" fontId="22" fillId="0" borderId="0" xfId="13" applyFont="1" applyAlignment="1">
      <alignment horizontal="justify" vertical="justify" wrapText="1"/>
    </xf>
    <xf numFmtId="0" fontId="22" fillId="0" borderId="0" xfId="13" applyFont="1" applyAlignment="1">
      <alignment horizontal="center"/>
    </xf>
    <xf numFmtId="4" fontId="22" fillId="0" borderId="0" xfId="13" applyNumberFormat="1" applyFont="1" applyAlignment="1">
      <alignment horizontal="right"/>
    </xf>
    <xf numFmtId="0" fontId="22" fillId="0" borderId="0" xfId="13" applyFont="1" applyAlignment="1">
      <alignment horizontal="right"/>
    </xf>
    <xf numFmtId="0" fontId="21" fillId="0" borderId="0" xfId="13" applyFont="1" applyAlignment="1">
      <alignment horizontal="justify" vertical="justify" wrapText="1"/>
    </xf>
    <xf numFmtId="0" fontId="113" fillId="0" borderId="0" xfId="13" applyFont="1" applyAlignment="1">
      <alignment horizontal="justify" vertical="justify" wrapText="1"/>
    </xf>
    <xf numFmtId="0" fontId="22" fillId="0" borderId="0" xfId="13" applyFont="1" applyAlignment="1">
      <alignment horizontal="justify" vertical="top"/>
    </xf>
    <xf numFmtId="0" fontId="25" fillId="0" borderId="0" xfId="13" applyFont="1"/>
    <xf numFmtId="0" fontId="25" fillId="0" borderId="0" xfId="13" applyFont="1" applyAlignment="1">
      <alignment horizontal="right" vertical="center"/>
    </xf>
    <xf numFmtId="0" fontId="25" fillId="0" borderId="0" xfId="13" applyFont="1" applyAlignment="1">
      <alignment horizontal="justify"/>
    </xf>
    <xf numFmtId="4" fontId="25" fillId="0" borderId="0" xfId="13" applyNumberFormat="1" applyFont="1" applyAlignment="1">
      <alignment horizontal="right" vertical="center"/>
    </xf>
    <xf numFmtId="0" fontId="22" fillId="0" borderId="0" xfId="13" applyFont="1" applyAlignment="1">
      <alignment vertical="top"/>
    </xf>
    <xf numFmtId="0" fontId="22" fillId="0" borderId="0" xfId="13" applyFont="1" applyAlignment="1">
      <alignment horizontal="left"/>
    </xf>
    <xf numFmtId="4" fontId="22" fillId="0" borderId="0" xfId="13" applyNumberFormat="1" applyFont="1" applyAlignment="1">
      <alignment horizontal="right" vertical="center"/>
    </xf>
    <xf numFmtId="0" fontId="22" fillId="0" borderId="0" xfId="13" applyFont="1" applyAlignment="1">
      <alignment horizontal="justify" vertical="top" wrapText="1"/>
    </xf>
    <xf numFmtId="0" fontId="22" fillId="0" borderId="0" xfId="13" applyFont="1" applyAlignment="1">
      <alignment horizontal="justify"/>
    </xf>
    <xf numFmtId="0" fontId="25" fillId="0" borderId="0" xfId="13" applyFont="1" applyAlignment="1">
      <alignment vertical="top"/>
    </xf>
    <xf numFmtId="0" fontId="25" fillId="0" borderId="0" xfId="13" applyFont="1" applyAlignment="1">
      <alignment horizontal="left"/>
    </xf>
    <xf numFmtId="4" fontId="25" fillId="0" borderId="0" xfId="13" applyNumberFormat="1" applyFont="1"/>
    <xf numFmtId="0" fontId="22" fillId="0" borderId="0" xfId="13" applyFont="1" applyAlignment="1">
      <alignment horizontal="left" vertical="top"/>
    </xf>
    <xf numFmtId="4" fontId="22" fillId="0" borderId="0" xfId="13" applyNumberFormat="1" applyFont="1"/>
    <xf numFmtId="0" fontId="22" fillId="0" borderId="0" xfId="13" applyFont="1"/>
    <xf numFmtId="0" fontId="25" fillId="0" borderId="0" xfId="13" applyFont="1" applyAlignment="1">
      <alignment horizontal="justify" vertical="top" wrapText="1"/>
    </xf>
    <xf numFmtId="0" fontId="25" fillId="0" borderId="0" xfId="13" applyFont="1" applyAlignment="1">
      <alignment horizontal="justify" vertical="top"/>
    </xf>
    <xf numFmtId="0" fontId="22" fillId="0" borderId="0" xfId="13" quotePrefix="1" applyFont="1" applyAlignment="1">
      <alignment horizontal="justify" vertical="top" wrapText="1"/>
    </xf>
    <xf numFmtId="0" fontId="21" fillId="0" borderId="0" xfId="13" applyFont="1" applyAlignment="1">
      <alignment horizontal="center" vertical="center"/>
    </xf>
    <xf numFmtId="0" fontId="21" fillId="0" borderId="17" xfId="13" applyFont="1" applyBorder="1" applyAlignment="1">
      <alignment horizontal="justify" vertical="center" wrapText="1"/>
    </xf>
    <xf numFmtId="0" fontId="21" fillId="0" borderId="17" xfId="13" applyFont="1" applyBorder="1" applyAlignment="1">
      <alignment horizontal="center" vertical="center"/>
    </xf>
    <xf numFmtId="4" fontId="21" fillId="0" borderId="17" xfId="13" applyNumberFormat="1" applyFont="1" applyBorder="1" applyAlignment="1">
      <alignment horizontal="right" vertical="center"/>
    </xf>
    <xf numFmtId="0" fontId="21" fillId="0" borderId="17" xfId="13" applyFont="1" applyBorder="1" applyAlignment="1">
      <alignment horizontal="right" vertical="center"/>
    </xf>
    <xf numFmtId="0" fontId="25" fillId="0" borderId="0" xfId="13" applyFont="1" applyAlignment="1">
      <alignment horizontal="justify" vertical="justify" wrapText="1"/>
    </xf>
    <xf numFmtId="0" fontId="86" fillId="0" borderId="0" xfId="13" applyFont="1"/>
    <xf numFmtId="0" fontId="22" fillId="0" borderId="0" xfId="13" applyFont="1" applyAlignment="1">
      <alignment vertical="top" wrapText="1"/>
    </xf>
    <xf numFmtId="0" fontId="22" fillId="0" borderId="0" xfId="13" applyFont="1" applyAlignment="1">
      <alignment wrapText="1"/>
    </xf>
    <xf numFmtId="4" fontId="22" fillId="0" borderId="0" xfId="13" applyNumberFormat="1" applyFont="1" applyAlignment="1">
      <alignment horizontal="left"/>
    </xf>
    <xf numFmtId="0" fontId="21" fillId="0" borderId="0" xfId="13" applyFont="1" applyAlignment="1">
      <alignment horizontal="justify" vertical="center" wrapText="1"/>
    </xf>
    <xf numFmtId="4" fontId="21" fillId="0" borderId="0" xfId="13" applyNumberFormat="1" applyFont="1" applyAlignment="1">
      <alignment horizontal="right" vertical="center"/>
    </xf>
    <xf numFmtId="0" fontId="21" fillId="0" borderId="0" xfId="13" applyFont="1" applyAlignment="1">
      <alignment horizontal="right" vertical="center"/>
    </xf>
    <xf numFmtId="0" fontId="25" fillId="0" borderId="0" xfId="13" applyFont="1" applyAlignment="1">
      <alignment horizontal="justify" wrapText="1"/>
    </xf>
    <xf numFmtId="0" fontId="21" fillId="0" borderId="0" xfId="13" applyFont="1" applyAlignment="1">
      <alignment horizontal="justify" vertical="top" wrapText="1"/>
    </xf>
    <xf numFmtId="0" fontId="37" fillId="0" borderId="0" xfId="13" applyFont="1" applyAlignment="1">
      <alignment horizontal="justify" wrapText="1"/>
    </xf>
    <xf numFmtId="0" fontId="22" fillId="0" borderId="0" xfId="13" applyFont="1" applyAlignment="1">
      <alignment horizontal="left" vertical="top" wrapText="1"/>
    </xf>
    <xf numFmtId="0" fontId="22" fillId="0" borderId="0" xfId="13" quotePrefix="1" applyFont="1" applyAlignment="1">
      <alignment horizontal="justify" vertical="justify" wrapText="1"/>
    </xf>
    <xf numFmtId="0" fontId="22" fillId="0" borderId="0" xfId="13" quotePrefix="1" applyFont="1" applyAlignment="1">
      <alignment vertical="top" wrapText="1"/>
    </xf>
    <xf numFmtId="0" fontId="24" fillId="0" borderId="0" xfId="13" applyFont="1" applyAlignment="1">
      <alignment horizontal="center"/>
    </xf>
    <xf numFmtId="4" fontId="24" fillId="0" borderId="0" xfId="13" applyNumberFormat="1" applyFont="1" applyAlignment="1">
      <alignment horizontal="right"/>
    </xf>
    <xf numFmtId="4" fontId="24" fillId="0" borderId="0" xfId="13" applyNumberFormat="1" applyFont="1" applyAlignment="1">
      <alignment horizontal="right" vertical="center"/>
    </xf>
    <xf numFmtId="4" fontId="25" fillId="0" borderId="0" xfId="13" applyNumberFormat="1" applyFont="1" applyAlignment="1">
      <alignment horizontal="right" vertical="top"/>
    </xf>
    <xf numFmtId="0" fontId="43" fillId="0" borderId="0" xfId="13" applyFont="1" applyAlignment="1">
      <alignment vertical="top"/>
    </xf>
    <xf numFmtId="4" fontId="22" fillId="0" borderId="0" xfId="13" applyNumberFormat="1" applyFont="1" applyAlignment="1">
      <alignment horizontal="right" vertical="top"/>
    </xf>
    <xf numFmtId="4" fontId="22" fillId="0" borderId="0" xfId="13" applyNumberFormat="1" applyFont="1" applyAlignment="1">
      <alignment horizontal="center"/>
    </xf>
    <xf numFmtId="0" fontId="110" fillId="0" borderId="0" xfId="13" applyFont="1"/>
    <xf numFmtId="0" fontId="4" fillId="0" borderId="0" xfId="19"/>
    <xf numFmtId="0" fontId="22" fillId="0" borderId="0" xfId="13" applyFont="1" applyAlignment="1">
      <alignment horizontal="justify" wrapText="1"/>
    </xf>
    <xf numFmtId="0" fontId="109" fillId="0" borderId="0" xfId="13" applyFont="1" applyAlignment="1">
      <alignment horizontal="center" vertical="top"/>
    </xf>
    <xf numFmtId="0" fontId="109" fillId="0" borderId="0" xfId="13" applyFont="1" applyAlignment="1">
      <alignment horizontal="justify" vertical="justify" wrapText="1"/>
    </xf>
    <xf numFmtId="0" fontId="115" fillId="0" borderId="0" xfId="13" applyFont="1" applyAlignment="1">
      <alignment horizontal="center"/>
    </xf>
    <xf numFmtId="4" fontId="115" fillId="0" borderId="0" xfId="13" applyNumberFormat="1" applyFont="1" applyAlignment="1">
      <alignment horizontal="right"/>
    </xf>
    <xf numFmtId="0" fontId="115" fillId="0" borderId="0" xfId="13" applyFont="1" applyAlignment="1">
      <alignment horizontal="right"/>
    </xf>
    <xf numFmtId="0" fontId="115" fillId="0" borderId="0" xfId="13" applyFont="1"/>
    <xf numFmtId="0" fontId="22" fillId="0" borderId="0" xfId="13" applyFont="1" applyAlignment="1">
      <alignment horizontal="center" vertical="center"/>
    </xf>
    <xf numFmtId="0" fontId="22" fillId="0" borderId="17" xfId="13" applyFont="1" applyBorder="1" applyAlignment="1">
      <alignment horizontal="justify" vertical="center" wrapText="1"/>
    </xf>
    <xf numFmtId="0" fontId="22" fillId="0" borderId="17" xfId="13" applyFont="1" applyBorder="1" applyAlignment="1">
      <alignment horizontal="center" vertical="center"/>
    </xf>
    <xf numFmtId="4" fontId="22" fillId="0" borderId="17" xfId="13" applyNumberFormat="1" applyFont="1" applyBorder="1" applyAlignment="1">
      <alignment horizontal="right" vertical="center"/>
    </xf>
    <xf numFmtId="0" fontId="22" fillId="0" borderId="17" xfId="13" applyFont="1" applyBorder="1" applyAlignment="1">
      <alignment horizontal="right" vertical="center"/>
    </xf>
    <xf numFmtId="0" fontId="109" fillId="0" borderId="0" xfId="13" applyFont="1" applyAlignment="1">
      <alignment horizontal="center" vertical="center"/>
    </xf>
    <xf numFmtId="0" fontId="109" fillId="0" borderId="17" xfId="13" applyFont="1" applyBorder="1" applyAlignment="1">
      <alignment horizontal="justify" vertical="center" wrapText="1"/>
    </xf>
    <xf numFmtId="0" fontId="109" fillId="0" borderId="17" xfId="13" applyFont="1" applyBorder="1" applyAlignment="1">
      <alignment horizontal="center" vertical="center"/>
    </xf>
    <xf numFmtId="4" fontId="109" fillId="0" borderId="17" xfId="13" applyNumberFormat="1" applyFont="1" applyBorder="1" applyAlignment="1">
      <alignment horizontal="right" vertical="center"/>
    </xf>
    <xf numFmtId="0" fontId="109" fillId="0" borderId="17" xfId="13" applyFont="1" applyBorder="1" applyAlignment="1">
      <alignment horizontal="right" vertical="center"/>
    </xf>
    <xf numFmtId="2" fontId="22" fillId="0" borderId="0" xfId="13" applyNumberFormat="1" applyFont="1" applyAlignment="1">
      <alignment horizontal="right" vertical="center"/>
    </xf>
    <xf numFmtId="0" fontId="43" fillId="0" borderId="0" xfId="13" applyFont="1" applyAlignment="1">
      <alignment horizontal="justify" vertical="justify" wrapText="1"/>
    </xf>
    <xf numFmtId="0" fontId="43" fillId="0" borderId="0" xfId="13" applyFont="1" applyAlignment="1">
      <alignment horizontal="right"/>
    </xf>
    <xf numFmtId="0" fontId="22" fillId="5" borderId="1" xfId="13" applyFont="1" applyFill="1" applyBorder="1"/>
    <xf numFmtId="0" fontId="22" fillId="0" borderId="1" xfId="13" applyFont="1" applyBorder="1"/>
    <xf numFmtId="0" fontId="22" fillId="5" borderId="1" xfId="10" applyFont="1" applyFill="1" applyBorder="1" applyAlignment="1">
      <alignment vertical="center"/>
    </xf>
    <xf numFmtId="0" fontId="22" fillId="5" borderId="1" xfId="10" applyFont="1" applyFill="1" applyBorder="1" applyAlignment="1">
      <alignment wrapText="1"/>
    </xf>
    <xf numFmtId="0" fontId="22" fillId="5" borderId="1" xfId="10" applyFont="1" applyFill="1" applyBorder="1" applyAlignment="1">
      <alignment vertical="top" wrapText="1"/>
    </xf>
    <xf numFmtId="0" fontId="22" fillId="5" borderId="1" xfId="10" applyFont="1" applyFill="1" applyBorder="1"/>
    <xf numFmtId="2" fontId="22" fillId="5" borderId="1" xfId="10" applyNumberFormat="1" applyFont="1" applyFill="1" applyBorder="1" applyAlignment="1">
      <alignment horizontal="center"/>
    </xf>
    <xf numFmtId="0" fontId="22" fillId="0" borderId="1" xfId="10" applyFont="1" applyBorder="1"/>
    <xf numFmtId="0" fontId="21" fillId="5" borderId="2" xfId="10" applyFont="1" applyFill="1" applyBorder="1" applyAlignment="1">
      <alignment horizontal="center" vertical="top"/>
    </xf>
    <xf numFmtId="0" fontId="21" fillId="5" borderId="2" xfId="10" applyFont="1" applyFill="1" applyBorder="1" applyAlignment="1">
      <alignment vertical="top"/>
    </xf>
    <xf numFmtId="0" fontId="21" fillId="5" borderId="2" xfId="10" applyFont="1" applyFill="1" applyBorder="1" applyAlignment="1">
      <alignment vertical="top" wrapText="1"/>
    </xf>
    <xf numFmtId="0" fontId="21" fillId="5" borderId="2" xfId="10" applyFont="1" applyFill="1" applyBorder="1" applyAlignment="1">
      <alignment wrapText="1"/>
    </xf>
    <xf numFmtId="0" fontId="22" fillId="5" borderId="2" xfId="10" applyFont="1" applyFill="1" applyBorder="1"/>
    <xf numFmtId="4" fontId="21" fillId="0" borderId="2" xfId="10" applyNumberFormat="1" applyFont="1" applyBorder="1" applyAlignment="1">
      <alignment horizontal="center"/>
    </xf>
    <xf numFmtId="0" fontId="22" fillId="5" borderId="1" xfId="10" applyFont="1" applyFill="1" applyBorder="1" applyAlignment="1">
      <alignment horizontal="center" vertical="top"/>
    </xf>
    <xf numFmtId="0" fontId="22" fillId="5" borderId="1" xfId="10" applyFont="1" applyFill="1" applyBorder="1" applyAlignment="1">
      <alignment horizontal="justify" vertical="top" wrapText="1"/>
    </xf>
    <xf numFmtId="0" fontId="22" fillId="5" borderId="1" xfId="10" applyFont="1" applyFill="1" applyBorder="1" applyAlignment="1">
      <alignment vertical="top"/>
    </xf>
    <xf numFmtId="0" fontId="22" fillId="5" borderId="1" xfId="10" applyFont="1" applyFill="1" applyBorder="1" applyAlignment="1">
      <alignment horizontal="center" wrapText="1"/>
    </xf>
    <xf numFmtId="4" fontId="22" fillId="5" borderId="1" xfId="10" applyNumberFormat="1" applyFont="1" applyFill="1" applyBorder="1" applyAlignment="1">
      <alignment horizontal="center"/>
    </xf>
    <xf numFmtId="4" fontId="22" fillId="0" borderId="1" xfId="10" applyNumberFormat="1" applyFont="1" applyBorder="1" applyAlignment="1">
      <alignment horizontal="center"/>
    </xf>
    <xf numFmtId="2" fontId="22" fillId="5" borderId="1" xfId="10" applyNumberFormat="1" applyFont="1" applyFill="1" applyBorder="1" applyAlignment="1">
      <alignment horizontal="center" wrapText="1"/>
    </xf>
    <xf numFmtId="0" fontId="116" fillId="5" borderId="3" xfId="10" applyFont="1" applyFill="1" applyBorder="1" applyAlignment="1">
      <alignment horizontal="center" vertical="center"/>
    </xf>
    <xf numFmtId="0" fontId="22" fillId="5" borderId="3" xfId="10" applyFont="1" applyFill="1" applyBorder="1"/>
    <xf numFmtId="0" fontId="22" fillId="5" borderId="3" xfId="10" applyFont="1" applyFill="1" applyBorder="1" applyAlignment="1">
      <alignment vertical="top"/>
    </xf>
    <xf numFmtId="0" fontId="22" fillId="0" borderId="3" xfId="10" applyFont="1" applyBorder="1"/>
    <xf numFmtId="0" fontId="21" fillId="5" borderId="19" xfId="10" applyFont="1" applyFill="1" applyBorder="1" applyAlignment="1">
      <alignment horizontal="center" vertical="top"/>
    </xf>
    <xf numFmtId="0" fontId="21" fillId="5" borderId="2" xfId="10" applyFont="1" applyFill="1" applyBorder="1" applyAlignment="1">
      <alignment horizontal="center" shrinkToFit="1"/>
    </xf>
    <xf numFmtId="0" fontId="22" fillId="0" borderId="2" xfId="10" applyFont="1" applyBorder="1"/>
    <xf numFmtId="0" fontId="116" fillId="5" borderId="3" xfId="10" applyFont="1" applyFill="1" applyBorder="1" applyAlignment="1">
      <alignment horizontal="center"/>
    </xf>
    <xf numFmtId="0" fontId="21" fillId="5" borderId="3" xfId="10" applyFont="1" applyFill="1" applyBorder="1" applyAlignment="1">
      <alignment horizontal="left" vertical="center" shrinkToFit="1"/>
    </xf>
    <xf numFmtId="0" fontId="22" fillId="5" borderId="1" xfId="13" applyFont="1" applyFill="1" applyBorder="1" applyAlignment="1">
      <alignment horizontal="center" wrapText="1"/>
    </xf>
    <xf numFmtId="0" fontId="22" fillId="5" borderId="1" xfId="13" applyFont="1" applyFill="1" applyBorder="1" applyAlignment="1">
      <alignment horizontal="justify" vertical="top" wrapText="1"/>
    </xf>
    <xf numFmtId="0" fontId="22" fillId="5" borderId="1" xfId="10" applyFont="1" applyFill="1" applyBorder="1" applyAlignment="1">
      <alignment horizontal="center" vertical="top" wrapText="1"/>
    </xf>
    <xf numFmtId="1" fontId="22" fillId="5" borderId="1" xfId="10" applyNumberFormat="1" applyFont="1" applyFill="1" applyBorder="1" applyAlignment="1">
      <alignment horizontal="center" wrapText="1"/>
    </xf>
    <xf numFmtId="0" fontId="21" fillId="5" borderId="1" xfId="10" applyFont="1" applyFill="1" applyBorder="1" applyAlignment="1">
      <alignment vertical="top" wrapText="1"/>
    </xf>
    <xf numFmtId="0" fontId="22" fillId="5" borderId="1" xfId="19" applyFont="1" applyFill="1" applyBorder="1" applyAlignment="1">
      <alignment horizontal="justify" vertical="top" wrapText="1"/>
    </xf>
    <xf numFmtId="0" fontId="22" fillId="5" borderId="1" xfId="10" applyFont="1" applyFill="1" applyBorder="1" applyAlignment="1">
      <alignment horizontal="justify" wrapText="1"/>
    </xf>
    <xf numFmtId="4" fontId="22" fillId="0" borderId="1" xfId="13" applyNumberFormat="1" applyFont="1" applyBorder="1" applyAlignment="1">
      <alignment horizontal="center" wrapText="1"/>
    </xf>
    <xf numFmtId="0" fontId="21" fillId="5" borderId="2" xfId="10" applyFont="1" applyFill="1" applyBorder="1" applyAlignment="1">
      <alignment horizontal="center" vertical="top" wrapText="1"/>
    </xf>
    <xf numFmtId="0" fontId="116" fillId="5" borderId="1" xfId="10" applyFont="1" applyFill="1" applyBorder="1" applyAlignment="1">
      <alignment horizontal="center"/>
    </xf>
    <xf numFmtId="0" fontId="21" fillId="5" borderId="1" xfId="10" applyFont="1" applyFill="1" applyBorder="1" applyAlignment="1">
      <alignment horizontal="left" vertical="center" shrinkToFit="1"/>
    </xf>
    <xf numFmtId="0" fontId="22" fillId="5" borderId="3" xfId="10" applyFont="1" applyFill="1" applyBorder="1" applyAlignment="1">
      <alignment horizontal="center" vertical="top"/>
    </xf>
    <xf numFmtId="0" fontId="22" fillId="5" borderId="3" xfId="10" applyFont="1" applyFill="1" applyBorder="1" applyAlignment="1">
      <alignment wrapText="1"/>
    </xf>
    <xf numFmtId="0" fontId="22" fillId="5" borderId="3" xfId="10" applyFont="1" applyFill="1" applyBorder="1" applyAlignment="1">
      <alignment vertical="top" wrapText="1"/>
    </xf>
    <xf numFmtId="2" fontId="22" fillId="5" borderId="3" xfId="10" applyNumberFormat="1" applyFont="1" applyFill="1" applyBorder="1" applyAlignment="1">
      <alignment horizontal="center"/>
    </xf>
    <xf numFmtId="0" fontId="21" fillId="5" borderId="1" xfId="10" applyFont="1" applyFill="1" applyBorder="1" applyAlignment="1">
      <alignment horizontal="left" vertical="top" wrapText="1" shrinkToFit="1"/>
    </xf>
    <xf numFmtId="0" fontId="22" fillId="5" borderId="1" xfId="10" applyFont="1" applyFill="1" applyBorder="1" applyAlignment="1">
      <alignment horizontal="center" vertical="center" wrapText="1"/>
    </xf>
    <xf numFmtId="0" fontId="25" fillId="5" borderId="1" xfId="13" applyFont="1" applyFill="1" applyBorder="1"/>
    <xf numFmtId="0" fontId="22" fillId="5" borderId="1" xfId="13" applyFont="1" applyFill="1" applyBorder="1" applyAlignment="1">
      <alignment horizontal="justify" vertical="center"/>
    </xf>
    <xf numFmtId="0" fontId="22" fillId="5" borderId="3" xfId="13" applyFont="1" applyFill="1" applyBorder="1"/>
    <xf numFmtId="0" fontId="22" fillId="0" borderId="3" xfId="13" applyFont="1" applyBorder="1"/>
    <xf numFmtId="0" fontId="110" fillId="0" borderId="0" xfId="13" applyFont="1" applyAlignment="1">
      <alignment horizontal="center"/>
    </xf>
    <xf numFmtId="4" fontId="110" fillId="0" borderId="0" xfId="13" applyNumberFormat="1" applyFont="1" applyAlignment="1">
      <alignment horizontal="right"/>
    </xf>
    <xf numFmtId="0" fontId="110" fillId="0" borderId="0" xfId="13" applyFont="1" applyAlignment="1">
      <alignment horizontal="right"/>
    </xf>
    <xf numFmtId="4" fontId="22" fillId="0" borderId="17" xfId="13" applyNumberFormat="1" applyFont="1" applyBorder="1"/>
    <xf numFmtId="2" fontId="109" fillId="0" borderId="17" xfId="13" applyNumberFormat="1" applyFont="1" applyBorder="1"/>
    <xf numFmtId="0" fontId="109" fillId="0" borderId="0" xfId="13" applyFont="1"/>
    <xf numFmtId="0" fontId="110" fillId="5" borderId="1" xfId="13" applyFont="1" applyFill="1" applyBorder="1"/>
    <xf numFmtId="0" fontId="110" fillId="0" borderId="1" xfId="13" applyFont="1" applyBorder="1"/>
    <xf numFmtId="0" fontId="117" fillId="0" borderId="1" xfId="19" applyFont="1" applyBorder="1" applyAlignment="1">
      <alignment vertical="top"/>
    </xf>
    <xf numFmtId="49" fontId="117" fillId="5" borderId="1" xfId="0" applyNumberFormat="1" applyFont="1" applyFill="1" applyBorder="1" applyAlignment="1" applyProtection="1">
      <alignment horizontal="center" vertical="top"/>
      <protection locked="0"/>
    </xf>
    <xf numFmtId="0" fontId="117" fillId="5" borderId="1" xfId="0" applyFont="1" applyFill="1" applyBorder="1" applyAlignment="1" applyProtection="1">
      <alignment horizontal="justify" vertical="top" wrapText="1"/>
      <protection locked="0"/>
    </xf>
    <xf numFmtId="0" fontId="118" fillId="5" borderId="1" xfId="0" applyFont="1" applyFill="1" applyBorder="1" applyAlignment="1" applyProtection="1">
      <alignment horizontal="right" wrapText="1"/>
      <protection locked="0"/>
    </xf>
    <xf numFmtId="0" fontId="118" fillId="5" borderId="1" xfId="0" applyFont="1" applyFill="1" applyBorder="1" applyAlignment="1" applyProtection="1">
      <alignment horizontal="left" vertical="center" wrapText="1"/>
      <protection locked="0"/>
    </xf>
    <xf numFmtId="4" fontId="118" fillId="5" borderId="1" xfId="0" applyNumberFormat="1" applyFont="1" applyFill="1" applyBorder="1" applyAlignment="1">
      <alignment horizontal="right" wrapText="1"/>
    </xf>
    <xf numFmtId="0" fontId="119" fillId="0" borderId="1" xfId="0" applyFont="1" applyBorder="1"/>
    <xf numFmtId="0" fontId="118" fillId="0" borderId="1" xfId="19" applyFont="1" applyBorder="1" applyAlignment="1">
      <alignment vertical="top"/>
    </xf>
    <xf numFmtId="49" fontId="118" fillId="5" borderId="1" xfId="0" applyNumberFormat="1" applyFont="1" applyFill="1" applyBorder="1" applyAlignment="1" applyProtection="1">
      <alignment horizontal="center" vertical="top"/>
      <protection locked="0"/>
    </xf>
    <xf numFmtId="0" fontId="117" fillId="0" borderId="1" xfId="0" quotePrefix="1" applyFont="1" applyBorder="1" applyAlignment="1">
      <alignment horizontal="left" vertical="top" wrapText="1"/>
    </xf>
    <xf numFmtId="0" fontId="117" fillId="5" borderId="1" xfId="0" applyFont="1" applyFill="1" applyBorder="1" applyAlignment="1" applyProtection="1">
      <alignment horizontal="right" wrapText="1"/>
      <protection locked="0"/>
    </xf>
    <xf numFmtId="169" fontId="117" fillId="5" borderId="1" xfId="0" applyNumberFormat="1" applyFont="1" applyFill="1" applyBorder="1" applyAlignment="1" applyProtection="1">
      <alignment horizontal="right" wrapText="1"/>
      <protection locked="0"/>
    </xf>
    <xf numFmtId="4" fontId="117" fillId="5" borderId="1" xfId="0" applyNumberFormat="1" applyFont="1" applyFill="1" applyBorder="1" applyAlignment="1" applyProtection="1">
      <alignment horizontal="right" wrapText="1"/>
      <protection locked="0"/>
    </xf>
    <xf numFmtId="0" fontId="117" fillId="0" borderId="1" xfId="0" applyFont="1" applyBorder="1" applyAlignment="1">
      <alignment horizontal="right" wrapText="1"/>
    </xf>
    <xf numFmtId="2" fontId="117" fillId="0" borderId="1" xfId="0" applyNumberFormat="1" applyFont="1" applyBorder="1" applyAlignment="1">
      <alignment horizontal="right" wrapText="1"/>
    </xf>
    <xf numFmtId="0" fontId="117" fillId="0" borderId="3" xfId="0" applyFont="1" applyBorder="1"/>
    <xf numFmtId="0" fontId="117" fillId="0" borderId="3" xfId="0" applyFont="1" applyBorder="1" applyAlignment="1">
      <alignment horizontal="right"/>
    </xf>
    <xf numFmtId="2" fontId="117" fillId="0" borderId="3" xfId="0" applyNumberFormat="1" applyFont="1" applyBorder="1"/>
    <xf numFmtId="0" fontId="117" fillId="5" borderId="1" xfId="19" applyFont="1" applyFill="1" applyBorder="1" applyAlignment="1">
      <alignment vertical="top"/>
    </xf>
    <xf numFmtId="0" fontId="117" fillId="5" borderId="1" xfId="0" applyFont="1" applyFill="1" applyBorder="1" applyAlignment="1">
      <alignment vertical="top" wrapText="1"/>
    </xf>
    <xf numFmtId="0" fontId="117" fillId="5" borderId="1" xfId="0" applyFont="1" applyFill="1" applyBorder="1" applyAlignment="1">
      <alignment horizontal="right"/>
    </xf>
    <xf numFmtId="4" fontId="117" fillId="5" borderId="1" xfId="0" applyNumberFormat="1" applyFont="1" applyFill="1" applyBorder="1"/>
    <xf numFmtId="0" fontId="117" fillId="0" borderId="3" xfId="19" applyFont="1" applyBorder="1" applyAlignment="1">
      <alignment vertical="top"/>
    </xf>
    <xf numFmtId="49" fontId="117" fillId="5" borderId="3" xfId="0" applyNumberFormat="1" applyFont="1" applyFill="1" applyBorder="1" applyAlignment="1" applyProtection="1">
      <alignment horizontal="center" vertical="top"/>
      <protection locked="0"/>
    </xf>
    <xf numFmtId="0" fontId="117" fillId="5" borderId="3" xfId="0" applyFont="1" applyFill="1" applyBorder="1" applyAlignment="1" applyProtection="1">
      <alignment horizontal="left" vertical="center" wrapText="1"/>
      <protection locked="0"/>
    </xf>
    <xf numFmtId="0" fontId="117" fillId="5" borderId="3" xfId="0" applyFont="1" applyFill="1" applyBorder="1" applyAlignment="1" applyProtection="1">
      <alignment horizontal="right" wrapText="1"/>
      <protection locked="0"/>
    </xf>
    <xf numFmtId="4" fontId="117" fillId="5" borderId="3" xfId="0" applyNumberFormat="1" applyFont="1" applyFill="1" applyBorder="1" applyAlignment="1">
      <alignment horizontal="right" wrapText="1"/>
    </xf>
    <xf numFmtId="0" fontId="118" fillId="5" borderId="1" xfId="19" applyFont="1" applyFill="1" applyBorder="1" applyAlignment="1">
      <alignment vertical="top"/>
    </xf>
    <xf numFmtId="0" fontId="117" fillId="5" borderId="1" xfId="65" quotePrefix="1" applyNumberFormat="1" applyFont="1" applyFill="1" applyBorder="1" applyAlignment="1">
      <alignment vertical="top" wrapText="1"/>
    </xf>
    <xf numFmtId="168" fontId="117" fillId="5" borderId="1" xfId="65" applyNumberFormat="1" applyFont="1" applyFill="1" applyBorder="1" applyAlignment="1">
      <alignment horizontal="right"/>
    </xf>
    <xf numFmtId="4" fontId="117" fillId="5" borderId="1" xfId="65" applyNumberFormat="1" applyFont="1" applyFill="1" applyBorder="1"/>
    <xf numFmtId="0" fontId="117" fillId="7" borderId="1" xfId="0" applyFont="1" applyFill="1" applyBorder="1" applyAlignment="1">
      <alignment vertical="top" wrapText="1"/>
    </xf>
    <xf numFmtId="0" fontId="117" fillId="0" borderId="1" xfId="0" applyFont="1" applyBorder="1"/>
    <xf numFmtId="0" fontId="118" fillId="0" borderId="1" xfId="65" applyNumberFormat="1" applyFont="1" applyBorder="1" applyAlignment="1">
      <alignment horizontal="center" vertical="top" wrapText="1"/>
    </xf>
    <xf numFmtId="0" fontId="117" fillId="7" borderId="1" xfId="0" quotePrefix="1" applyFont="1" applyFill="1" applyBorder="1" applyAlignment="1">
      <alignment vertical="top" wrapText="1"/>
    </xf>
    <xf numFmtId="4" fontId="117" fillId="0" borderId="1" xfId="0" applyNumberFormat="1" applyFont="1" applyBorder="1"/>
    <xf numFmtId="4" fontId="117" fillId="0" borderId="1" xfId="0" applyNumberFormat="1" applyFont="1" applyBorder="1" applyAlignment="1">
      <alignment horizontal="right" wrapText="1"/>
    </xf>
    <xf numFmtId="0" fontId="120" fillId="0" borderId="1" xfId="19" applyFont="1" applyBorder="1" applyAlignment="1">
      <alignment vertical="top"/>
    </xf>
    <xf numFmtId="49" fontId="120" fillId="5" borderId="1" xfId="0" applyNumberFormat="1" applyFont="1" applyFill="1" applyBorder="1" applyAlignment="1" applyProtection="1">
      <alignment horizontal="center" vertical="top"/>
      <protection locked="0"/>
    </xf>
    <xf numFmtId="0" fontId="120" fillId="5" borderId="1" xfId="0" applyFont="1" applyFill="1" applyBorder="1" applyAlignment="1" applyProtection="1">
      <alignment horizontal="justify" vertical="top" wrapText="1"/>
      <protection locked="0"/>
    </xf>
    <xf numFmtId="0" fontId="121" fillId="5" borderId="1" xfId="0" applyFont="1" applyFill="1" applyBorder="1" applyAlignment="1" applyProtection="1">
      <alignment horizontal="right" wrapText="1"/>
      <protection locked="0"/>
    </xf>
    <xf numFmtId="0" fontId="121" fillId="5" borderId="1" xfId="0" applyFont="1" applyFill="1" applyBorder="1" applyAlignment="1" applyProtection="1">
      <alignment horizontal="left" vertical="center" wrapText="1"/>
      <protection locked="0"/>
    </xf>
    <xf numFmtId="4" fontId="121" fillId="5" borderId="1" xfId="0" applyNumberFormat="1" applyFont="1" applyFill="1" applyBorder="1" applyAlignment="1">
      <alignment horizontal="right" wrapText="1"/>
    </xf>
    <xf numFmtId="0" fontId="122" fillId="0" borderId="1" xfId="0" applyFont="1" applyBorder="1"/>
    <xf numFmtId="0" fontId="121" fillId="0" borderId="1" xfId="19" applyFont="1" applyBorder="1" applyAlignment="1">
      <alignment vertical="top"/>
    </xf>
    <xf numFmtId="49" fontId="121" fillId="5" borderId="1" xfId="0" applyNumberFormat="1" applyFont="1" applyFill="1" applyBorder="1" applyAlignment="1" applyProtection="1">
      <alignment horizontal="center" vertical="top"/>
      <protection locked="0"/>
    </xf>
    <xf numFmtId="0" fontId="120" fillId="0" borderId="1" xfId="0" quotePrefix="1" applyFont="1" applyBorder="1" applyAlignment="1">
      <alignment horizontal="left" vertical="top" wrapText="1"/>
    </xf>
    <xf numFmtId="0" fontId="120" fillId="5" borderId="1" xfId="0" applyFont="1" applyFill="1" applyBorder="1" applyAlignment="1" applyProtection="1">
      <alignment horizontal="right" wrapText="1"/>
      <protection locked="0"/>
    </xf>
    <xf numFmtId="169" fontId="120" fillId="5" borderId="1" xfId="0" applyNumberFormat="1" applyFont="1" applyFill="1" applyBorder="1" applyAlignment="1" applyProtection="1">
      <alignment horizontal="right" wrapText="1"/>
      <protection locked="0"/>
    </xf>
    <xf numFmtId="4" fontId="120" fillId="5" borderId="1" xfId="0" applyNumberFormat="1" applyFont="1" applyFill="1" applyBorder="1" applyAlignment="1" applyProtection="1">
      <alignment horizontal="right" wrapText="1"/>
      <protection locked="0"/>
    </xf>
    <xf numFmtId="4" fontId="120" fillId="8" borderId="1" xfId="0" applyNumberFormat="1" applyFont="1" applyFill="1" applyBorder="1" applyAlignment="1">
      <alignment horizontal="right" wrapText="1"/>
    </xf>
    <xf numFmtId="0" fontId="120" fillId="0" borderId="1" xfId="0" applyFont="1" applyBorder="1" applyAlignment="1">
      <alignment horizontal="right" wrapText="1"/>
    </xf>
    <xf numFmtId="2" fontId="120" fillId="0" borderId="1" xfId="0" applyNumberFormat="1" applyFont="1" applyBorder="1" applyAlignment="1">
      <alignment horizontal="right" wrapText="1"/>
    </xf>
    <xf numFmtId="0" fontId="120" fillId="0" borderId="3" xfId="0" applyFont="1" applyBorder="1"/>
    <xf numFmtId="0" fontId="120" fillId="0" borderId="3" xfId="0" applyFont="1" applyBorder="1" applyAlignment="1">
      <alignment horizontal="right"/>
    </xf>
    <xf numFmtId="2" fontId="120" fillId="0" borderId="3" xfId="0" applyNumberFormat="1" applyFont="1" applyBorder="1"/>
    <xf numFmtId="0" fontId="120" fillId="5" borderId="1" xfId="19" applyFont="1" applyFill="1" applyBorder="1" applyAlignment="1">
      <alignment vertical="top"/>
    </xf>
    <xf numFmtId="0" fontId="120" fillId="5" borderId="1" xfId="0" applyFont="1" applyFill="1" applyBorder="1" applyAlignment="1">
      <alignment vertical="top" wrapText="1"/>
    </xf>
    <xf numFmtId="0" fontId="120" fillId="5" borderId="1" xfId="0" applyFont="1" applyFill="1" applyBorder="1" applyAlignment="1">
      <alignment horizontal="right"/>
    </xf>
    <xf numFmtId="4" fontId="120" fillId="5" borderId="1" xfId="0" applyNumberFormat="1" applyFont="1" applyFill="1" applyBorder="1"/>
    <xf numFmtId="0" fontId="120" fillId="0" borderId="3" xfId="19" applyFont="1" applyBorder="1" applyAlignment="1">
      <alignment vertical="top"/>
    </xf>
    <xf numFmtId="49" fontId="120" fillId="5" borderId="3" xfId="0" applyNumberFormat="1" applyFont="1" applyFill="1" applyBorder="1" applyAlignment="1" applyProtection="1">
      <alignment horizontal="center" vertical="top"/>
      <protection locked="0"/>
    </xf>
    <xf numFmtId="0" fontId="120" fillId="5" borderId="3" xfId="0" applyFont="1" applyFill="1" applyBorder="1" applyAlignment="1" applyProtection="1">
      <alignment horizontal="left" vertical="center" wrapText="1"/>
      <protection locked="0"/>
    </xf>
    <xf numFmtId="0" fontId="120" fillId="5" borderId="3" xfId="0" applyFont="1" applyFill="1" applyBorder="1" applyAlignment="1" applyProtection="1">
      <alignment horizontal="right" wrapText="1"/>
      <protection locked="0"/>
    </xf>
    <xf numFmtId="4" fontId="120" fillId="5" borderId="3" xfId="0" applyNumberFormat="1" applyFont="1" applyFill="1" applyBorder="1" applyAlignment="1">
      <alignment horizontal="right" wrapText="1"/>
    </xf>
    <xf numFmtId="0" fontId="121" fillId="5" borderId="1" xfId="19" applyFont="1" applyFill="1" applyBorder="1" applyAlignment="1">
      <alignment vertical="top"/>
    </xf>
    <xf numFmtId="0" fontId="120" fillId="5" borderId="1" xfId="65" quotePrefix="1" applyNumberFormat="1" applyFont="1" applyFill="1" applyBorder="1" applyAlignment="1">
      <alignment vertical="top" wrapText="1"/>
    </xf>
    <xf numFmtId="168" fontId="120" fillId="5" borderId="1" xfId="65" applyNumberFormat="1" applyFont="1" applyFill="1" applyBorder="1" applyAlignment="1">
      <alignment horizontal="right"/>
    </xf>
    <xf numFmtId="4" fontId="120" fillId="5" borderId="1" xfId="65" applyNumberFormat="1" applyFont="1" applyFill="1" applyBorder="1"/>
    <xf numFmtId="4" fontId="120" fillId="8" borderId="1" xfId="0" applyNumberFormat="1" applyFont="1" applyFill="1" applyBorder="1"/>
    <xf numFmtId="0" fontId="120" fillId="7" borderId="1" xfId="0" applyFont="1" applyFill="1" applyBorder="1" applyAlignment="1">
      <alignment vertical="top" wrapText="1"/>
    </xf>
    <xf numFmtId="0" fontId="120" fillId="0" borderId="1" xfId="0" applyFont="1" applyBorder="1"/>
    <xf numFmtId="0" fontId="121" fillId="0" borderId="1" xfId="65" applyNumberFormat="1" applyFont="1" applyBorder="1" applyAlignment="1">
      <alignment horizontal="center" vertical="top" wrapText="1"/>
    </xf>
    <xf numFmtId="0" fontId="120" fillId="7" borderId="1" xfId="0" quotePrefix="1" applyFont="1" applyFill="1" applyBorder="1" applyAlignment="1">
      <alignment vertical="top" wrapText="1"/>
    </xf>
    <xf numFmtId="4" fontId="120" fillId="0" borderId="1" xfId="0" applyNumberFormat="1" applyFont="1" applyBorder="1"/>
    <xf numFmtId="49" fontId="118" fillId="5" borderId="3" xfId="0" applyNumberFormat="1" applyFont="1" applyFill="1" applyBorder="1" applyAlignment="1" applyProtection="1">
      <alignment horizontal="center" vertical="top"/>
      <protection locked="0"/>
    </xf>
    <xf numFmtId="0" fontId="117" fillId="5" borderId="1" xfId="65" applyNumberFormat="1" applyFont="1" applyFill="1" applyBorder="1" applyAlignment="1">
      <alignment vertical="top" wrapText="1"/>
    </xf>
    <xf numFmtId="0" fontId="119" fillId="0" borderId="1" xfId="0" applyFont="1" applyBorder="1" applyAlignment="1">
      <alignment horizontal="right"/>
    </xf>
    <xf numFmtId="0" fontId="117" fillId="0" borderId="1" xfId="67" applyFont="1" applyBorder="1" applyAlignment="1">
      <alignment horizontal="justify" vertical="top" wrapText="1"/>
    </xf>
    <xf numFmtId="4" fontId="117" fillId="0" borderId="1" xfId="67" applyNumberFormat="1" applyFont="1" applyBorder="1" applyAlignment="1">
      <alignment horizontal="right"/>
    </xf>
    <xf numFmtId="0" fontId="117" fillId="0" borderId="1" xfId="67" applyFont="1" applyBorder="1" applyAlignment="1">
      <alignment horizontal="right"/>
    </xf>
    <xf numFmtId="0" fontId="123" fillId="0" borderId="1" xfId="0" applyFont="1" applyBorder="1" applyAlignment="1">
      <alignment vertical="center" wrapText="1"/>
    </xf>
    <xf numFmtId="0" fontId="117" fillId="0" borderId="1" xfId="19" applyFont="1" applyBorder="1" applyAlignment="1">
      <alignment vertical="top" wrapText="1"/>
    </xf>
    <xf numFmtId="0" fontId="117" fillId="0" borderId="1" xfId="19" applyFont="1" applyBorder="1" applyAlignment="1">
      <alignment horizontal="center" vertical="top" wrapText="1"/>
    </xf>
    <xf numFmtId="0" fontId="117" fillId="0" borderId="1" xfId="0" quotePrefix="1" applyFont="1" applyBorder="1" applyAlignment="1">
      <alignment vertical="top" wrapText="1"/>
    </xf>
    <xf numFmtId="0" fontId="119" fillId="0" borderId="1" xfId="0" applyFont="1" applyBorder="1" applyAlignment="1">
      <alignment vertical="top" wrapText="1"/>
    </xf>
    <xf numFmtId="0" fontId="118" fillId="0" borderId="3" xfId="19" applyFont="1" applyBorder="1" applyAlignment="1">
      <alignment vertical="top"/>
    </xf>
    <xf numFmtId="0" fontId="118" fillId="0" borderId="3" xfId="0" applyFont="1" applyBorder="1" applyAlignment="1">
      <alignment horizontal="center" vertical="top"/>
    </xf>
    <xf numFmtId="0" fontId="118" fillId="5" borderId="3" xfId="0" applyFont="1" applyFill="1" applyBorder="1" applyAlignment="1" applyProtection="1">
      <alignment horizontal="left" vertical="center" wrapText="1"/>
      <protection locked="0"/>
    </xf>
    <xf numFmtId="0" fontId="118" fillId="5" borderId="3" xfId="0" applyFont="1" applyFill="1" applyBorder="1" applyAlignment="1" applyProtection="1">
      <alignment horizontal="right" wrapText="1"/>
      <protection locked="0"/>
    </xf>
    <xf numFmtId="4" fontId="118" fillId="5" borderId="3" xfId="0" applyNumberFormat="1" applyFont="1" applyFill="1" applyBorder="1" applyAlignment="1">
      <alignment horizontal="right" wrapText="1"/>
    </xf>
    <xf numFmtId="0" fontId="117" fillId="0" borderId="3" xfId="0" applyFont="1" applyBorder="1" applyAlignment="1">
      <alignment vertical="top" wrapText="1"/>
    </xf>
    <xf numFmtId="0" fontId="117" fillId="0" borderId="3" xfId="19" applyFont="1" applyBorder="1" applyAlignment="1">
      <alignment vertical="top" wrapText="1"/>
    </xf>
    <xf numFmtId="0" fontId="117" fillId="0" borderId="3" xfId="0" applyFont="1" applyBorder="1" applyAlignment="1">
      <alignment horizontal="center" vertical="top" wrapText="1"/>
    </xf>
    <xf numFmtId="0" fontId="117" fillId="5" borderId="3" xfId="0" applyFont="1" applyFill="1" applyBorder="1" applyAlignment="1" applyProtection="1">
      <alignment horizontal="left" vertical="top" wrapText="1"/>
      <protection locked="0"/>
    </xf>
    <xf numFmtId="0" fontId="119" fillId="0" borderId="1" xfId="0" applyFont="1" applyBorder="1" applyAlignment="1">
      <alignment wrapText="1"/>
    </xf>
    <xf numFmtId="170" fontId="117" fillId="5" borderId="1" xfId="0" applyNumberFormat="1" applyFont="1" applyFill="1" applyBorder="1" applyAlignment="1" applyProtection="1">
      <alignment horizontal="right" wrapText="1"/>
      <protection locked="0"/>
    </xf>
    <xf numFmtId="0" fontId="117" fillId="0" borderId="3" xfId="0" applyFont="1" applyBorder="1" applyAlignment="1">
      <alignment horizontal="center" vertical="top"/>
    </xf>
    <xf numFmtId="0" fontId="120" fillId="5" borderId="1" xfId="65" applyNumberFormat="1" applyFont="1" applyFill="1" applyBorder="1" applyAlignment="1">
      <alignment vertical="top" wrapText="1"/>
    </xf>
    <xf numFmtId="0" fontId="122" fillId="0" borderId="1" xfId="0" applyFont="1" applyBorder="1" applyAlignment="1">
      <alignment horizontal="right"/>
    </xf>
    <xf numFmtId="0" fontId="120" fillId="0" borderId="1" xfId="67" applyFont="1" applyBorder="1" applyAlignment="1">
      <alignment horizontal="justify" vertical="top" wrapText="1"/>
    </xf>
    <xf numFmtId="4" fontId="120" fillId="0" borderId="1" xfId="67" applyNumberFormat="1" applyFont="1" applyBorder="1" applyAlignment="1">
      <alignment horizontal="right"/>
    </xf>
    <xf numFmtId="0" fontId="120" fillId="0" borderId="1" xfId="67" applyFont="1" applyBorder="1" applyAlignment="1">
      <alignment horizontal="right"/>
    </xf>
    <xf numFmtId="0" fontId="124" fillId="0" borderId="1" xfId="0" applyFont="1" applyBorder="1" applyAlignment="1">
      <alignment vertical="center" wrapText="1"/>
    </xf>
    <xf numFmtId="0" fontId="120" fillId="0" borderId="1" xfId="19" applyFont="1" applyBorder="1" applyAlignment="1">
      <alignment vertical="top" wrapText="1"/>
    </xf>
    <xf numFmtId="0" fontId="120" fillId="0" borderId="1" xfId="19" applyFont="1" applyBorder="1" applyAlignment="1">
      <alignment horizontal="center" vertical="top" wrapText="1"/>
    </xf>
    <xf numFmtId="0" fontId="120" fillId="0" borderId="1" xfId="0" quotePrefix="1" applyFont="1" applyBorder="1" applyAlignment="1">
      <alignment vertical="top" wrapText="1"/>
    </xf>
    <xf numFmtId="0" fontId="122" fillId="0" borderId="1" xfId="0" applyFont="1" applyBorder="1" applyAlignment="1">
      <alignment vertical="top" wrapText="1"/>
    </xf>
    <xf numFmtId="0" fontId="121" fillId="0" borderId="3" xfId="19" applyFont="1" applyBorder="1" applyAlignment="1">
      <alignment vertical="top"/>
    </xf>
    <xf numFmtId="0" fontId="121" fillId="0" borderId="3" xfId="0" applyFont="1" applyBorder="1" applyAlignment="1">
      <alignment horizontal="center" vertical="top"/>
    </xf>
    <xf numFmtId="0" fontId="121" fillId="5" borderId="3" xfId="0" applyFont="1" applyFill="1" applyBorder="1" applyAlignment="1" applyProtection="1">
      <alignment horizontal="left" vertical="center" wrapText="1"/>
      <protection locked="0"/>
    </xf>
    <xf numFmtId="0" fontId="121" fillId="5" borderId="3" xfId="0" applyFont="1" applyFill="1" applyBorder="1" applyAlignment="1" applyProtection="1">
      <alignment horizontal="right" wrapText="1"/>
      <protection locked="0"/>
    </xf>
    <xf numFmtId="4" fontId="121" fillId="5" borderId="3" xfId="0" applyNumberFormat="1" applyFont="1" applyFill="1" applyBorder="1" applyAlignment="1">
      <alignment horizontal="right" wrapText="1"/>
    </xf>
    <xf numFmtId="0" fontId="120" fillId="0" borderId="3" xfId="0" applyFont="1" applyBorder="1" applyAlignment="1">
      <alignment vertical="top" wrapText="1"/>
    </xf>
    <xf numFmtId="0" fontId="120" fillId="0" borderId="3" xfId="19" applyFont="1" applyBorder="1" applyAlignment="1">
      <alignment vertical="top" wrapText="1"/>
    </xf>
    <xf numFmtId="0" fontId="120" fillId="0" borderId="3" xfId="0" applyFont="1" applyBorder="1" applyAlignment="1">
      <alignment horizontal="center" vertical="top" wrapText="1"/>
    </xf>
    <xf numFmtId="0" fontId="120" fillId="5" borderId="3" xfId="0" applyFont="1" applyFill="1" applyBorder="1" applyAlignment="1" applyProtection="1">
      <alignment horizontal="left" vertical="top" wrapText="1"/>
      <protection locked="0"/>
    </xf>
    <xf numFmtId="0" fontId="122" fillId="0" borderId="1" xfId="0" applyFont="1" applyBorder="1" applyAlignment="1">
      <alignment wrapText="1"/>
    </xf>
    <xf numFmtId="170" fontId="120" fillId="5" borderId="1" xfId="0" applyNumberFormat="1" applyFont="1" applyFill="1" applyBorder="1" applyAlignment="1" applyProtection="1">
      <alignment horizontal="right" wrapText="1"/>
      <protection locked="0"/>
    </xf>
    <xf numFmtId="0" fontId="120" fillId="0" borderId="3" xfId="0" applyFont="1" applyBorder="1" applyAlignment="1">
      <alignment horizontal="center" vertical="top"/>
    </xf>
    <xf numFmtId="49" fontId="121" fillId="5" borderId="3" xfId="0" applyNumberFormat="1" applyFont="1" applyFill="1" applyBorder="1" applyAlignment="1" applyProtection="1">
      <alignment horizontal="center" vertical="top"/>
      <protection locked="0"/>
    </xf>
    <xf numFmtId="4" fontId="125" fillId="0" borderId="1" xfId="19" applyNumberFormat="1" applyFont="1" applyBorder="1" applyAlignment="1">
      <alignment horizontal="right"/>
    </xf>
    <xf numFmtId="4" fontId="125" fillId="0" borderId="1" xfId="76" applyNumberFormat="1" applyFont="1" applyBorder="1" applyAlignment="1">
      <alignment horizontal="right" wrapText="1"/>
    </xf>
    <xf numFmtId="0" fontId="117" fillId="5" borderId="1" xfId="0" quotePrefix="1" applyFont="1" applyFill="1" applyBorder="1" applyAlignment="1" applyProtection="1">
      <alignment horizontal="justify" vertical="top" wrapText="1"/>
      <protection locked="0"/>
    </xf>
    <xf numFmtId="4" fontId="126" fillId="0" borderId="1" xfId="19" applyNumberFormat="1" applyFont="1" applyBorder="1" applyAlignment="1">
      <alignment horizontal="right"/>
    </xf>
    <xf numFmtId="4" fontId="126" fillId="0" borderId="1" xfId="76" applyNumberFormat="1" applyFont="1" applyBorder="1" applyAlignment="1">
      <alignment horizontal="right" wrapText="1"/>
    </xf>
    <xf numFmtId="0" fontId="120" fillId="5" borderId="1" xfId="0" quotePrefix="1" applyFont="1" applyFill="1" applyBorder="1" applyAlignment="1" applyProtection="1">
      <alignment horizontal="justify" vertical="top" wrapText="1"/>
      <protection locked="0"/>
    </xf>
    <xf numFmtId="0" fontId="117" fillId="5" borderId="1" xfId="10" applyFont="1" applyFill="1" applyBorder="1" applyAlignment="1">
      <alignment horizontal="center" vertical="top"/>
    </xf>
    <xf numFmtId="0" fontId="117" fillId="5" borderId="1" xfId="10" applyFont="1" applyFill="1" applyBorder="1" applyAlignment="1">
      <alignment horizontal="justify" vertical="top" wrapText="1"/>
    </xf>
    <xf numFmtId="0" fontId="117" fillId="5" borderId="1" xfId="10" applyFont="1" applyFill="1" applyBorder="1" applyAlignment="1">
      <alignment vertical="top"/>
    </xf>
    <xf numFmtId="0" fontId="117" fillId="5" borderId="1" xfId="10" applyFont="1" applyFill="1" applyBorder="1" applyAlignment="1">
      <alignment horizontal="center" wrapText="1"/>
    </xf>
    <xf numFmtId="4" fontId="117" fillId="5" borderId="1" xfId="10" applyNumberFormat="1" applyFont="1" applyFill="1" applyBorder="1" applyAlignment="1">
      <alignment horizontal="center"/>
    </xf>
    <xf numFmtId="4" fontId="117" fillId="0" borderId="1" xfId="10" applyNumberFormat="1" applyFont="1" applyBorder="1" applyAlignment="1">
      <alignment horizontal="center"/>
    </xf>
    <xf numFmtId="0" fontId="117" fillId="5" borderId="1" xfId="13" applyFont="1" applyFill="1" applyBorder="1"/>
    <xf numFmtId="0" fontId="120" fillId="5" borderId="1" xfId="0" applyFont="1" applyFill="1" applyBorder="1" applyAlignment="1">
      <alignment horizontal="left" vertical="top" wrapText="1"/>
    </xf>
    <xf numFmtId="0" fontId="120" fillId="5" borderId="1" xfId="0" applyFont="1" applyFill="1" applyBorder="1" applyAlignment="1" applyProtection="1">
      <alignment vertical="top" wrapText="1"/>
      <protection locked="0"/>
    </xf>
    <xf numFmtId="0" fontId="120" fillId="0" borderId="1" xfId="0" applyFont="1" applyBorder="1" applyAlignment="1">
      <alignment vertical="top" wrapText="1"/>
    </xf>
    <xf numFmtId="0" fontId="120" fillId="0" borderId="1" xfId="0" applyFont="1" applyBorder="1" applyAlignment="1">
      <alignment horizontal="right"/>
    </xf>
    <xf numFmtId="0" fontId="120" fillId="5" borderId="1" xfId="10" applyFont="1" applyFill="1" applyBorder="1" applyAlignment="1">
      <alignment horizontal="center" wrapText="1"/>
    </xf>
    <xf numFmtId="0" fontId="22" fillId="5" borderId="1" xfId="10" applyFont="1" applyFill="1" applyBorder="1" applyAlignment="1">
      <alignment horizontal="left" vertical="top" wrapText="1"/>
    </xf>
    <xf numFmtId="0" fontId="120" fillId="5" borderId="1" xfId="13" applyFont="1" applyFill="1" applyBorder="1" applyAlignment="1">
      <alignment horizontal="center" wrapText="1"/>
    </xf>
    <xf numFmtId="0" fontId="120" fillId="5" borderId="0" xfId="19" applyFont="1" applyFill="1"/>
    <xf numFmtId="0" fontId="120" fillId="5" borderId="0" xfId="19" applyFont="1" applyFill="1" applyAlignment="1">
      <alignment wrapText="1"/>
    </xf>
    <xf numFmtId="0" fontId="121" fillId="5" borderId="0" xfId="19" applyFont="1" applyFill="1"/>
    <xf numFmtId="4" fontId="120" fillId="5" borderId="0" xfId="19" applyNumberFormat="1" applyFont="1" applyFill="1" applyAlignment="1">
      <alignment horizontal="left" vertical="top" wrapText="1"/>
    </xf>
    <xf numFmtId="2" fontId="120" fillId="5" borderId="0" xfId="19" applyNumberFormat="1" applyFont="1" applyFill="1"/>
    <xf numFmtId="0" fontId="122" fillId="0" borderId="0" xfId="0" applyFont="1"/>
    <xf numFmtId="0" fontId="128" fillId="0" borderId="0" xfId="13" applyFont="1"/>
    <xf numFmtId="0" fontId="122" fillId="0" borderId="0" xfId="13" applyFont="1" applyAlignment="1">
      <alignment vertical="top" wrapText="1"/>
    </xf>
    <xf numFmtId="0" fontId="117" fillId="5" borderId="1" xfId="0" applyFont="1" applyFill="1" applyBorder="1" applyAlignment="1">
      <alignment horizontal="justify" vertical="top" wrapText="1"/>
    </xf>
    <xf numFmtId="0" fontId="117" fillId="0" borderId="1" xfId="0" applyFont="1" applyBorder="1" applyAlignment="1">
      <alignment vertical="top" wrapText="1"/>
    </xf>
    <xf numFmtId="0" fontId="122" fillId="0" borderId="0" xfId="13" applyFont="1" applyAlignment="1">
      <alignment wrapText="1"/>
    </xf>
    <xf numFmtId="4" fontId="122" fillId="0" borderId="0" xfId="13" applyNumberFormat="1" applyFont="1" applyAlignment="1">
      <alignment horizontal="center"/>
    </xf>
    <xf numFmtId="0" fontId="120" fillId="5" borderId="3" xfId="0" quotePrefix="1" applyFont="1" applyFill="1" applyBorder="1" applyAlignment="1" applyProtection="1">
      <alignment horizontal="left" vertical="center" wrapText="1"/>
      <protection locked="0"/>
    </xf>
    <xf numFmtId="0" fontId="25" fillId="5" borderId="1" xfId="13" applyFont="1" applyFill="1" applyBorder="1" applyAlignment="1">
      <alignment horizontal="center" wrapText="1"/>
    </xf>
    <xf numFmtId="4" fontId="4" fillId="0" borderId="0" xfId="13" applyNumberFormat="1" applyAlignment="1">
      <alignment horizontal="right" vertical="center"/>
    </xf>
    <xf numFmtId="4" fontId="46" fillId="0" borderId="0" xfId="13" applyNumberFormat="1" applyFont="1"/>
    <xf numFmtId="4" fontId="6" fillId="0" borderId="15" xfId="13" applyNumberFormat="1" applyFont="1" applyBorder="1" applyAlignment="1">
      <alignment horizontal="center" wrapText="1"/>
    </xf>
    <xf numFmtId="4" fontId="6" fillId="0" borderId="15" xfId="13" applyNumberFormat="1" applyFont="1" applyBorder="1" applyAlignment="1">
      <alignment horizontal="left" vertical="center" wrapText="1"/>
    </xf>
    <xf numFmtId="4" fontId="59" fillId="0" borderId="15" xfId="13" applyNumberFormat="1" applyFont="1" applyBorder="1" applyAlignment="1">
      <alignment horizontal="left" vertical="top" wrapText="1"/>
    </xf>
    <xf numFmtId="0" fontId="22" fillId="5" borderId="0" xfId="19" applyFont="1" applyFill="1"/>
    <xf numFmtId="0" fontId="22" fillId="5" borderId="0" xfId="19" applyFont="1" applyFill="1" applyAlignment="1">
      <alignment horizontal="left" vertical="top" wrapText="1"/>
    </xf>
    <xf numFmtId="0" fontId="21" fillId="5" borderId="0" xfId="19" applyFont="1" applyFill="1" applyAlignment="1">
      <alignment horizontal="left" vertical="top" wrapText="1"/>
    </xf>
    <xf numFmtId="4" fontId="22" fillId="5" borderId="0" xfId="19" applyNumberFormat="1" applyFont="1" applyFill="1" applyAlignment="1">
      <alignment wrapText="1"/>
    </xf>
    <xf numFmtId="4" fontId="22" fillId="5" borderId="0" xfId="19" applyNumberFormat="1" applyFont="1" applyFill="1"/>
    <xf numFmtId="0" fontId="101" fillId="5" borderId="0" xfId="19" applyFont="1" applyFill="1" applyAlignment="1">
      <alignment horizontal="center"/>
    </xf>
    <xf numFmtId="49" fontId="54" fillId="5" borderId="12" xfId="0" applyNumberFormat="1" applyFont="1" applyFill="1" applyBorder="1" applyAlignment="1" applyProtection="1">
      <alignment horizontal="left" vertical="top" wrapText="1"/>
      <protection locked="0"/>
    </xf>
    <xf numFmtId="49" fontId="54" fillId="5" borderId="18" xfId="0" applyNumberFormat="1" applyFont="1" applyFill="1" applyBorder="1" applyAlignment="1" applyProtection="1">
      <alignment horizontal="left" vertical="top" wrapText="1"/>
      <protection locked="0"/>
    </xf>
    <xf numFmtId="49" fontId="54" fillId="5" borderId="5" xfId="0" applyNumberFormat="1" applyFont="1" applyFill="1" applyBorder="1" applyAlignment="1" applyProtection="1">
      <alignment horizontal="left" vertical="top" wrapText="1"/>
      <protection locked="0"/>
    </xf>
    <xf numFmtId="49" fontId="52" fillId="5" borderId="1" xfId="0" applyNumberFormat="1" applyFont="1" applyFill="1" applyBorder="1" applyAlignment="1" applyProtection="1">
      <alignment horizontal="left" vertical="top" wrapText="1"/>
      <protection locked="0"/>
    </xf>
    <xf numFmtId="49" fontId="34" fillId="6" borderId="1" xfId="0" applyNumberFormat="1" applyFont="1" applyFill="1" applyBorder="1" applyAlignment="1">
      <alignment horizontal="center" vertical="top" wrapText="1"/>
    </xf>
    <xf numFmtId="49" fontId="21" fillId="5" borderId="12" xfId="0" applyNumberFormat="1" applyFont="1" applyFill="1" applyBorder="1" applyAlignment="1" applyProtection="1">
      <alignment horizontal="left" vertical="top" wrapText="1"/>
      <protection locked="0"/>
    </xf>
    <xf numFmtId="49" fontId="21" fillId="5" borderId="5" xfId="0" applyNumberFormat="1" applyFont="1" applyFill="1" applyBorder="1" applyAlignment="1" applyProtection="1">
      <alignment horizontal="left" vertical="top" wrapText="1"/>
      <protection locked="0"/>
    </xf>
    <xf numFmtId="49" fontId="21" fillId="5" borderId="1" xfId="0" applyNumberFormat="1" applyFont="1" applyFill="1" applyBorder="1" applyAlignment="1" applyProtection="1">
      <alignment horizontal="left" vertical="top" wrapText="1"/>
      <protection locked="0"/>
    </xf>
    <xf numFmtId="0" fontId="62" fillId="0" borderId="13" xfId="13" applyFont="1" applyBorder="1" applyAlignment="1">
      <alignment horizontal="right" vertical="top" wrapText="1"/>
    </xf>
    <xf numFmtId="0" fontId="6" fillId="0" borderId="0" xfId="13" applyFont="1" applyAlignment="1">
      <alignment wrapText="1"/>
    </xf>
    <xf numFmtId="0" fontId="6" fillId="0" borderId="0" xfId="13" applyFont="1" applyAlignment="1">
      <alignment vertical="top" wrapText="1"/>
    </xf>
    <xf numFmtId="0" fontId="64" fillId="0" borderId="0" xfId="13" applyFont="1" applyAlignment="1">
      <alignment vertical="top" wrapText="1"/>
    </xf>
    <xf numFmtId="0" fontId="61" fillId="0" borderId="0" xfId="13" applyFont="1" applyAlignment="1">
      <alignment vertical="top" wrapText="1"/>
    </xf>
    <xf numFmtId="0" fontId="6" fillId="0" borderId="13" xfId="13" applyFont="1" applyBorder="1" applyAlignment="1">
      <alignment vertical="top" wrapText="1"/>
    </xf>
    <xf numFmtId="0" fontId="128" fillId="0" borderId="0" xfId="13" applyFont="1" applyAlignment="1">
      <alignment vertical="top" wrapText="1"/>
    </xf>
    <xf numFmtId="0" fontId="92" fillId="0" borderId="0" xfId="13" applyFont="1" applyAlignment="1">
      <alignment vertical="top" wrapText="1"/>
    </xf>
    <xf numFmtId="0" fontId="92" fillId="0" borderId="0" xfId="13" applyFont="1" applyAlignment="1">
      <alignment wrapText="1"/>
    </xf>
    <xf numFmtId="0" fontId="105" fillId="0" borderId="0" xfId="13" applyFont="1" applyAlignment="1">
      <alignment horizontal="justify" vertical="center" wrapText="1"/>
    </xf>
    <xf numFmtId="0" fontId="106" fillId="0" borderId="0" xfId="13" applyFont="1" applyAlignment="1">
      <alignment horizontal="left" vertical="center" wrapText="1"/>
    </xf>
    <xf numFmtId="0" fontId="106" fillId="0" borderId="0" xfId="13" applyFont="1" applyAlignment="1">
      <alignment horizontal="left" vertical="center"/>
    </xf>
    <xf numFmtId="0" fontId="109" fillId="0" borderId="13" xfId="13" applyFont="1" applyBorder="1" applyAlignment="1">
      <alignment horizontal="center" vertical="center" wrapText="1"/>
    </xf>
    <xf numFmtId="0" fontId="21" fillId="5" borderId="20" xfId="10" applyFont="1" applyFill="1" applyBorder="1" applyAlignment="1">
      <alignment horizontal="left" vertical="top"/>
    </xf>
    <xf numFmtId="0" fontId="21" fillId="5" borderId="21" xfId="10" applyFont="1" applyFill="1" applyBorder="1" applyAlignment="1">
      <alignment horizontal="left" vertical="top"/>
    </xf>
    <xf numFmtId="0" fontId="109" fillId="0" borderId="22" xfId="13" applyFont="1" applyBorder="1" applyAlignment="1">
      <alignment horizontal="left" vertical="center" wrapText="1"/>
    </xf>
    <xf numFmtId="0" fontId="7" fillId="0" borderId="0" xfId="13" applyFont="1" applyAlignment="1">
      <alignment vertical="top" wrapText="1"/>
    </xf>
    <xf numFmtId="0" fontId="85" fillId="0" borderId="0" xfId="13" applyFont="1" applyAlignment="1">
      <alignment horizontal="center" vertical="center" wrapText="1"/>
    </xf>
    <xf numFmtId="0" fontId="46" fillId="0" borderId="0" xfId="13" applyFont="1" applyAlignment="1">
      <alignment vertical="top" wrapText="1"/>
    </xf>
    <xf numFmtId="0" fontId="4" fillId="0" borderId="0" xfId="13" applyAlignment="1">
      <alignment horizontal="left" vertical="top" wrapText="1"/>
    </xf>
    <xf numFmtId="0" fontId="4" fillId="5" borderId="0" xfId="13" applyFill="1" applyAlignment="1">
      <alignment horizontal="left" vertical="top" wrapText="1"/>
    </xf>
    <xf numFmtId="0" fontId="84" fillId="0" borderId="0" xfId="13" applyFont="1" applyAlignment="1">
      <alignment horizontal="center" vertical="top" wrapText="1"/>
    </xf>
    <xf numFmtId="0" fontId="122" fillId="0" borderId="0" xfId="13" applyFont="1" applyAlignment="1">
      <alignment horizontal="left" vertical="top" wrapText="1"/>
    </xf>
    <xf numFmtId="0" fontId="83" fillId="0" borderId="0" xfId="13" applyFont="1" applyAlignment="1">
      <alignment horizontal="left" vertical="top" wrapText="1"/>
    </xf>
    <xf numFmtId="0" fontId="49" fillId="0" borderId="0" xfId="13" applyFont="1" applyAlignment="1">
      <alignment horizontal="left" vertical="top" wrapText="1"/>
    </xf>
    <xf numFmtId="0" fontId="46" fillId="0" borderId="0" xfId="13" applyFont="1" applyAlignment="1">
      <alignment horizontal="left" vertical="top" wrapText="1"/>
    </xf>
    <xf numFmtId="0" fontId="100" fillId="0" borderId="0" xfId="13" applyFont="1" applyAlignment="1">
      <alignment horizontal="center" vertical="top" wrapText="1"/>
    </xf>
    <xf numFmtId="0" fontId="43" fillId="0" borderId="0" xfId="13" applyFont="1" applyAlignment="1">
      <alignment horizontal="left" vertical="top" wrapText="1"/>
    </xf>
    <xf numFmtId="0" fontId="85" fillId="0" borderId="0" xfId="13" applyFont="1" applyAlignment="1">
      <alignment horizontal="center" vertical="top" wrapText="1"/>
    </xf>
    <xf numFmtId="0" fontId="4" fillId="0" borderId="0" xfId="13" applyAlignment="1">
      <alignment horizontal="center" wrapText="1"/>
    </xf>
    <xf numFmtId="49" fontId="95" fillId="0" borderId="0" xfId="82" applyNumberFormat="1" applyFont="1" applyAlignment="1">
      <alignment horizontal="left" vertical="top" wrapText="1"/>
    </xf>
    <xf numFmtId="49" fontId="67" fillId="0" borderId="0" xfId="60" applyNumberFormat="1" applyFont="1" applyAlignment="1">
      <alignment horizontal="left" vertical="top" wrapText="1"/>
    </xf>
    <xf numFmtId="49" fontId="67" fillId="0" borderId="0" xfId="60" applyNumberFormat="1" applyFont="1" applyAlignment="1">
      <alignment horizontal="left" vertical="justify" wrapText="1"/>
    </xf>
    <xf numFmtId="0" fontId="95" fillId="0" borderId="0" xfId="83" applyFont="1" applyAlignment="1" applyProtection="1">
      <alignment horizontal="left" vertical="top" wrapText="1"/>
      <protection hidden="1"/>
    </xf>
    <xf numFmtId="0" fontId="95" fillId="0" borderId="0" xfId="84" applyFont="1" applyAlignment="1" applyProtection="1">
      <alignment horizontal="left" vertical="top" wrapText="1"/>
      <protection hidden="1"/>
    </xf>
    <xf numFmtId="0" fontId="95" fillId="0" borderId="0" xfId="35" applyFont="1" applyAlignment="1" applyProtection="1">
      <alignment horizontal="left" vertical="top" wrapText="1"/>
      <protection hidden="1"/>
    </xf>
    <xf numFmtId="0" fontId="95" fillId="0" borderId="0" xfId="85" applyFont="1" applyAlignment="1" applyProtection="1">
      <alignment horizontal="left" vertical="top" wrapText="1"/>
      <protection hidden="1"/>
    </xf>
    <xf numFmtId="49" fontId="67" fillId="0" borderId="0" xfId="60" applyNumberFormat="1" applyFont="1" applyAlignment="1">
      <alignment horizontal="left" vertical="top"/>
    </xf>
    <xf numFmtId="49" fontId="67" fillId="0" borderId="0" xfId="60" applyNumberFormat="1" applyFont="1" applyAlignment="1">
      <alignment vertical="top" wrapText="1"/>
    </xf>
    <xf numFmtId="0" fontId="83" fillId="0" borderId="0" xfId="13" applyFont="1" applyAlignment="1">
      <alignment horizontal="center" vertical="top" wrapText="1"/>
    </xf>
  </cellXfs>
  <cellStyles count="91">
    <cellStyle name="ColStyle4" xfId="1" xr:uid="{00000000-0005-0000-0000-000000000000}"/>
    <cellStyle name="Comma 2" xfId="2" xr:uid="{00000000-0005-0000-0000-000001000000}"/>
    <cellStyle name="Comma 2 2" xfId="3" xr:uid="{00000000-0005-0000-0000-000002000000}"/>
    <cellStyle name="Comma 2 2 2" xfId="4" xr:uid="{00000000-0005-0000-0000-000003000000}"/>
    <cellStyle name="Comma 2 3" xfId="5" xr:uid="{00000000-0005-0000-0000-000004000000}"/>
    <cellStyle name="Comma 2 3 2" xfId="6" xr:uid="{00000000-0005-0000-0000-000005000000}"/>
    <cellStyle name="Comma 2 4" xfId="7" xr:uid="{00000000-0005-0000-0000-000006000000}"/>
    <cellStyle name="Comma 3" xfId="8" xr:uid="{00000000-0005-0000-0000-000007000000}"/>
    <cellStyle name="Comma 4" xfId="86" xr:uid="{00000000-0005-0000-0000-000008000000}"/>
    <cellStyle name="Currency 2" xfId="9" xr:uid="{00000000-0005-0000-0000-000009000000}"/>
    <cellStyle name="Excel Built-in Normal" xfId="10" xr:uid="{00000000-0005-0000-0000-00000A000000}"/>
    <cellStyle name="Excel Built-in Normal 2" xfId="75" xr:uid="{00000000-0005-0000-0000-00000B000000}"/>
    <cellStyle name="kolona C" xfId="11" xr:uid="{00000000-0005-0000-0000-00000C000000}"/>
    <cellStyle name="kolona D" xfId="12" xr:uid="{00000000-0005-0000-0000-00000D000000}"/>
    <cellStyle name="Normal 10" xfId="13" xr:uid="{00000000-0005-0000-0000-00000F000000}"/>
    <cellStyle name="Normal 10 2" xfId="14" xr:uid="{00000000-0005-0000-0000-000010000000}"/>
    <cellStyle name="Normal 10 2 2 3" xfId="66" xr:uid="{00000000-0005-0000-0000-000011000000}"/>
    <cellStyle name="Normal 103" xfId="65" xr:uid="{00000000-0005-0000-0000-000012000000}"/>
    <cellStyle name="Normal 104" xfId="90" xr:uid="{00000000-0005-0000-0000-000013000000}"/>
    <cellStyle name="Normal 105" xfId="89" xr:uid="{00000000-0005-0000-0000-000014000000}"/>
    <cellStyle name="Normal 11" xfId="76" xr:uid="{00000000-0005-0000-0000-000015000000}"/>
    <cellStyle name="Normal 11 2" xfId="15" xr:uid="{00000000-0005-0000-0000-000016000000}"/>
    <cellStyle name="Normal 114" xfId="87" xr:uid="{00000000-0005-0000-0000-000017000000}"/>
    <cellStyle name="Normal 12" xfId="16" xr:uid="{00000000-0005-0000-0000-000018000000}"/>
    <cellStyle name="Normal 13 2" xfId="17" xr:uid="{00000000-0005-0000-0000-000019000000}"/>
    <cellStyle name="Normal 13 2 2" xfId="80" xr:uid="{00000000-0005-0000-0000-00001A000000}"/>
    <cellStyle name="Normal 14" xfId="70" xr:uid="{00000000-0005-0000-0000-00001B000000}"/>
    <cellStyle name="Normal 2" xfId="18" xr:uid="{00000000-0005-0000-0000-00001C000000}"/>
    <cellStyle name="Normal 2 2" xfId="19" xr:uid="{00000000-0005-0000-0000-00001D000000}"/>
    <cellStyle name="Normal 2 2 2" xfId="20" xr:uid="{00000000-0005-0000-0000-00001E000000}"/>
    <cellStyle name="Normal 2 2 3 2" xfId="21" xr:uid="{00000000-0005-0000-0000-00001F000000}"/>
    <cellStyle name="Normal 2 2 4" xfId="22" xr:uid="{00000000-0005-0000-0000-000020000000}"/>
    <cellStyle name="Normal 2 3" xfId="23" xr:uid="{00000000-0005-0000-0000-000021000000}"/>
    <cellStyle name="Normal 2 3 2" xfId="77" xr:uid="{00000000-0005-0000-0000-000022000000}"/>
    <cellStyle name="Normal 2 4" xfId="24" xr:uid="{00000000-0005-0000-0000-000023000000}"/>
    <cellStyle name="Normal 2 4 2" xfId="25" xr:uid="{00000000-0005-0000-0000-000024000000}"/>
    <cellStyle name="Normal 27" xfId="26" xr:uid="{00000000-0005-0000-0000-000025000000}"/>
    <cellStyle name="Normal 3" xfId="27" xr:uid="{00000000-0005-0000-0000-000026000000}"/>
    <cellStyle name="Normal 3 11" xfId="68" xr:uid="{00000000-0005-0000-0000-000027000000}"/>
    <cellStyle name="Normal 3 2" xfId="28" xr:uid="{00000000-0005-0000-0000-000028000000}"/>
    <cellStyle name="Normal 3 2 2" xfId="29" xr:uid="{00000000-0005-0000-0000-000029000000}"/>
    <cellStyle name="Normal 3 2 3" xfId="88" xr:uid="{00000000-0005-0000-0000-00002A000000}"/>
    <cellStyle name="Normal 3 9" xfId="71" xr:uid="{00000000-0005-0000-0000-00002B000000}"/>
    <cellStyle name="Normal 4" xfId="30" xr:uid="{00000000-0005-0000-0000-00002C000000}"/>
    <cellStyle name="Normal 4 2 2" xfId="31" xr:uid="{00000000-0005-0000-0000-00002D000000}"/>
    <cellStyle name="Normal 5" xfId="32" xr:uid="{00000000-0005-0000-0000-00002E000000}"/>
    <cellStyle name="Normal 5 2" xfId="33" xr:uid="{00000000-0005-0000-0000-00002F000000}"/>
    <cellStyle name="Normal 52" xfId="83" xr:uid="{00000000-0005-0000-0000-000030000000}"/>
    <cellStyle name="Normal 53" xfId="84" xr:uid="{00000000-0005-0000-0000-000031000000}"/>
    <cellStyle name="Normal 54" xfId="34" xr:uid="{00000000-0005-0000-0000-000032000000}"/>
    <cellStyle name="Normal 55" xfId="35" xr:uid="{00000000-0005-0000-0000-000033000000}"/>
    <cellStyle name="Normal 56" xfId="85" xr:uid="{00000000-0005-0000-0000-000034000000}"/>
    <cellStyle name="Normal 57" xfId="36" xr:uid="{00000000-0005-0000-0000-000035000000}"/>
    <cellStyle name="Normal 6" xfId="37" xr:uid="{00000000-0005-0000-0000-000036000000}"/>
    <cellStyle name="Normal 7" xfId="38" xr:uid="{00000000-0005-0000-0000-000037000000}"/>
    <cellStyle name="Normal 7 2" xfId="39" xr:uid="{00000000-0005-0000-0000-000038000000}"/>
    <cellStyle name="Normal 8" xfId="72" xr:uid="{00000000-0005-0000-0000-000039000000}"/>
    <cellStyle name="Normal 8 2" xfId="40" xr:uid="{00000000-0005-0000-0000-00003A000000}"/>
    <cellStyle name="Normal 9" xfId="41" xr:uid="{00000000-0005-0000-0000-00003B000000}"/>
    <cellStyle name="Normal_TROSKOVNIK-revizija2" xfId="79" xr:uid="{00000000-0005-0000-0000-00003C000000}"/>
    <cellStyle name="Normal_TROŠKOVNIK - KAM - ŽUTO" xfId="81" xr:uid="{00000000-0005-0000-0000-00003D000000}"/>
    <cellStyle name="Normal1" xfId="42" xr:uid="{00000000-0005-0000-0000-00003E000000}"/>
    <cellStyle name="Normalno" xfId="0" builtinId="0"/>
    <cellStyle name="Normalno 2" xfId="43" xr:uid="{00000000-0005-0000-0000-00003F000000}"/>
    <cellStyle name="Normalno 2 2" xfId="44" xr:uid="{00000000-0005-0000-0000-000040000000}"/>
    <cellStyle name="Normalno 2 2 2" xfId="74" xr:uid="{00000000-0005-0000-0000-000041000000}"/>
    <cellStyle name="Normalno 2 3" xfId="73" xr:uid="{00000000-0005-0000-0000-000042000000}"/>
    <cellStyle name="Normalno 3" xfId="45" xr:uid="{00000000-0005-0000-0000-000043000000}"/>
    <cellStyle name="Normalno 3 2" xfId="46" xr:uid="{00000000-0005-0000-0000-000044000000}"/>
    <cellStyle name="Normalno 4" xfId="47" xr:uid="{00000000-0005-0000-0000-000045000000}"/>
    <cellStyle name="Normalno 5" xfId="48" xr:uid="{00000000-0005-0000-0000-000046000000}"/>
    <cellStyle name="Normalno 6" xfId="67" xr:uid="{00000000-0005-0000-0000-000047000000}"/>
    <cellStyle name="Normalno 9 2" xfId="78" xr:uid="{00000000-0005-0000-0000-000048000000}"/>
    <cellStyle name="Normalvk" xfId="49" xr:uid="{00000000-0005-0000-0000-000049000000}"/>
    <cellStyle name="Obično 10" xfId="50" xr:uid="{00000000-0005-0000-0000-00004A000000}"/>
    <cellStyle name="Obično 10 2" xfId="51" xr:uid="{00000000-0005-0000-0000-00004B000000}"/>
    <cellStyle name="Obično 2" xfId="52" xr:uid="{00000000-0005-0000-0000-00004C000000}"/>
    <cellStyle name="Obično 2 2" xfId="82" xr:uid="{00000000-0005-0000-0000-00004D000000}"/>
    <cellStyle name="Obično 3" xfId="53" xr:uid="{00000000-0005-0000-0000-00004E000000}"/>
    <cellStyle name="Obično 5 15" xfId="54" xr:uid="{00000000-0005-0000-0000-00004F000000}"/>
    <cellStyle name="Obično_L A V - OBJEKT   E" xfId="69" xr:uid="{00000000-0005-0000-0000-000050000000}"/>
    <cellStyle name="Percent 2" xfId="55" xr:uid="{00000000-0005-0000-0000-000051000000}"/>
    <cellStyle name="PREDG" xfId="56" xr:uid="{00000000-0005-0000-0000-000052000000}"/>
    <cellStyle name="REKAPITULACIJA" xfId="57" xr:uid="{00000000-0005-0000-0000-000053000000}"/>
    <cellStyle name="REKAPITULACIJA 2" xfId="58" xr:uid="{00000000-0005-0000-0000-000054000000}"/>
    <cellStyle name="STAVKE" xfId="59" xr:uid="{00000000-0005-0000-0000-000055000000}"/>
    <cellStyle name="Stil 1" xfId="60" xr:uid="{00000000-0005-0000-0000-000056000000}"/>
    <cellStyle name="Style 1" xfId="61" xr:uid="{00000000-0005-0000-0000-000057000000}"/>
    <cellStyle name="Style 1 2" xfId="62" xr:uid="{00000000-0005-0000-0000-000058000000}"/>
    <cellStyle name="Zarez 2" xfId="63" xr:uid="{00000000-0005-0000-0000-000059000000}"/>
    <cellStyle name="Zarez 3 23" xfId="64" xr:uid="{00000000-0005-0000-0000-00005A000000}"/>
  </cellStyles>
  <dxfs count="24">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5.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719</xdr:row>
      <xdr:rowOff>0</xdr:rowOff>
    </xdr:from>
    <xdr:to>
      <xdr:col>3</xdr:col>
      <xdr:colOff>478972</xdr:colOff>
      <xdr:row>720</xdr:row>
      <xdr:rowOff>159596</xdr:rowOff>
    </xdr:to>
    <xdr:sp macro="" textlink="">
      <xdr:nvSpPr>
        <xdr:cNvPr id="27722" name="Text Box 5">
          <a:extLst>
            <a:ext uri="{FF2B5EF4-FFF2-40B4-BE49-F238E27FC236}">
              <a16:creationId xmlns:a16="http://schemas.microsoft.com/office/drawing/2014/main" id="{00000000-0008-0000-0100-00004A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23" name="Text Box 6">
          <a:extLst>
            <a:ext uri="{FF2B5EF4-FFF2-40B4-BE49-F238E27FC236}">
              <a16:creationId xmlns:a16="http://schemas.microsoft.com/office/drawing/2014/main" id="{00000000-0008-0000-0100-00004B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24" name="Text Box 7">
          <a:extLst>
            <a:ext uri="{FF2B5EF4-FFF2-40B4-BE49-F238E27FC236}">
              <a16:creationId xmlns:a16="http://schemas.microsoft.com/office/drawing/2014/main" id="{00000000-0008-0000-0100-00004C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25" name="Text Box 8">
          <a:extLst>
            <a:ext uri="{FF2B5EF4-FFF2-40B4-BE49-F238E27FC236}">
              <a16:creationId xmlns:a16="http://schemas.microsoft.com/office/drawing/2014/main" id="{00000000-0008-0000-0100-00004D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26" name="Text Box 9">
          <a:extLst>
            <a:ext uri="{FF2B5EF4-FFF2-40B4-BE49-F238E27FC236}">
              <a16:creationId xmlns:a16="http://schemas.microsoft.com/office/drawing/2014/main" id="{00000000-0008-0000-0100-00004E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27" name="Text Box 10">
          <a:extLst>
            <a:ext uri="{FF2B5EF4-FFF2-40B4-BE49-F238E27FC236}">
              <a16:creationId xmlns:a16="http://schemas.microsoft.com/office/drawing/2014/main" id="{00000000-0008-0000-0100-00004F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28" name="Text Box 11">
          <a:extLst>
            <a:ext uri="{FF2B5EF4-FFF2-40B4-BE49-F238E27FC236}">
              <a16:creationId xmlns:a16="http://schemas.microsoft.com/office/drawing/2014/main" id="{00000000-0008-0000-0100-000050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29" name="Text Box 12">
          <a:extLst>
            <a:ext uri="{FF2B5EF4-FFF2-40B4-BE49-F238E27FC236}">
              <a16:creationId xmlns:a16="http://schemas.microsoft.com/office/drawing/2014/main" id="{00000000-0008-0000-0100-000051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0" name="Text Box 13">
          <a:extLst>
            <a:ext uri="{FF2B5EF4-FFF2-40B4-BE49-F238E27FC236}">
              <a16:creationId xmlns:a16="http://schemas.microsoft.com/office/drawing/2014/main" id="{00000000-0008-0000-0100-000052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625385</xdr:colOff>
      <xdr:row>720</xdr:row>
      <xdr:rowOff>159596</xdr:rowOff>
    </xdr:to>
    <xdr:sp macro="" textlink="">
      <xdr:nvSpPr>
        <xdr:cNvPr id="27731" name="Text Box 14">
          <a:extLst>
            <a:ext uri="{FF2B5EF4-FFF2-40B4-BE49-F238E27FC236}">
              <a16:creationId xmlns:a16="http://schemas.microsoft.com/office/drawing/2014/main" id="{00000000-0008-0000-0100-0000536C0000}"/>
            </a:ext>
          </a:extLst>
        </xdr:cNvPr>
        <xdr:cNvSpPr txBox="1">
          <a:spLocks noChangeArrowheads="1"/>
        </xdr:cNvSpPr>
      </xdr:nvSpPr>
      <xdr:spPr bwMode="auto">
        <a:xfrm>
          <a:off x="3901109" y="25688510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2" name="Text Box 15">
          <a:extLst>
            <a:ext uri="{FF2B5EF4-FFF2-40B4-BE49-F238E27FC236}">
              <a16:creationId xmlns:a16="http://schemas.microsoft.com/office/drawing/2014/main" id="{00000000-0008-0000-0100-000054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3" name="Text Box 16">
          <a:extLst>
            <a:ext uri="{FF2B5EF4-FFF2-40B4-BE49-F238E27FC236}">
              <a16:creationId xmlns:a16="http://schemas.microsoft.com/office/drawing/2014/main" id="{00000000-0008-0000-0100-000055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4" name="Text Box 17">
          <a:extLst>
            <a:ext uri="{FF2B5EF4-FFF2-40B4-BE49-F238E27FC236}">
              <a16:creationId xmlns:a16="http://schemas.microsoft.com/office/drawing/2014/main" id="{00000000-0008-0000-0100-000056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5" name="Text Box 18">
          <a:extLst>
            <a:ext uri="{FF2B5EF4-FFF2-40B4-BE49-F238E27FC236}">
              <a16:creationId xmlns:a16="http://schemas.microsoft.com/office/drawing/2014/main" id="{00000000-0008-0000-0100-000057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6" name="Text Box 19">
          <a:extLst>
            <a:ext uri="{FF2B5EF4-FFF2-40B4-BE49-F238E27FC236}">
              <a16:creationId xmlns:a16="http://schemas.microsoft.com/office/drawing/2014/main" id="{00000000-0008-0000-0100-000058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7" name="Text Box 20">
          <a:extLst>
            <a:ext uri="{FF2B5EF4-FFF2-40B4-BE49-F238E27FC236}">
              <a16:creationId xmlns:a16="http://schemas.microsoft.com/office/drawing/2014/main" id="{00000000-0008-0000-0100-000059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8" name="Text Box 21">
          <a:extLst>
            <a:ext uri="{FF2B5EF4-FFF2-40B4-BE49-F238E27FC236}">
              <a16:creationId xmlns:a16="http://schemas.microsoft.com/office/drawing/2014/main" id="{00000000-0008-0000-0100-00005A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39" name="Text Box 22">
          <a:extLst>
            <a:ext uri="{FF2B5EF4-FFF2-40B4-BE49-F238E27FC236}">
              <a16:creationId xmlns:a16="http://schemas.microsoft.com/office/drawing/2014/main" id="{00000000-0008-0000-0100-00005B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40" name="Text Box 7">
          <a:extLst>
            <a:ext uri="{FF2B5EF4-FFF2-40B4-BE49-F238E27FC236}">
              <a16:creationId xmlns:a16="http://schemas.microsoft.com/office/drawing/2014/main" id="{00000000-0008-0000-0100-00005C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41" name="Text Box 8">
          <a:extLst>
            <a:ext uri="{FF2B5EF4-FFF2-40B4-BE49-F238E27FC236}">
              <a16:creationId xmlns:a16="http://schemas.microsoft.com/office/drawing/2014/main" id="{00000000-0008-0000-0100-00005D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42" name="Text Box 9">
          <a:extLst>
            <a:ext uri="{FF2B5EF4-FFF2-40B4-BE49-F238E27FC236}">
              <a16:creationId xmlns:a16="http://schemas.microsoft.com/office/drawing/2014/main" id="{00000000-0008-0000-0100-00005E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43" name="Text Box 10">
          <a:extLst>
            <a:ext uri="{FF2B5EF4-FFF2-40B4-BE49-F238E27FC236}">
              <a16:creationId xmlns:a16="http://schemas.microsoft.com/office/drawing/2014/main" id="{00000000-0008-0000-0100-00005F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44" name="Text Box 11">
          <a:extLst>
            <a:ext uri="{FF2B5EF4-FFF2-40B4-BE49-F238E27FC236}">
              <a16:creationId xmlns:a16="http://schemas.microsoft.com/office/drawing/2014/main" id="{00000000-0008-0000-0100-000060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45" name="Text Box 12">
          <a:extLst>
            <a:ext uri="{FF2B5EF4-FFF2-40B4-BE49-F238E27FC236}">
              <a16:creationId xmlns:a16="http://schemas.microsoft.com/office/drawing/2014/main" id="{00000000-0008-0000-0100-000061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46" name="Text Box 13">
          <a:extLst>
            <a:ext uri="{FF2B5EF4-FFF2-40B4-BE49-F238E27FC236}">
              <a16:creationId xmlns:a16="http://schemas.microsoft.com/office/drawing/2014/main" id="{00000000-0008-0000-0100-000062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625385</xdr:colOff>
      <xdr:row>720</xdr:row>
      <xdr:rowOff>159596</xdr:rowOff>
    </xdr:to>
    <xdr:sp macro="" textlink="">
      <xdr:nvSpPr>
        <xdr:cNvPr id="27747" name="Text Box 14">
          <a:extLst>
            <a:ext uri="{FF2B5EF4-FFF2-40B4-BE49-F238E27FC236}">
              <a16:creationId xmlns:a16="http://schemas.microsoft.com/office/drawing/2014/main" id="{00000000-0008-0000-0100-0000636C0000}"/>
            </a:ext>
          </a:extLst>
        </xdr:cNvPr>
        <xdr:cNvSpPr txBox="1">
          <a:spLocks noChangeArrowheads="1"/>
        </xdr:cNvSpPr>
      </xdr:nvSpPr>
      <xdr:spPr bwMode="auto">
        <a:xfrm>
          <a:off x="3901109" y="25688510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159596</xdr:rowOff>
    </xdr:to>
    <xdr:sp macro="" textlink="">
      <xdr:nvSpPr>
        <xdr:cNvPr id="27748" name="Text Box 15">
          <a:extLst>
            <a:ext uri="{FF2B5EF4-FFF2-40B4-BE49-F238E27FC236}">
              <a16:creationId xmlns:a16="http://schemas.microsoft.com/office/drawing/2014/main" id="{00000000-0008-0000-0100-0000646C0000}"/>
            </a:ext>
          </a:extLst>
        </xdr:cNvPr>
        <xdr:cNvSpPr txBox="1">
          <a:spLocks noChangeArrowheads="1"/>
        </xdr:cNvSpPr>
      </xdr:nvSpPr>
      <xdr:spPr bwMode="auto">
        <a:xfrm>
          <a:off x="3901109" y="256885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96729</xdr:rowOff>
    </xdr:to>
    <xdr:sp macro="" textlink="">
      <xdr:nvSpPr>
        <xdr:cNvPr id="27749" name="Text Box 5">
          <a:extLst>
            <a:ext uri="{FF2B5EF4-FFF2-40B4-BE49-F238E27FC236}">
              <a16:creationId xmlns:a16="http://schemas.microsoft.com/office/drawing/2014/main" id="{00000000-0008-0000-0100-0000656C0000}"/>
            </a:ext>
          </a:extLst>
        </xdr:cNvPr>
        <xdr:cNvSpPr txBox="1">
          <a:spLocks noChangeArrowheads="1"/>
        </xdr:cNvSpPr>
      </xdr:nvSpPr>
      <xdr:spPr bwMode="auto">
        <a:xfrm>
          <a:off x="3901109" y="256885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1268</xdr:rowOff>
    </xdr:to>
    <xdr:sp macro="" textlink="">
      <xdr:nvSpPr>
        <xdr:cNvPr id="27750" name="Text Box 6">
          <a:extLst>
            <a:ext uri="{FF2B5EF4-FFF2-40B4-BE49-F238E27FC236}">
              <a16:creationId xmlns:a16="http://schemas.microsoft.com/office/drawing/2014/main" id="{00000000-0008-0000-0100-0000666C0000}"/>
            </a:ext>
          </a:extLst>
        </xdr:cNvPr>
        <xdr:cNvSpPr txBox="1">
          <a:spLocks noChangeArrowheads="1"/>
        </xdr:cNvSpPr>
      </xdr:nvSpPr>
      <xdr:spPr bwMode="auto">
        <a:xfrm>
          <a:off x="3901109" y="2568851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51" name="Text Box 7">
          <a:extLst>
            <a:ext uri="{FF2B5EF4-FFF2-40B4-BE49-F238E27FC236}">
              <a16:creationId xmlns:a16="http://schemas.microsoft.com/office/drawing/2014/main" id="{00000000-0008-0000-0100-000067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52" name="Text Box 8">
          <a:extLst>
            <a:ext uri="{FF2B5EF4-FFF2-40B4-BE49-F238E27FC236}">
              <a16:creationId xmlns:a16="http://schemas.microsoft.com/office/drawing/2014/main" id="{00000000-0008-0000-0100-000068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53" name="Text Box 9">
          <a:extLst>
            <a:ext uri="{FF2B5EF4-FFF2-40B4-BE49-F238E27FC236}">
              <a16:creationId xmlns:a16="http://schemas.microsoft.com/office/drawing/2014/main" id="{00000000-0008-0000-0100-000069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54" name="Text Box 10">
          <a:extLst>
            <a:ext uri="{FF2B5EF4-FFF2-40B4-BE49-F238E27FC236}">
              <a16:creationId xmlns:a16="http://schemas.microsoft.com/office/drawing/2014/main" id="{00000000-0008-0000-0100-00006A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55" name="Text Box 11">
          <a:extLst>
            <a:ext uri="{FF2B5EF4-FFF2-40B4-BE49-F238E27FC236}">
              <a16:creationId xmlns:a16="http://schemas.microsoft.com/office/drawing/2014/main" id="{00000000-0008-0000-0100-00006B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56" name="Text Box 12">
          <a:extLst>
            <a:ext uri="{FF2B5EF4-FFF2-40B4-BE49-F238E27FC236}">
              <a16:creationId xmlns:a16="http://schemas.microsoft.com/office/drawing/2014/main" id="{00000000-0008-0000-0100-00006C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57" name="Text Box 13">
          <a:extLst>
            <a:ext uri="{FF2B5EF4-FFF2-40B4-BE49-F238E27FC236}">
              <a16:creationId xmlns:a16="http://schemas.microsoft.com/office/drawing/2014/main" id="{00000000-0008-0000-0100-00006D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625385</xdr:colOff>
      <xdr:row>720</xdr:row>
      <xdr:rowOff>159593</xdr:rowOff>
    </xdr:to>
    <xdr:sp macro="" textlink="">
      <xdr:nvSpPr>
        <xdr:cNvPr id="27758" name="Text Box 14">
          <a:extLst>
            <a:ext uri="{FF2B5EF4-FFF2-40B4-BE49-F238E27FC236}">
              <a16:creationId xmlns:a16="http://schemas.microsoft.com/office/drawing/2014/main" id="{00000000-0008-0000-0100-00006E6C0000}"/>
            </a:ext>
          </a:extLst>
        </xdr:cNvPr>
        <xdr:cNvSpPr txBox="1">
          <a:spLocks noChangeArrowheads="1"/>
        </xdr:cNvSpPr>
      </xdr:nvSpPr>
      <xdr:spPr bwMode="auto">
        <a:xfrm>
          <a:off x="3901109" y="25688510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59" name="Text Box 15">
          <a:extLst>
            <a:ext uri="{FF2B5EF4-FFF2-40B4-BE49-F238E27FC236}">
              <a16:creationId xmlns:a16="http://schemas.microsoft.com/office/drawing/2014/main" id="{00000000-0008-0000-0100-00006F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96729</xdr:rowOff>
    </xdr:to>
    <xdr:sp macro="" textlink="">
      <xdr:nvSpPr>
        <xdr:cNvPr id="27760" name="Text Box 16">
          <a:extLst>
            <a:ext uri="{FF2B5EF4-FFF2-40B4-BE49-F238E27FC236}">
              <a16:creationId xmlns:a16="http://schemas.microsoft.com/office/drawing/2014/main" id="{00000000-0008-0000-0100-0000706C0000}"/>
            </a:ext>
          </a:extLst>
        </xdr:cNvPr>
        <xdr:cNvSpPr txBox="1">
          <a:spLocks noChangeArrowheads="1"/>
        </xdr:cNvSpPr>
      </xdr:nvSpPr>
      <xdr:spPr bwMode="auto">
        <a:xfrm>
          <a:off x="3901109" y="256885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96729</xdr:rowOff>
    </xdr:to>
    <xdr:sp macro="" textlink="">
      <xdr:nvSpPr>
        <xdr:cNvPr id="27761" name="Text Box 17">
          <a:extLst>
            <a:ext uri="{FF2B5EF4-FFF2-40B4-BE49-F238E27FC236}">
              <a16:creationId xmlns:a16="http://schemas.microsoft.com/office/drawing/2014/main" id="{00000000-0008-0000-0100-0000716C0000}"/>
            </a:ext>
          </a:extLst>
        </xdr:cNvPr>
        <xdr:cNvSpPr txBox="1">
          <a:spLocks noChangeArrowheads="1"/>
        </xdr:cNvSpPr>
      </xdr:nvSpPr>
      <xdr:spPr bwMode="auto">
        <a:xfrm>
          <a:off x="3901109" y="256885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96729</xdr:rowOff>
    </xdr:to>
    <xdr:sp macro="" textlink="">
      <xdr:nvSpPr>
        <xdr:cNvPr id="27762" name="Text Box 18">
          <a:extLst>
            <a:ext uri="{FF2B5EF4-FFF2-40B4-BE49-F238E27FC236}">
              <a16:creationId xmlns:a16="http://schemas.microsoft.com/office/drawing/2014/main" id="{00000000-0008-0000-0100-0000726C0000}"/>
            </a:ext>
          </a:extLst>
        </xdr:cNvPr>
        <xdr:cNvSpPr txBox="1">
          <a:spLocks noChangeArrowheads="1"/>
        </xdr:cNvSpPr>
      </xdr:nvSpPr>
      <xdr:spPr bwMode="auto">
        <a:xfrm>
          <a:off x="3901109" y="256885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96729</xdr:rowOff>
    </xdr:to>
    <xdr:sp macro="" textlink="">
      <xdr:nvSpPr>
        <xdr:cNvPr id="27763" name="Text Box 19">
          <a:extLst>
            <a:ext uri="{FF2B5EF4-FFF2-40B4-BE49-F238E27FC236}">
              <a16:creationId xmlns:a16="http://schemas.microsoft.com/office/drawing/2014/main" id="{00000000-0008-0000-0100-0000736C0000}"/>
            </a:ext>
          </a:extLst>
        </xdr:cNvPr>
        <xdr:cNvSpPr txBox="1">
          <a:spLocks noChangeArrowheads="1"/>
        </xdr:cNvSpPr>
      </xdr:nvSpPr>
      <xdr:spPr bwMode="auto">
        <a:xfrm>
          <a:off x="3901109" y="256885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96729</xdr:rowOff>
    </xdr:to>
    <xdr:sp macro="" textlink="">
      <xdr:nvSpPr>
        <xdr:cNvPr id="27764" name="Text Box 20">
          <a:extLst>
            <a:ext uri="{FF2B5EF4-FFF2-40B4-BE49-F238E27FC236}">
              <a16:creationId xmlns:a16="http://schemas.microsoft.com/office/drawing/2014/main" id="{00000000-0008-0000-0100-0000746C0000}"/>
            </a:ext>
          </a:extLst>
        </xdr:cNvPr>
        <xdr:cNvSpPr txBox="1">
          <a:spLocks noChangeArrowheads="1"/>
        </xdr:cNvSpPr>
      </xdr:nvSpPr>
      <xdr:spPr bwMode="auto">
        <a:xfrm>
          <a:off x="3901109" y="256885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96729</xdr:rowOff>
    </xdr:to>
    <xdr:sp macro="" textlink="">
      <xdr:nvSpPr>
        <xdr:cNvPr id="27765" name="Text Box 21">
          <a:extLst>
            <a:ext uri="{FF2B5EF4-FFF2-40B4-BE49-F238E27FC236}">
              <a16:creationId xmlns:a16="http://schemas.microsoft.com/office/drawing/2014/main" id="{00000000-0008-0000-0100-0000756C0000}"/>
            </a:ext>
          </a:extLst>
        </xdr:cNvPr>
        <xdr:cNvSpPr txBox="1">
          <a:spLocks noChangeArrowheads="1"/>
        </xdr:cNvSpPr>
      </xdr:nvSpPr>
      <xdr:spPr bwMode="auto">
        <a:xfrm>
          <a:off x="3901109" y="256885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1268</xdr:rowOff>
    </xdr:to>
    <xdr:sp macro="" textlink="">
      <xdr:nvSpPr>
        <xdr:cNvPr id="27766" name="Text Box 22">
          <a:extLst>
            <a:ext uri="{FF2B5EF4-FFF2-40B4-BE49-F238E27FC236}">
              <a16:creationId xmlns:a16="http://schemas.microsoft.com/office/drawing/2014/main" id="{00000000-0008-0000-0100-0000766C0000}"/>
            </a:ext>
          </a:extLst>
        </xdr:cNvPr>
        <xdr:cNvSpPr txBox="1">
          <a:spLocks noChangeArrowheads="1"/>
        </xdr:cNvSpPr>
      </xdr:nvSpPr>
      <xdr:spPr bwMode="auto">
        <a:xfrm>
          <a:off x="3901109" y="2568851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67" name="Text Box 7">
          <a:extLst>
            <a:ext uri="{FF2B5EF4-FFF2-40B4-BE49-F238E27FC236}">
              <a16:creationId xmlns:a16="http://schemas.microsoft.com/office/drawing/2014/main" id="{00000000-0008-0000-0100-000077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68" name="Text Box 8">
          <a:extLst>
            <a:ext uri="{FF2B5EF4-FFF2-40B4-BE49-F238E27FC236}">
              <a16:creationId xmlns:a16="http://schemas.microsoft.com/office/drawing/2014/main" id="{00000000-0008-0000-0100-000078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69" name="Text Box 9">
          <a:extLst>
            <a:ext uri="{FF2B5EF4-FFF2-40B4-BE49-F238E27FC236}">
              <a16:creationId xmlns:a16="http://schemas.microsoft.com/office/drawing/2014/main" id="{00000000-0008-0000-0100-000079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70" name="Text Box 10">
          <a:extLst>
            <a:ext uri="{FF2B5EF4-FFF2-40B4-BE49-F238E27FC236}">
              <a16:creationId xmlns:a16="http://schemas.microsoft.com/office/drawing/2014/main" id="{00000000-0008-0000-0100-00007A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71" name="Text Box 11">
          <a:extLst>
            <a:ext uri="{FF2B5EF4-FFF2-40B4-BE49-F238E27FC236}">
              <a16:creationId xmlns:a16="http://schemas.microsoft.com/office/drawing/2014/main" id="{00000000-0008-0000-0100-00007B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72" name="Text Box 12">
          <a:extLst>
            <a:ext uri="{FF2B5EF4-FFF2-40B4-BE49-F238E27FC236}">
              <a16:creationId xmlns:a16="http://schemas.microsoft.com/office/drawing/2014/main" id="{00000000-0008-0000-0100-00007C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73" name="Text Box 13">
          <a:extLst>
            <a:ext uri="{FF2B5EF4-FFF2-40B4-BE49-F238E27FC236}">
              <a16:creationId xmlns:a16="http://schemas.microsoft.com/office/drawing/2014/main" id="{00000000-0008-0000-0100-00007D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625385</xdr:colOff>
      <xdr:row>720</xdr:row>
      <xdr:rowOff>159593</xdr:rowOff>
    </xdr:to>
    <xdr:sp macro="" textlink="">
      <xdr:nvSpPr>
        <xdr:cNvPr id="27774" name="Text Box 14">
          <a:extLst>
            <a:ext uri="{FF2B5EF4-FFF2-40B4-BE49-F238E27FC236}">
              <a16:creationId xmlns:a16="http://schemas.microsoft.com/office/drawing/2014/main" id="{00000000-0008-0000-0100-00007E6C0000}"/>
            </a:ext>
          </a:extLst>
        </xdr:cNvPr>
        <xdr:cNvSpPr txBox="1">
          <a:spLocks noChangeArrowheads="1"/>
        </xdr:cNvSpPr>
      </xdr:nvSpPr>
      <xdr:spPr bwMode="auto">
        <a:xfrm>
          <a:off x="3901109" y="25688510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720</xdr:row>
      <xdr:rowOff>159593</xdr:rowOff>
    </xdr:to>
    <xdr:sp macro="" textlink="">
      <xdr:nvSpPr>
        <xdr:cNvPr id="27775" name="Text Box 15">
          <a:extLst>
            <a:ext uri="{FF2B5EF4-FFF2-40B4-BE49-F238E27FC236}">
              <a16:creationId xmlns:a16="http://schemas.microsoft.com/office/drawing/2014/main" id="{00000000-0008-0000-0100-00007F6C0000}"/>
            </a:ext>
          </a:extLst>
        </xdr:cNvPr>
        <xdr:cNvSpPr txBox="1">
          <a:spLocks noChangeArrowheads="1"/>
        </xdr:cNvSpPr>
      </xdr:nvSpPr>
      <xdr:spPr bwMode="auto">
        <a:xfrm>
          <a:off x="3901109" y="256885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76" name="Text Box 5">
          <a:extLst>
            <a:ext uri="{FF2B5EF4-FFF2-40B4-BE49-F238E27FC236}">
              <a16:creationId xmlns:a16="http://schemas.microsoft.com/office/drawing/2014/main" id="{00000000-0008-0000-0100-000080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77" name="Text Box 6">
          <a:extLst>
            <a:ext uri="{FF2B5EF4-FFF2-40B4-BE49-F238E27FC236}">
              <a16:creationId xmlns:a16="http://schemas.microsoft.com/office/drawing/2014/main" id="{00000000-0008-0000-0100-0000816C0000}"/>
            </a:ext>
          </a:extLst>
        </xdr:cNvPr>
        <xdr:cNvSpPr txBox="1">
          <a:spLocks noChangeArrowheads="1"/>
        </xdr:cNvSpPr>
      </xdr:nvSpPr>
      <xdr:spPr bwMode="auto">
        <a:xfrm>
          <a:off x="3901109" y="256885109"/>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78" name="Text Box 7">
          <a:extLst>
            <a:ext uri="{FF2B5EF4-FFF2-40B4-BE49-F238E27FC236}">
              <a16:creationId xmlns:a16="http://schemas.microsoft.com/office/drawing/2014/main" id="{00000000-0008-0000-0100-000082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79" name="Text Box 8">
          <a:extLst>
            <a:ext uri="{FF2B5EF4-FFF2-40B4-BE49-F238E27FC236}">
              <a16:creationId xmlns:a16="http://schemas.microsoft.com/office/drawing/2014/main" id="{00000000-0008-0000-0100-000083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0" name="Text Box 9">
          <a:extLst>
            <a:ext uri="{FF2B5EF4-FFF2-40B4-BE49-F238E27FC236}">
              <a16:creationId xmlns:a16="http://schemas.microsoft.com/office/drawing/2014/main" id="{00000000-0008-0000-0100-000084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1" name="Text Box 10">
          <a:extLst>
            <a:ext uri="{FF2B5EF4-FFF2-40B4-BE49-F238E27FC236}">
              <a16:creationId xmlns:a16="http://schemas.microsoft.com/office/drawing/2014/main" id="{00000000-0008-0000-0100-000085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2" name="Text Box 11">
          <a:extLst>
            <a:ext uri="{FF2B5EF4-FFF2-40B4-BE49-F238E27FC236}">
              <a16:creationId xmlns:a16="http://schemas.microsoft.com/office/drawing/2014/main" id="{00000000-0008-0000-0100-000086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3" name="Text Box 12">
          <a:extLst>
            <a:ext uri="{FF2B5EF4-FFF2-40B4-BE49-F238E27FC236}">
              <a16:creationId xmlns:a16="http://schemas.microsoft.com/office/drawing/2014/main" id="{00000000-0008-0000-0100-000087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4" name="Text Box 13">
          <a:extLst>
            <a:ext uri="{FF2B5EF4-FFF2-40B4-BE49-F238E27FC236}">
              <a16:creationId xmlns:a16="http://schemas.microsoft.com/office/drawing/2014/main" id="{00000000-0008-0000-0100-000088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625385</xdr:colOff>
      <xdr:row>724</xdr:row>
      <xdr:rowOff>308097</xdr:rowOff>
    </xdr:to>
    <xdr:sp macro="" textlink="">
      <xdr:nvSpPr>
        <xdr:cNvPr id="27785" name="Text Box 14">
          <a:extLst>
            <a:ext uri="{FF2B5EF4-FFF2-40B4-BE49-F238E27FC236}">
              <a16:creationId xmlns:a16="http://schemas.microsoft.com/office/drawing/2014/main" id="{00000000-0008-0000-0100-0000896C0000}"/>
            </a:ext>
          </a:extLst>
        </xdr:cNvPr>
        <xdr:cNvSpPr txBox="1">
          <a:spLocks noChangeArrowheads="1"/>
        </xdr:cNvSpPr>
      </xdr:nvSpPr>
      <xdr:spPr bwMode="auto">
        <a:xfrm>
          <a:off x="3901109" y="256885109"/>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6" name="Text Box 15">
          <a:extLst>
            <a:ext uri="{FF2B5EF4-FFF2-40B4-BE49-F238E27FC236}">
              <a16:creationId xmlns:a16="http://schemas.microsoft.com/office/drawing/2014/main" id="{00000000-0008-0000-0100-00008A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7" name="Text Box 16">
          <a:extLst>
            <a:ext uri="{FF2B5EF4-FFF2-40B4-BE49-F238E27FC236}">
              <a16:creationId xmlns:a16="http://schemas.microsoft.com/office/drawing/2014/main" id="{00000000-0008-0000-0100-00008B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8" name="Text Box 17">
          <a:extLst>
            <a:ext uri="{FF2B5EF4-FFF2-40B4-BE49-F238E27FC236}">
              <a16:creationId xmlns:a16="http://schemas.microsoft.com/office/drawing/2014/main" id="{00000000-0008-0000-0100-00008C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89" name="Text Box 18">
          <a:extLst>
            <a:ext uri="{FF2B5EF4-FFF2-40B4-BE49-F238E27FC236}">
              <a16:creationId xmlns:a16="http://schemas.microsoft.com/office/drawing/2014/main" id="{00000000-0008-0000-0100-00008D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0" name="Text Box 19">
          <a:extLst>
            <a:ext uri="{FF2B5EF4-FFF2-40B4-BE49-F238E27FC236}">
              <a16:creationId xmlns:a16="http://schemas.microsoft.com/office/drawing/2014/main" id="{00000000-0008-0000-0100-00008E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1" name="Text Box 20">
          <a:extLst>
            <a:ext uri="{FF2B5EF4-FFF2-40B4-BE49-F238E27FC236}">
              <a16:creationId xmlns:a16="http://schemas.microsoft.com/office/drawing/2014/main" id="{00000000-0008-0000-0100-00008F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2" name="Text Box 21">
          <a:extLst>
            <a:ext uri="{FF2B5EF4-FFF2-40B4-BE49-F238E27FC236}">
              <a16:creationId xmlns:a16="http://schemas.microsoft.com/office/drawing/2014/main" id="{00000000-0008-0000-0100-000090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3" name="Text Box 22">
          <a:extLst>
            <a:ext uri="{FF2B5EF4-FFF2-40B4-BE49-F238E27FC236}">
              <a16:creationId xmlns:a16="http://schemas.microsoft.com/office/drawing/2014/main" id="{00000000-0008-0000-0100-0000916C0000}"/>
            </a:ext>
          </a:extLst>
        </xdr:cNvPr>
        <xdr:cNvSpPr txBox="1">
          <a:spLocks noChangeArrowheads="1"/>
        </xdr:cNvSpPr>
      </xdr:nvSpPr>
      <xdr:spPr bwMode="auto">
        <a:xfrm>
          <a:off x="3901109" y="256885109"/>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4" name="Text Box 7">
          <a:extLst>
            <a:ext uri="{FF2B5EF4-FFF2-40B4-BE49-F238E27FC236}">
              <a16:creationId xmlns:a16="http://schemas.microsoft.com/office/drawing/2014/main" id="{00000000-0008-0000-0100-000092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5" name="Text Box 8">
          <a:extLst>
            <a:ext uri="{FF2B5EF4-FFF2-40B4-BE49-F238E27FC236}">
              <a16:creationId xmlns:a16="http://schemas.microsoft.com/office/drawing/2014/main" id="{00000000-0008-0000-0100-000093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6" name="Text Box 9">
          <a:extLst>
            <a:ext uri="{FF2B5EF4-FFF2-40B4-BE49-F238E27FC236}">
              <a16:creationId xmlns:a16="http://schemas.microsoft.com/office/drawing/2014/main" id="{00000000-0008-0000-0100-000094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7" name="Text Box 10">
          <a:extLst>
            <a:ext uri="{FF2B5EF4-FFF2-40B4-BE49-F238E27FC236}">
              <a16:creationId xmlns:a16="http://schemas.microsoft.com/office/drawing/2014/main" id="{00000000-0008-0000-0100-000095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8" name="Text Box 11">
          <a:extLst>
            <a:ext uri="{FF2B5EF4-FFF2-40B4-BE49-F238E27FC236}">
              <a16:creationId xmlns:a16="http://schemas.microsoft.com/office/drawing/2014/main" id="{00000000-0008-0000-0100-000096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799" name="Text Box 12">
          <a:extLst>
            <a:ext uri="{FF2B5EF4-FFF2-40B4-BE49-F238E27FC236}">
              <a16:creationId xmlns:a16="http://schemas.microsoft.com/office/drawing/2014/main" id="{00000000-0008-0000-0100-000097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724</xdr:row>
      <xdr:rowOff>308097</xdr:rowOff>
    </xdr:to>
    <xdr:sp macro="" textlink="">
      <xdr:nvSpPr>
        <xdr:cNvPr id="27800" name="Text Box 13">
          <a:extLst>
            <a:ext uri="{FF2B5EF4-FFF2-40B4-BE49-F238E27FC236}">
              <a16:creationId xmlns:a16="http://schemas.microsoft.com/office/drawing/2014/main" id="{00000000-0008-0000-0100-0000986C0000}"/>
            </a:ext>
          </a:extLst>
        </xdr:cNvPr>
        <xdr:cNvSpPr txBox="1">
          <a:spLocks noChangeArrowheads="1"/>
        </xdr:cNvSpPr>
      </xdr:nvSpPr>
      <xdr:spPr bwMode="auto">
        <a:xfrm>
          <a:off x="3901109" y="256885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625385</xdr:colOff>
      <xdr:row>724</xdr:row>
      <xdr:rowOff>308097</xdr:rowOff>
    </xdr:to>
    <xdr:sp macro="" textlink="">
      <xdr:nvSpPr>
        <xdr:cNvPr id="27801" name="Text Box 14">
          <a:extLst>
            <a:ext uri="{FF2B5EF4-FFF2-40B4-BE49-F238E27FC236}">
              <a16:creationId xmlns:a16="http://schemas.microsoft.com/office/drawing/2014/main" id="{00000000-0008-0000-0100-0000996C0000}"/>
            </a:ext>
          </a:extLst>
        </xdr:cNvPr>
        <xdr:cNvSpPr txBox="1">
          <a:spLocks noChangeArrowheads="1"/>
        </xdr:cNvSpPr>
      </xdr:nvSpPr>
      <xdr:spPr bwMode="auto">
        <a:xfrm>
          <a:off x="3901109" y="256885109"/>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721</xdr:row>
      <xdr:rowOff>312970</xdr:rowOff>
    </xdr:to>
    <xdr:sp macro="" textlink="">
      <xdr:nvSpPr>
        <xdr:cNvPr id="27803" name="Text Box 5">
          <a:extLst>
            <a:ext uri="{FF2B5EF4-FFF2-40B4-BE49-F238E27FC236}">
              <a16:creationId xmlns:a16="http://schemas.microsoft.com/office/drawing/2014/main" id="{00000000-0008-0000-0100-00009B6C0000}"/>
            </a:ext>
          </a:extLst>
        </xdr:cNvPr>
        <xdr:cNvSpPr txBox="1">
          <a:spLocks noChangeArrowheads="1"/>
        </xdr:cNvSpPr>
      </xdr:nvSpPr>
      <xdr:spPr bwMode="auto">
        <a:xfrm>
          <a:off x="3901109" y="256885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721</xdr:row>
      <xdr:rowOff>312970</xdr:rowOff>
    </xdr:to>
    <xdr:sp macro="" textlink="">
      <xdr:nvSpPr>
        <xdr:cNvPr id="27804" name="Text Box 6">
          <a:extLst>
            <a:ext uri="{FF2B5EF4-FFF2-40B4-BE49-F238E27FC236}">
              <a16:creationId xmlns:a16="http://schemas.microsoft.com/office/drawing/2014/main" id="{00000000-0008-0000-0100-00009C6C0000}"/>
            </a:ext>
          </a:extLst>
        </xdr:cNvPr>
        <xdr:cNvSpPr txBox="1">
          <a:spLocks noChangeArrowheads="1"/>
        </xdr:cNvSpPr>
      </xdr:nvSpPr>
      <xdr:spPr bwMode="auto">
        <a:xfrm>
          <a:off x="3901109" y="256885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721</xdr:row>
      <xdr:rowOff>312970</xdr:rowOff>
    </xdr:to>
    <xdr:sp macro="" textlink="">
      <xdr:nvSpPr>
        <xdr:cNvPr id="27805" name="Text Box 7">
          <a:extLst>
            <a:ext uri="{FF2B5EF4-FFF2-40B4-BE49-F238E27FC236}">
              <a16:creationId xmlns:a16="http://schemas.microsoft.com/office/drawing/2014/main" id="{00000000-0008-0000-0100-00009D6C0000}"/>
            </a:ext>
          </a:extLst>
        </xdr:cNvPr>
        <xdr:cNvSpPr txBox="1">
          <a:spLocks noChangeArrowheads="1"/>
        </xdr:cNvSpPr>
      </xdr:nvSpPr>
      <xdr:spPr bwMode="auto">
        <a:xfrm>
          <a:off x="3901109" y="256885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721</xdr:row>
      <xdr:rowOff>312970</xdr:rowOff>
    </xdr:to>
    <xdr:sp macro="" textlink="">
      <xdr:nvSpPr>
        <xdr:cNvPr id="27806" name="Text Box 8">
          <a:extLst>
            <a:ext uri="{FF2B5EF4-FFF2-40B4-BE49-F238E27FC236}">
              <a16:creationId xmlns:a16="http://schemas.microsoft.com/office/drawing/2014/main" id="{00000000-0008-0000-0100-00009E6C0000}"/>
            </a:ext>
          </a:extLst>
        </xdr:cNvPr>
        <xdr:cNvSpPr txBox="1">
          <a:spLocks noChangeArrowheads="1"/>
        </xdr:cNvSpPr>
      </xdr:nvSpPr>
      <xdr:spPr bwMode="auto">
        <a:xfrm>
          <a:off x="3901109" y="256885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721</xdr:row>
      <xdr:rowOff>312970</xdr:rowOff>
    </xdr:to>
    <xdr:sp macro="" textlink="">
      <xdr:nvSpPr>
        <xdr:cNvPr id="27807" name="Text Box 9">
          <a:extLst>
            <a:ext uri="{FF2B5EF4-FFF2-40B4-BE49-F238E27FC236}">
              <a16:creationId xmlns:a16="http://schemas.microsoft.com/office/drawing/2014/main" id="{00000000-0008-0000-0100-00009F6C0000}"/>
            </a:ext>
          </a:extLst>
        </xdr:cNvPr>
        <xdr:cNvSpPr txBox="1">
          <a:spLocks noChangeArrowheads="1"/>
        </xdr:cNvSpPr>
      </xdr:nvSpPr>
      <xdr:spPr bwMode="auto">
        <a:xfrm>
          <a:off x="3901109" y="256885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721</xdr:row>
      <xdr:rowOff>312970</xdr:rowOff>
    </xdr:to>
    <xdr:sp macro="" textlink="">
      <xdr:nvSpPr>
        <xdr:cNvPr id="27808" name="Text Box 10">
          <a:extLst>
            <a:ext uri="{FF2B5EF4-FFF2-40B4-BE49-F238E27FC236}">
              <a16:creationId xmlns:a16="http://schemas.microsoft.com/office/drawing/2014/main" id="{00000000-0008-0000-0100-0000A06C0000}"/>
            </a:ext>
          </a:extLst>
        </xdr:cNvPr>
        <xdr:cNvSpPr txBox="1">
          <a:spLocks noChangeArrowheads="1"/>
        </xdr:cNvSpPr>
      </xdr:nvSpPr>
      <xdr:spPr bwMode="auto">
        <a:xfrm>
          <a:off x="3901109" y="256885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721</xdr:row>
      <xdr:rowOff>312970</xdr:rowOff>
    </xdr:to>
    <xdr:sp macro="" textlink="">
      <xdr:nvSpPr>
        <xdr:cNvPr id="27809" name="Text Box 11">
          <a:extLst>
            <a:ext uri="{FF2B5EF4-FFF2-40B4-BE49-F238E27FC236}">
              <a16:creationId xmlns:a16="http://schemas.microsoft.com/office/drawing/2014/main" id="{00000000-0008-0000-0100-0000A16C0000}"/>
            </a:ext>
          </a:extLst>
        </xdr:cNvPr>
        <xdr:cNvSpPr txBox="1">
          <a:spLocks noChangeArrowheads="1"/>
        </xdr:cNvSpPr>
      </xdr:nvSpPr>
      <xdr:spPr bwMode="auto">
        <a:xfrm>
          <a:off x="3901109" y="256885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3</xdr:col>
      <xdr:colOff>478972</xdr:colOff>
      <xdr:row>721</xdr:row>
      <xdr:rowOff>312970</xdr:rowOff>
    </xdr:to>
    <xdr:sp macro="" textlink="">
      <xdr:nvSpPr>
        <xdr:cNvPr id="27810" name="Text Box 12">
          <a:extLst>
            <a:ext uri="{FF2B5EF4-FFF2-40B4-BE49-F238E27FC236}">
              <a16:creationId xmlns:a16="http://schemas.microsoft.com/office/drawing/2014/main" id="{00000000-0008-0000-0100-0000A26C0000}"/>
            </a:ext>
          </a:extLst>
        </xdr:cNvPr>
        <xdr:cNvSpPr txBox="1">
          <a:spLocks noChangeArrowheads="1"/>
        </xdr:cNvSpPr>
      </xdr:nvSpPr>
      <xdr:spPr bwMode="auto">
        <a:xfrm>
          <a:off x="3901109" y="256885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2</xdr:col>
      <xdr:colOff>93345</xdr:colOff>
      <xdr:row>719</xdr:row>
      <xdr:rowOff>1980</xdr:rowOff>
    </xdr:to>
    <xdr:sp macro="" textlink="">
      <xdr:nvSpPr>
        <xdr:cNvPr id="27890" name="Text Box 1">
          <a:extLst>
            <a:ext uri="{FF2B5EF4-FFF2-40B4-BE49-F238E27FC236}">
              <a16:creationId xmlns:a16="http://schemas.microsoft.com/office/drawing/2014/main" id="{00000000-0008-0000-0100-0000F26C0000}"/>
            </a:ext>
          </a:extLst>
        </xdr:cNvPr>
        <xdr:cNvSpPr txBox="1">
          <a:spLocks noChangeArrowheads="1"/>
        </xdr:cNvSpPr>
      </xdr:nvSpPr>
      <xdr:spPr bwMode="auto">
        <a:xfrm>
          <a:off x="4580283" y="2568851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2</xdr:col>
      <xdr:colOff>93345</xdr:colOff>
      <xdr:row>719</xdr:row>
      <xdr:rowOff>1980</xdr:rowOff>
    </xdr:to>
    <xdr:sp macro="" textlink="">
      <xdr:nvSpPr>
        <xdr:cNvPr id="27891" name="Text Box 1">
          <a:extLst>
            <a:ext uri="{FF2B5EF4-FFF2-40B4-BE49-F238E27FC236}">
              <a16:creationId xmlns:a16="http://schemas.microsoft.com/office/drawing/2014/main" id="{00000000-0008-0000-0100-0000F36C0000}"/>
            </a:ext>
          </a:extLst>
        </xdr:cNvPr>
        <xdr:cNvSpPr txBox="1">
          <a:spLocks noChangeArrowheads="1"/>
        </xdr:cNvSpPr>
      </xdr:nvSpPr>
      <xdr:spPr bwMode="auto">
        <a:xfrm>
          <a:off x="4580283" y="2568851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2</xdr:col>
      <xdr:colOff>93345</xdr:colOff>
      <xdr:row>719</xdr:row>
      <xdr:rowOff>1980</xdr:rowOff>
    </xdr:to>
    <xdr:sp macro="" textlink="">
      <xdr:nvSpPr>
        <xdr:cNvPr id="183" name="Text Box 1">
          <a:extLst>
            <a:ext uri="{FF2B5EF4-FFF2-40B4-BE49-F238E27FC236}">
              <a16:creationId xmlns:a16="http://schemas.microsoft.com/office/drawing/2014/main" id="{00000000-0008-0000-0100-0000B7000000}"/>
            </a:ext>
          </a:extLst>
        </xdr:cNvPr>
        <xdr:cNvSpPr txBox="1">
          <a:spLocks noChangeArrowheads="1"/>
        </xdr:cNvSpPr>
      </xdr:nvSpPr>
      <xdr:spPr bwMode="auto">
        <a:xfrm>
          <a:off x="4580283" y="2568851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719</xdr:row>
      <xdr:rowOff>0</xdr:rowOff>
    </xdr:from>
    <xdr:to>
      <xdr:col>2</xdr:col>
      <xdr:colOff>93345</xdr:colOff>
      <xdr:row>719</xdr:row>
      <xdr:rowOff>1980</xdr:rowOff>
    </xdr:to>
    <xdr:sp macro="" textlink="">
      <xdr:nvSpPr>
        <xdr:cNvPr id="184" name="Text Box 1">
          <a:extLst>
            <a:ext uri="{FF2B5EF4-FFF2-40B4-BE49-F238E27FC236}">
              <a16:creationId xmlns:a16="http://schemas.microsoft.com/office/drawing/2014/main" id="{00000000-0008-0000-0100-0000B8000000}"/>
            </a:ext>
          </a:extLst>
        </xdr:cNvPr>
        <xdr:cNvSpPr txBox="1">
          <a:spLocks noChangeArrowheads="1"/>
        </xdr:cNvSpPr>
      </xdr:nvSpPr>
      <xdr:spPr bwMode="auto">
        <a:xfrm>
          <a:off x="4580283" y="2568851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69" name="Text Box 5">
          <a:extLst>
            <a:ext uri="{FF2B5EF4-FFF2-40B4-BE49-F238E27FC236}">
              <a16:creationId xmlns:a16="http://schemas.microsoft.com/office/drawing/2014/main" id="{00000000-0008-0000-0100-0000A9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0" name="Text Box 6">
          <a:extLst>
            <a:ext uri="{FF2B5EF4-FFF2-40B4-BE49-F238E27FC236}">
              <a16:creationId xmlns:a16="http://schemas.microsoft.com/office/drawing/2014/main" id="{00000000-0008-0000-0100-0000AA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1" name="Text Box 7">
          <a:extLst>
            <a:ext uri="{FF2B5EF4-FFF2-40B4-BE49-F238E27FC236}">
              <a16:creationId xmlns:a16="http://schemas.microsoft.com/office/drawing/2014/main" id="{00000000-0008-0000-0100-0000AB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2" name="Text Box 8">
          <a:extLst>
            <a:ext uri="{FF2B5EF4-FFF2-40B4-BE49-F238E27FC236}">
              <a16:creationId xmlns:a16="http://schemas.microsoft.com/office/drawing/2014/main" id="{00000000-0008-0000-0100-0000AC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3" name="Text Box 9">
          <a:extLst>
            <a:ext uri="{FF2B5EF4-FFF2-40B4-BE49-F238E27FC236}">
              <a16:creationId xmlns:a16="http://schemas.microsoft.com/office/drawing/2014/main" id="{00000000-0008-0000-0100-0000AD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4" name="Text Box 10">
          <a:extLst>
            <a:ext uri="{FF2B5EF4-FFF2-40B4-BE49-F238E27FC236}">
              <a16:creationId xmlns:a16="http://schemas.microsoft.com/office/drawing/2014/main" id="{00000000-0008-0000-0100-0000AE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5" name="Text Box 11">
          <a:extLst>
            <a:ext uri="{FF2B5EF4-FFF2-40B4-BE49-F238E27FC236}">
              <a16:creationId xmlns:a16="http://schemas.microsoft.com/office/drawing/2014/main" id="{00000000-0008-0000-0100-0000AF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6" name="Text Box 12">
          <a:extLst>
            <a:ext uri="{FF2B5EF4-FFF2-40B4-BE49-F238E27FC236}">
              <a16:creationId xmlns:a16="http://schemas.microsoft.com/office/drawing/2014/main" id="{00000000-0008-0000-0100-0000B0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7" name="Text Box 13">
          <a:extLst>
            <a:ext uri="{FF2B5EF4-FFF2-40B4-BE49-F238E27FC236}">
              <a16:creationId xmlns:a16="http://schemas.microsoft.com/office/drawing/2014/main" id="{00000000-0008-0000-0100-0000B1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625385</xdr:colOff>
      <xdr:row>58</xdr:row>
      <xdr:rowOff>15416</xdr:rowOff>
    </xdr:to>
    <xdr:sp macro="" textlink="">
      <xdr:nvSpPr>
        <xdr:cNvPr id="178" name="Text Box 14">
          <a:extLst>
            <a:ext uri="{FF2B5EF4-FFF2-40B4-BE49-F238E27FC236}">
              <a16:creationId xmlns:a16="http://schemas.microsoft.com/office/drawing/2014/main" id="{00000000-0008-0000-0100-0000B2000000}"/>
            </a:ext>
          </a:extLst>
        </xdr:cNvPr>
        <xdr:cNvSpPr txBox="1">
          <a:spLocks noChangeArrowheads="1"/>
        </xdr:cNvSpPr>
      </xdr:nvSpPr>
      <xdr:spPr bwMode="auto">
        <a:xfrm>
          <a:off x="3901109" y="57531000"/>
          <a:ext cx="1241149"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79" name="Text Box 15">
          <a:extLst>
            <a:ext uri="{FF2B5EF4-FFF2-40B4-BE49-F238E27FC236}">
              <a16:creationId xmlns:a16="http://schemas.microsoft.com/office/drawing/2014/main" id="{00000000-0008-0000-0100-0000B3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80" name="Text Box 16">
          <a:extLst>
            <a:ext uri="{FF2B5EF4-FFF2-40B4-BE49-F238E27FC236}">
              <a16:creationId xmlns:a16="http://schemas.microsoft.com/office/drawing/2014/main" id="{00000000-0008-0000-0100-0000B4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81" name="Text Box 17">
          <a:extLst>
            <a:ext uri="{FF2B5EF4-FFF2-40B4-BE49-F238E27FC236}">
              <a16:creationId xmlns:a16="http://schemas.microsoft.com/office/drawing/2014/main" id="{00000000-0008-0000-0100-0000B5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82" name="Text Box 18">
          <a:extLst>
            <a:ext uri="{FF2B5EF4-FFF2-40B4-BE49-F238E27FC236}">
              <a16:creationId xmlns:a16="http://schemas.microsoft.com/office/drawing/2014/main" id="{00000000-0008-0000-0100-0000B6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86" name="Text Box 19">
          <a:extLst>
            <a:ext uri="{FF2B5EF4-FFF2-40B4-BE49-F238E27FC236}">
              <a16:creationId xmlns:a16="http://schemas.microsoft.com/office/drawing/2014/main" id="{00000000-0008-0000-0100-0000BA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87" name="Text Box 20">
          <a:extLst>
            <a:ext uri="{FF2B5EF4-FFF2-40B4-BE49-F238E27FC236}">
              <a16:creationId xmlns:a16="http://schemas.microsoft.com/office/drawing/2014/main" id="{00000000-0008-0000-0100-0000BB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88" name="Text Box 21">
          <a:extLst>
            <a:ext uri="{FF2B5EF4-FFF2-40B4-BE49-F238E27FC236}">
              <a16:creationId xmlns:a16="http://schemas.microsoft.com/office/drawing/2014/main" id="{00000000-0008-0000-0100-0000BC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89" name="Text Box 22">
          <a:extLst>
            <a:ext uri="{FF2B5EF4-FFF2-40B4-BE49-F238E27FC236}">
              <a16:creationId xmlns:a16="http://schemas.microsoft.com/office/drawing/2014/main" id="{00000000-0008-0000-0100-0000BD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90" name="Text Box 7">
          <a:extLst>
            <a:ext uri="{FF2B5EF4-FFF2-40B4-BE49-F238E27FC236}">
              <a16:creationId xmlns:a16="http://schemas.microsoft.com/office/drawing/2014/main" id="{00000000-0008-0000-0100-0000BE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91" name="Text Box 8">
          <a:extLst>
            <a:ext uri="{FF2B5EF4-FFF2-40B4-BE49-F238E27FC236}">
              <a16:creationId xmlns:a16="http://schemas.microsoft.com/office/drawing/2014/main" id="{00000000-0008-0000-0100-0000BF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92" name="Text Box 9">
          <a:extLst>
            <a:ext uri="{FF2B5EF4-FFF2-40B4-BE49-F238E27FC236}">
              <a16:creationId xmlns:a16="http://schemas.microsoft.com/office/drawing/2014/main" id="{00000000-0008-0000-0100-0000C0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93" name="Text Box 10">
          <a:extLst>
            <a:ext uri="{FF2B5EF4-FFF2-40B4-BE49-F238E27FC236}">
              <a16:creationId xmlns:a16="http://schemas.microsoft.com/office/drawing/2014/main" id="{00000000-0008-0000-0100-0000C1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94" name="Text Box 11">
          <a:extLst>
            <a:ext uri="{FF2B5EF4-FFF2-40B4-BE49-F238E27FC236}">
              <a16:creationId xmlns:a16="http://schemas.microsoft.com/office/drawing/2014/main" id="{00000000-0008-0000-0100-0000C2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95" name="Text Box 12">
          <a:extLst>
            <a:ext uri="{FF2B5EF4-FFF2-40B4-BE49-F238E27FC236}">
              <a16:creationId xmlns:a16="http://schemas.microsoft.com/office/drawing/2014/main" id="{00000000-0008-0000-0100-0000C3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96" name="Text Box 13">
          <a:extLst>
            <a:ext uri="{FF2B5EF4-FFF2-40B4-BE49-F238E27FC236}">
              <a16:creationId xmlns:a16="http://schemas.microsoft.com/office/drawing/2014/main" id="{00000000-0008-0000-0100-0000C4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625385</xdr:colOff>
      <xdr:row>58</xdr:row>
      <xdr:rowOff>15416</xdr:rowOff>
    </xdr:to>
    <xdr:sp macro="" textlink="">
      <xdr:nvSpPr>
        <xdr:cNvPr id="197" name="Text Box 14">
          <a:extLst>
            <a:ext uri="{FF2B5EF4-FFF2-40B4-BE49-F238E27FC236}">
              <a16:creationId xmlns:a16="http://schemas.microsoft.com/office/drawing/2014/main" id="{00000000-0008-0000-0100-0000C5000000}"/>
            </a:ext>
          </a:extLst>
        </xdr:cNvPr>
        <xdr:cNvSpPr txBox="1">
          <a:spLocks noChangeArrowheads="1"/>
        </xdr:cNvSpPr>
      </xdr:nvSpPr>
      <xdr:spPr bwMode="auto">
        <a:xfrm>
          <a:off x="3901109" y="57531000"/>
          <a:ext cx="1241149"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15416</xdr:rowOff>
    </xdr:to>
    <xdr:sp macro="" textlink="">
      <xdr:nvSpPr>
        <xdr:cNvPr id="198" name="Text Box 15">
          <a:extLst>
            <a:ext uri="{FF2B5EF4-FFF2-40B4-BE49-F238E27FC236}">
              <a16:creationId xmlns:a16="http://schemas.microsoft.com/office/drawing/2014/main" id="{00000000-0008-0000-0100-0000C6000000}"/>
            </a:ext>
          </a:extLst>
        </xdr:cNvPr>
        <xdr:cNvSpPr txBox="1">
          <a:spLocks noChangeArrowheads="1"/>
        </xdr:cNvSpPr>
      </xdr:nvSpPr>
      <xdr:spPr bwMode="auto">
        <a:xfrm>
          <a:off x="3901109" y="57531000"/>
          <a:ext cx="1117324" cy="169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199" name="Text Box 5">
          <a:extLst>
            <a:ext uri="{FF2B5EF4-FFF2-40B4-BE49-F238E27FC236}">
              <a16:creationId xmlns:a16="http://schemas.microsoft.com/office/drawing/2014/main" id="{00000000-0008-0000-0100-0000C700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3174</xdr:rowOff>
    </xdr:to>
    <xdr:sp macro="" textlink="">
      <xdr:nvSpPr>
        <xdr:cNvPr id="200" name="Text Box 6">
          <a:extLst>
            <a:ext uri="{FF2B5EF4-FFF2-40B4-BE49-F238E27FC236}">
              <a16:creationId xmlns:a16="http://schemas.microsoft.com/office/drawing/2014/main" id="{00000000-0008-0000-0100-0000C8000000}"/>
            </a:ext>
          </a:extLst>
        </xdr:cNvPr>
        <xdr:cNvSpPr txBox="1">
          <a:spLocks noChangeArrowheads="1"/>
        </xdr:cNvSpPr>
      </xdr:nvSpPr>
      <xdr:spPr bwMode="auto">
        <a:xfrm>
          <a:off x="3901109" y="5753100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01" name="Text Box 7">
          <a:extLst>
            <a:ext uri="{FF2B5EF4-FFF2-40B4-BE49-F238E27FC236}">
              <a16:creationId xmlns:a16="http://schemas.microsoft.com/office/drawing/2014/main" id="{00000000-0008-0000-0100-0000C9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02" name="Text Box 8">
          <a:extLst>
            <a:ext uri="{FF2B5EF4-FFF2-40B4-BE49-F238E27FC236}">
              <a16:creationId xmlns:a16="http://schemas.microsoft.com/office/drawing/2014/main" id="{00000000-0008-0000-0100-0000CA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03" name="Text Box 9">
          <a:extLst>
            <a:ext uri="{FF2B5EF4-FFF2-40B4-BE49-F238E27FC236}">
              <a16:creationId xmlns:a16="http://schemas.microsoft.com/office/drawing/2014/main" id="{00000000-0008-0000-0100-0000CB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04" name="Text Box 10">
          <a:extLst>
            <a:ext uri="{FF2B5EF4-FFF2-40B4-BE49-F238E27FC236}">
              <a16:creationId xmlns:a16="http://schemas.microsoft.com/office/drawing/2014/main" id="{00000000-0008-0000-0100-0000CC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05" name="Text Box 11">
          <a:extLst>
            <a:ext uri="{FF2B5EF4-FFF2-40B4-BE49-F238E27FC236}">
              <a16:creationId xmlns:a16="http://schemas.microsoft.com/office/drawing/2014/main" id="{00000000-0008-0000-0100-0000CD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06" name="Text Box 12">
          <a:extLst>
            <a:ext uri="{FF2B5EF4-FFF2-40B4-BE49-F238E27FC236}">
              <a16:creationId xmlns:a16="http://schemas.microsoft.com/office/drawing/2014/main" id="{00000000-0008-0000-0100-0000CE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07" name="Text Box 13">
          <a:extLst>
            <a:ext uri="{FF2B5EF4-FFF2-40B4-BE49-F238E27FC236}">
              <a16:creationId xmlns:a16="http://schemas.microsoft.com/office/drawing/2014/main" id="{00000000-0008-0000-0100-0000CF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625385</xdr:colOff>
      <xdr:row>58</xdr:row>
      <xdr:rowOff>15413</xdr:rowOff>
    </xdr:to>
    <xdr:sp macro="" textlink="">
      <xdr:nvSpPr>
        <xdr:cNvPr id="208" name="Text Box 14">
          <a:extLst>
            <a:ext uri="{FF2B5EF4-FFF2-40B4-BE49-F238E27FC236}">
              <a16:creationId xmlns:a16="http://schemas.microsoft.com/office/drawing/2014/main" id="{00000000-0008-0000-0100-0000D0000000}"/>
            </a:ext>
          </a:extLst>
        </xdr:cNvPr>
        <xdr:cNvSpPr txBox="1">
          <a:spLocks noChangeArrowheads="1"/>
        </xdr:cNvSpPr>
      </xdr:nvSpPr>
      <xdr:spPr bwMode="auto">
        <a:xfrm>
          <a:off x="3901109" y="57531000"/>
          <a:ext cx="1241149"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09" name="Text Box 15">
          <a:extLst>
            <a:ext uri="{FF2B5EF4-FFF2-40B4-BE49-F238E27FC236}">
              <a16:creationId xmlns:a16="http://schemas.microsoft.com/office/drawing/2014/main" id="{00000000-0008-0000-0100-0000D1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10" name="Text Box 16">
          <a:extLst>
            <a:ext uri="{FF2B5EF4-FFF2-40B4-BE49-F238E27FC236}">
              <a16:creationId xmlns:a16="http://schemas.microsoft.com/office/drawing/2014/main" id="{00000000-0008-0000-0100-0000D200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11" name="Text Box 17">
          <a:extLst>
            <a:ext uri="{FF2B5EF4-FFF2-40B4-BE49-F238E27FC236}">
              <a16:creationId xmlns:a16="http://schemas.microsoft.com/office/drawing/2014/main" id="{00000000-0008-0000-0100-0000D300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12" name="Text Box 18">
          <a:extLst>
            <a:ext uri="{FF2B5EF4-FFF2-40B4-BE49-F238E27FC236}">
              <a16:creationId xmlns:a16="http://schemas.microsoft.com/office/drawing/2014/main" id="{00000000-0008-0000-0100-0000D400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13" name="Text Box 19">
          <a:extLst>
            <a:ext uri="{FF2B5EF4-FFF2-40B4-BE49-F238E27FC236}">
              <a16:creationId xmlns:a16="http://schemas.microsoft.com/office/drawing/2014/main" id="{00000000-0008-0000-0100-0000D500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14" name="Text Box 20">
          <a:extLst>
            <a:ext uri="{FF2B5EF4-FFF2-40B4-BE49-F238E27FC236}">
              <a16:creationId xmlns:a16="http://schemas.microsoft.com/office/drawing/2014/main" id="{00000000-0008-0000-0100-0000D600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15" name="Text Box 21">
          <a:extLst>
            <a:ext uri="{FF2B5EF4-FFF2-40B4-BE49-F238E27FC236}">
              <a16:creationId xmlns:a16="http://schemas.microsoft.com/office/drawing/2014/main" id="{00000000-0008-0000-0100-0000D700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3174</xdr:rowOff>
    </xdr:to>
    <xdr:sp macro="" textlink="">
      <xdr:nvSpPr>
        <xdr:cNvPr id="216" name="Text Box 22">
          <a:extLst>
            <a:ext uri="{FF2B5EF4-FFF2-40B4-BE49-F238E27FC236}">
              <a16:creationId xmlns:a16="http://schemas.microsoft.com/office/drawing/2014/main" id="{00000000-0008-0000-0100-0000D8000000}"/>
            </a:ext>
          </a:extLst>
        </xdr:cNvPr>
        <xdr:cNvSpPr txBox="1">
          <a:spLocks noChangeArrowheads="1"/>
        </xdr:cNvSpPr>
      </xdr:nvSpPr>
      <xdr:spPr bwMode="auto">
        <a:xfrm>
          <a:off x="3901109" y="5753100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17" name="Text Box 7">
          <a:extLst>
            <a:ext uri="{FF2B5EF4-FFF2-40B4-BE49-F238E27FC236}">
              <a16:creationId xmlns:a16="http://schemas.microsoft.com/office/drawing/2014/main" id="{00000000-0008-0000-0100-0000D9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18" name="Text Box 8">
          <a:extLst>
            <a:ext uri="{FF2B5EF4-FFF2-40B4-BE49-F238E27FC236}">
              <a16:creationId xmlns:a16="http://schemas.microsoft.com/office/drawing/2014/main" id="{00000000-0008-0000-0100-0000DA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19" name="Text Box 9">
          <a:extLst>
            <a:ext uri="{FF2B5EF4-FFF2-40B4-BE49-F238E27FC236}">
              <a16:creationId xmlns:a16="http://schemas.microsoft.com/office/drawing/2014/main" id="{00000000-0008-0000-0100-0000DB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20" name="Text Box 10">
          <a:extLst>
            <a:ext uri="{FF2B5EF4-FFF2-40B4-BE49-F238E27FC236}">
              <a16:creationId xmlns:a16="http://schemas.microsoft.com/office/drawing/2014/main" id="{00000000-0008-0000-0100-0000DC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21" name="Text Box 11">
          <a:extLst>
            <a:ext uri="{FF2B5EF4-FFF2-40B4-BE49-F238E27FC236}">
              <a16:creationId xmlns:a16="http://schemas.microsoft.com/office/drawing/2014/main" id="{00000000-0008-0000-0100-0000DD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22" name="Text Box 12">
          <a:extLst>
            <a:ext uri="{FF2B5EF4-FFF2-40B4-BE49-F238E27FC236}">
              <a16:creationId xmlns:a16="http://schemas.microsoft.com/office/drawing/2014/main" id="{00000000-0008-0000-0100-0000DE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23" name="Text Box 13">
          <a:extLst>
            <a:ext uri="{FF2B5EF4-FFF2-40B4-BE49-F238E27FC236}">
              <a16:creationId xmlns:a16="http://schemas.microsoft.com/office/drawing/2014/main" id="{00000000-0008-0000-0100-0000DF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625385</xdr:colOff>
      <xdr:row>58</xdr:row>
      <xdr:rowOff>15413</xdr:rowOff>
    </xdr:to>
    <xdr:sp macro="" textlink="">
      <xdr:nvSpPr>
        <xdr:cNvPr id="224" name="Text Box 14">
          <a:extLst>
            <a:ext uri="{FF2B5EF4-FFF2-40B4-BE49-F238E27FC236}">
              <a16:creationId xmlns:a16="http://schemas.microsoft.com/office/drawing/2014/main" id="{00000000-0008-0000-0100-0000E0000000}"/>
            </a:ext>
          </a:extLst>
        </xdr:cNvPr>
        <xdr:cNvSpPr txBox="1">
          <a:spLocks noChangeArrowheads="1"/>
        </xdr:cNvSpPr>
      </xdr:nvSpPr>
      <xdr:spPr bwMode="auto">
        <a:xfrm>
          <a:off x="3901109" y="57531000"/>
          <a:ext cx="1241149"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15413</xdr:rowOff>
    </xdr:to>
    <xdr:sp macro="" textlink="">
      <xdr:nvSpPr>
        <xdr:cNvPr id="225" name="Text Box 15">
          <a:extLst>
            <a:ext uri="{FF2B5EF4-FFF2-40B4-BE49-F238E27FC236}">
              <a16:creationId xmlns:a16="http://schemas.microsoft.com/office/drawing/2014/main" id="{00000000-0008-0000-0100-0000E1000000}"/>
            </a:ext>
          </a:extLst>
        </xdr:cNvPr>
        <xdr:cNvSpPr txBox="1">
          <a:spLocks noChangeArrowheads="1"/>
        </xdr:cNvSpPr>
      </xdr:nvSpPr>
      <xdr:spPr bwMode="auto">
        <a:xfrm>
          <a:off x="3901109" y="57531000"/>
          <a:ext cx="1117324" cy="169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26" name="Text Box 5">
          <a:extLst>
            <a:ext uri="{FF2B5EF4-FFF2-40B4-BE49-F238E27FC236}">
              <a16:creationId xmlns:a16="http://schemas.microsoft.com/office/drawing/2014/main" id="{00000000-0008-0000-0100-0000E2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27" name="Text Box 6">
          <a:extLst>
            <a:ext uri="{FF2B5EF4-FFF2-40B4-BE49-F238E27FC236}">
              <a16:creationId xmlns:a16="http://schemas.microsoft.com/office/drawing/2014/main" id="{00000000-0008-0000-0100-0000E3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28" name="Text Box 7">
          <a:extLst>
            <a:ext uri="{FF2B5EF4-FFF2-40B4-BE49-F238E27FC236}">
              <a16:creationId xmlns:a16="http://schemas.microsoft.com/office/drawing/2014/main" id="{00000000-0008-0000-0100-0000E4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29" name="Text Box 8">
          <a:extLst>
            <a:ext uri="{FF2B5EF4-FFF2-40B4-BE49-F238E27FC236}">
              <a16:creationId xmlns:a16="http://schemas.microsoft.com/office/drawing/2014/main" id="{00000000-0008-0000-0100-0000E5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0" name="Text Box 9">
          <a:extLst>
            <a:ext uri="{FF2B5EF4-FFF2-40B4-BE49-F238E27FC236}">
              <a16:creationId xmlns:a16="http://schemas.microsoft.com/office/drawing/2014/main" id="{00000000-0008-0000-0100-0000E6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1" name="Text Box 10">
          <a:extLst>
            <a:ext uri="{FF2B5EF4-FFF2-40B4-BE49-F238E27FC236}">
              <a16:creationId xmlns:a16="http://schemas.microsoft.com/office/drawing/2014/main" id="{00000000-0008-0000-0100-0000E7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2" name="Text Box 11">
          <a:extLst>
            <a:ext uri="{FF2B5EF4-FFF2-40B4-BE49-F238E27FC236}">
              <a16:creationId xmlns:a16="http://schemas.microsoft.com/office/drawing/2014/main" id="{00000000-0008-0000-0100-0000E8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3" name="Text Box 12">
          <a:extLst>
            <a:ext uri="{FF2B5EF4-FFF2-40B4-BE49-F238E27FC236}">
              <a16:creationId xmlns:a16="http://schemas.microsoft.com/office/drawing/2014/main" id="{00000000-0008-0000-0100-0000E9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4" name="Text Box 13">
          <a:extLst>
            <a:ext uri="{FF2B5EF4-FFF2-40B4-BE49-F238E27FC236}">
              <a16:creationId xmlns:a16="http://schemas.microsoft.com/office/drawing/2014/main" id="{00000000-0008-0000-0100-0000EA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625385</xdr:colOff>
      <xdr:row>59</xdr:row>
      <xdr:rowOff>170569</xdr:rowOff>
    </xdr:to>
    <xdr:sp macro="" textlink="">
      <xdr:nvSpPr>
        <xdr:cNvPr id="235" name="Text Box 14">
          <a:extLst>
            <a:ext uri="{FF2B5EF4-FFF2-40B4-BE49-F238E27FC236}">
              <a16:creationId xmlns:a16="http://schemas.microsoft.com/office/drawing/2014/main" id="{00000000-0008-0000-0100-0000EB000000}"/>
            </a:ext>
          </a:extLst>
        </xdr:cNvPr>
        <xdr:cNvSpPr txBox="1">
          <a:spLocks noChangeArrowheads="1"/>
        </xdr:cNvSpPr>
      </xdr:nvSpPr>
      <xdr:spPr bwMode="auto">
        <a:xfrm>
          <a:off x="3901109" y="57531000"/>
          <a:ext cx="1241149"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6" name="Text Box 15">
          <a:extLst>
            <a:ext uri="{FF2B5EF4-FFF2-40B4-BE49-F238E27FC236}">
              <a16:creationId xmlns:a16="http://schemas.microsoft.com/office/drawing/2014/main" id="{00000000-0008-0000-0100-0000EC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7" name="Text Box 16">
          <a:extLst>
            <a:ext uri="{FF2B5EF4-FFF2-40B4-BE49-F238E27FC236}">
              <a16:creationId xmlns:a16="http://schemas.microsoft.com/office/drawing/2014/main" id="{00000000-0008-0000-0100-0000ED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8" name="Text Box 17">
          <a:extLst>
            <a:ext uri="{FF2B5EF4-FFF2-40B4-BE49-F238E27FC236}">
              <a16:creationId xmlns:a16="http://schemas.microsoft.com/office/drawing/2014/main" id="{00000000-0008-0000-0100-0000EE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39" name="Text Box 18">
          <a:extLst>
            <a:ext uri="{FF2B5EF4-FFF2-40B4-BE49-F238E27FC236}">
              <a16:creationId xmlns:a16="http://schemas.microsoft.com/office/drawing/2014/main" id="{00000000-0008-0000-0100-0000EF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0" name="Text Box 19">
          <a:extLst>
            <a:ext uri="{FF2B5EF4-FFF2-40B4-BE49-F238E27FC236}">
              <a16:creationId xmlns:a16="http://schemas.microsoft.com/office/drawing/2014/main" id="{00000000-0008-0000-0100-0000F0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1" name="Text Box 20">
          <a:extLst>
            <a:ext uri="{FF2B5EF4-FFF2-40B4-BE49-F238E27FC236}">
              <a16:creationId xmlns:a16="http://schemas.microsoft.com/office/drawing/2014/main" id="{00000000-0008-0000-0100-0000F1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2" name="Text Box 21">
          <a:extLst>
            <a:ext uri="{FF2B5EF4-FFF2-40B4-BE49-F238E27FC236}">
              <a16:creationId xmlns:a16="http://schemas.microsoft.com/office/drawing/2014/main" id="{00000000-0008-0000-0100-0000F2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3" name="Text Box 22">
          <a:extLst>
            <a:ext uri="{FF2B5EF4-FFF2-40B4-BE49-F238E27FC236}">
              <a16:creationId xmlns:a16="http://schemas.microsoft.com/office/drawing/2014/main" id="{00000000-0008-0000-0100-0000F3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4" name="Text Box 7">
          <a:extLst>
            <a:ext uri="{FF2B5EF4-FFF2-40B4-BE49-F238E27FC236}">
              <a16:creationId xmlns:a16="http://schemas.microsoft.com/office/drawing/2014/main" id="{00000000-0008-0000-0100-0000F4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5" name="Text Box 8">
          <a:extLst>
            <a:ext uri="{FF2B5EF4-FFF2-40B4-BE49-F238E27FC236}">
              <a16:creationId xmlns:a16="http://schemas.microsoft.com/office/drawing/2014/main" id="{00000000-0008-0000-0100-0000F5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6" name="Text Box 9">
          <a:extLst>
            <a:ext uri="{FF2B5EF4-FFF2-40B4-BE49-F238E27FC236}">
              <a16:creationId xmlns:a16="http://schemas.microsoft.com/office/drawing/2014/main" id="{00000000-0008-0000-0100-0000F6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7" name="Text Box 10">
          <a:extLst>
            <a:ext uri="{FF2B5EF4-FFF2-40B4-BE49-F238E27FC236}">
              <a16:creationId xmlns:a16="http://schemas.microsoft.com/office/drawing/2014/main" id="{00000000-0008-0000-0100-0000F7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8" name="Text Box 11">
          <a:extLst>
            <a:ext uri="{FF2B5EF4-FFF2-40B4-BE49-F238E27FC236}">
              <a16:creationId xmlns:a16="http://schemas.microsoft.com/office/drawing/2014/main" id="{00000000-0008-0000-0100-0000F8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49" name="Text Box 12">
          <a:extLst>
            <a:ext uri="{FF2B5EF4-FFF2-40B4-BE49-F238E27FC236}">
              <a16:creationId xmlns:a16="http://schemas.microsoft.com/office/drawing/2014/main" id="{00000000-0008-0000-0100-0000F9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170569</xdr:rowOff>
    </xdr:to>
    <xdr:sp macro="" textlink="">
      <xdr:nvSpPr>
        <xdr:cNvPr id="250" name="Text Box 13">
          <a:extLst>
            <a:ext uri="{FF2B5EF4-FFF2-40B4-BE49-F238E27FC236}">
              <a16:creationId xmlns:a16="http://schemas.microsoft.com/office/drawing/2014/main" id="{00000000-0008-0000-0100-0000FA000000}"/>
            </a:ext>
          </a:extLst>
        </xdr:cNvPr>
        <xdr:cNvSpPr txBox="1">
          <a:spLocks noChangeArrowheads="1"/>
        </xdr:cNvSpPr>
      </xdr:nvSpPr>
      <xdr:spPr bwMode="auto">
        <a:xfrm>
          <a:off x="3901109" y="57531000"/>
          <a:ext cx="1117324" cy="49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1" name="Text Box 5">
          <a:extLst>
            <a:ext uri="{FF2B5EF4-FFF2-40B4-BE49-F238E27FC236}">
              <a16:creationId xmlns:a16="http://schemas.microsoft.com/office/drawing/2014/main" id="{00000000-0008-0000-0100-0000FB00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2" name="Text Box 6">
          <a:extLst>
            <a:ext uri="{FF2B5EF4-FFF2-40B4-BE49-F238E27FC236}">
              <a16:creationId xmlns:a16="http://schemas.microsoft.com/office/drawing/2014/main" id="{00000000-0008-0000-0100-0000FC00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3" name="Text Box 7">
          <a:extLst>
            <a:ext uri="{FF2B5EF4-FFF2-40B4-BE49-F238E27FC236}">
              <a16:creationId xmlns:a16="http://schemas.microsoft.com/office/drawing/2014/main" id="{00000000-0008-0000-0100-0000FD00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4" name="Text Box 8">
          <a:extLst>
            <a:ext uri="{FF2B5EF4-FFF2-40B4-BE49-F238E27FC236}">
              <a16:creationId xmlns:a16="http://schemas.microsoft.com/office/drawing/2014/main" id="{00000000-0008-0000-0100-0000FE00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5" name="Text Box 9">
          <a:extLst>
            <a:ext uri="{FF2B5EF4-FFF2-40B4-BE49-F238E27FC236}">
              <a16:creationId xmlns:a16="http://schemas.microsoft.com/office/drawing/2014/main" id="{00000000-0008-0000-0100-0000FF00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6" name="Text Box 10">
          <a:extLst>
            <a:ext uri="{FF2B5EF4-FFF2-40B4-BE49-F238E27FC236}">
              <a16:creationId xmlns:a16="http://schemas.microsoft.com/office/drawing/2014/main" id="{00000000-0008-0000-0100-000000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7" name="Text Box 11">
          <a:extLst>
            <a:ext uri="{FF2B5EF4-FFF2-40B4-BE49-F238E27FC236}">
              <a16:creationId xmlns:a16="http://schemas.microsoft.com/office/drawing/2014/main" id="{00000000-0008-0000-0100-000001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8" name="Text Box 12">
          <a:extLst>
            <a:ext uri="{FF2B5EF4-FFF2-40B4-BE49-F238E27FC236}">
              <a16:creationId xmlns:a16="http://schemas.microsoft.com/office/drawing/2014/main" id="{00000000-0008-0000-0100-000002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59" name="Text Box 13">
          <a:extLst>
            <a:ext uri="{FF2B5EF4-FFF2-40B4-BE49-F238E27FC236}">
              <a16:creationId xmlns:a16="http://schemas.microsoft.com/office/drawing/2014/main" id="{00000000-0008-0000-0100-000003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625385</xdr:colOff>
      <xdr:row>59</xdr:row>
      <xdr:rowOff>2261</xdr:rowOff>
    </xdr:to>
    <xdr:sp macro="" textlink="">
      <xdr:nvSpPr>
        <xdr:cNvPr id="260" name="Text Box 14">
          <a:extLst>
            <a:ext uri="{FF2B5EF4-FFF2-40B4-BE49-F238E27FC236}">
              <a16:creationId xmlns:a16="http://schemas.microsoft.com/office/drawing/2014/main" id="{00000000-0008-0000-0100-000004010000}"/>
            </a:ext>
          </a:extLst>
        </xdr:cNvPr>
        <xdr:cNvSpPr txBox="1">
          <a:spLocks noChangeArrowheads="1"/>
        </xdr:cNvSpPr>
      </xdr:nvSpPr>
      <xdr:spPr bwMode="auto">
        <a:xfrm>
          <a:off x="3901109" y="57531000"/>
          <a:ext cx="1241149"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1" name="Text Box 15">
          <a:extLst>
            <a:ext uri="{FF2B5EF4-FFF2-40B4-BE49-F238E27FC236}">
              <a16:creationId xmlns:a16="http://schemas.microsoft.com/office/drawing/2014/main" id="{00000000-0008-0000-0100-000005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2" name="Text Box 16">
          <a:extLst>
            <a:ext uri="{FF2B5EF4-FFF2-40B4-BE49-F238E27FC236}">
              <a16:creationId xmlns:a16="http://schemas.microsoft.com/office/drawing/2014/main" id="{00000000-0008-0000-0100-000006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3" name="Text Box 17">
          <a:extLst>
            <a:ext uri="{FF2B5EF4-FFF2-40B4-BE49-F238E27FC236}">
              <a16:creationId xmlns:a16="http://schemas.microsoft.com/office/drawing/2014/main" id="{00000000-0008-0000-0100-000007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4" name="Text Box 18">
          <a:extLst>
            <a:ext uri="{FF2B5EF4-FFF2-40B4-BE49-F238E27FC236}">
              <a16:creationId xmlns:a16="http://schemas.microsoft.com/office/drawing/2014/main" id="{00000000-0008-0000-0100-000008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5" name="Text Box 19">
          <a:extLst>
            <a:ext uri="{FF2B5EF4-FFF2-40B4-BE49-F238E27FC236}">
              <a16:creationId xmlns:a16="http://schemas.microsoft.com/office/drawing/2014/main" id="{00000000-0008-0000-0100-000009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6" name="Text Box 20">
          <a:extLst>
            <a:ext uri="{FF2B5EF4-FFF2-40B4-BE49-F238E27FC236}">
              <a16:creationId xmlns:a16="http://schemas.microsoft.com/office/drawing/2014/main" id="{00000000-0008-0000-0100-00000A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7" name="Text Box 21">
          <a:extLst>
            <a:ext uri="{FF2B5EF4-FFF2-40B4-BE49-F238E27FC236}">
              <a16:creationId xmlns:a16="http://schemas.microsoft.com/office/drawing/2014/main" id="{00000000-0008-0000-0100-00000B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8" name="Text Box 22">
          <a:extLst>
            <a:ext uri="{FF2B5EF4-FFF2-40B4-BE49-F238E27FC236}">
              <a16:creationId xmlns:a16="http://schemas.microsoft.com/office/drawing/2014/main" id="{00000000-0008-0000-0100-00000C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69" name="Text Box 7">
          <a:extLst>
            <a:ext uri="{FF2B5EF4-FFF2-40B4-BE49-F238E27FC236}">
              <a16:creationId xmlns:a16="http://schemas.microsoft.com/office/drawing/2014/main" id="{00000000-0008-0000-0100-00000D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70" name="Text Box 8">
          <a:extLst>
            <a:ext uri="{FF2B5EF4-FFF2-40B4-BE49-F238E27FC236}">
              <a16:creationId xmlns:a16="http://schemas.microsoft.com/office/drawing/2014/main" id="{00000000-0008-0000-0100-00000E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71" name="Text Box 9">
          <a:extLst>
            <a:ext uri="{FF2B5EF4-FFF2-40B4-BE49-F238E27FC236}">
              <a16:creationId xmlns:a16="http://schemas.microsoft.com/office/drawing/2014/main" id="{00000000-0008-0000-0100-00000F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72" name="Text Box 10">
          <a:extLst>
            <a:ext uri="{FF2B5EF4-FFF2-40B4-BE49-F238E27FC236}">
              <a16:creationId xmlns:a16="http://schemas.microsoft.com/office/drawing/2014/main" id="{00000000-0008-0000-0100-000010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73" name="Text Box 11">
          <a:extLst>
            <a:ext uri="{FF2B5EF4-FFF2-40B4-BE49-F238E27FC236}">
              <a16:creationId xmlns:a16="http://schemas.microsoft.com/office/drawing/2014/main" id="{00000000-0008-0000-0100-000011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74" name="Text Box 12">
          <a:extLst>
            <a:ext uri="{FF2B5EF4-FFF2-40B4-BE49-F238E27FC236}">
              <a16:creationId xmlns:a16="http://schemas.microsoft.com/office/drawing/2014/main" id="{00000000-0008-0000-0100-000012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59</xdr:row>
      <xdr:rowOff>2261</xdr:rowOff>
    </xdr:to>
    <xdr:sp macro="" textlink="">
      <xdr:nvSpPr>
        <xdr:cNvPr id="275" name="Text Box 13">
          <a:extLst>
            <a:ext uri="{FF2B5EF4-FFF2-40B4-BE49-F238E27FC236}">
              <a16:creationId xmlns:a16="http://schemas.microsoft.com/office/drawing/2014/main" id="{00000000-0008-0000-0100-000013010000}"/>
            </a:ext>
          </a:extLst>
        </xdr:cNvPr>
        <xdr:cNvSpPr txBox="1">
          <a:spLocks noChangeArrowheads="1"/>
        </xdr:cNvSpPr>
      </xdr:nvSpPr>
      <xdr:spPr bwMode="auto">
        <a:xfrm>
          <a:off x="3901109" y="57531000"/>
          <a:ext cx="1117324" cy="333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2366</xdr:rowOff>
    </xdr:to>
    <xdr:sp macro="" textlink="">
      <xdr:nvSpPr>
        <xdr:cNvPr id="276" name="Text Box 5">
          <a:extLst>
            <a:ext uri="{FF2B5EF4-FFF2-40B4-BE49-F238E27FC236}">
              <a16:creationId xmlns:a16="http://schemas.microsoft.com/office/drawing/2014/main" id="{00000000-0008-0000-0100-000014010000}"/>
            </a:ext>
          </a:extLst>
        </xdr:cNvPr>
        <xdr:cNvSpPr txBox="1">
          <a:spLocks noChangeArrowheads="1"/>
        </xdr:cNvSpPr>
      </xdr:nvSpPr>
      <xdr:spPr bwMode="auto">
        <a:xfrm>
          <a:off x="3901109" y="57531000"/>
          <a:ext cx="1117324" cy="16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2366</xdr:rowOff>
    </xdr:to>
    <xdr:sp macro="" textlink="">
      <xdr:nvSpPr>
        <xdr:cNvPr id="277" name="Text Box 6">
          <a:extLst>
            <a:ext uri="{FF2B5EF4-FFF2-40B4-BE49-F238E27FC236}">
              <a16:creationId xmlns:a16="http://schemas.microsoft.com/office/drawing/2014/main" id="{00000000-0008-0000-0100-000015010000}"/>
            </a:ext>
          </a:extLst>
        </xdr:cNvPr>
        <xdr:cNvSpPr txBox="1">
          <a:spLocks noChangeArrowheads="1"/>
        </xdr:cNvSpPr>
      </xdr:nvSpPr>
      <xdr:spPr bwMode="auto">
        <a:xfrm>
          <a:off x="3901109" y="57531000"/>
          <a:ext cx="1117324" cy="16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2366</xdr:rowOff>
    </xdr:to>
    <xdr:sp macro="" textlink="">
      <xdr:nvSpPr>
        <xdr:cNvPr id="278" name="Text Box 7">
          <a:extLst>
            <a:ext uri="{FF2B5EF4-FFF2-40B4-BE49-F238E27FC236}">
              <a16:creationId xmlns:a16="http://schemas.microsoft.com/office/drawing/2014/main" id="{00000000-0008-0000-0100-000016010000}"/>
            </a:ext>
          </a:extLst>
        </xdr:cNvPr>
        <xdr:cNvSpPr txBox="1">
          <a:spLocks noChangeArrowheads="1"/>
        </xdr:cNvSpPr>
      </xdr:nvSpPr>
      <xdr:spPr bwMode="auto">
        <a:xfrm>
          <a:off x="3901109" y="57531000"/>
          <a:ext cx="1117324" cy="16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2366</xdr:rowOff>
    </xdr:to>
    <xdr:sp macro="" textlink="">
      <xdr:nvSpPr>
        <xdr:cNvPr id="279" name="Text Box 8">
          <a:extLst>
            <a:ext uri="{FF2B5EF4-FFF2-40B4-BE49-F238E27FC236}">
              <a16:creationId xmlns:a16="http://schemas.microsoft.com/office/drawing/2014/main" id="{00000000-0008-0000-0100-000017010000}"/>
            </a:ext>
          </a:extLst>
        </xdr:cNvPr>
        <xdr:cNvSpPr txBox="1">
          <a:spLocks noChangeArrowheads="1"/>
        </xdr:cNvSpPr>
      </xdr:nvSpPr>
      <xdr:spPr bwMode="auto">
        <a:xfrm>
          <a:off x="3901109" y="57531000"/>
          <a:ext cx="1117324" cy="16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2366</xdr:rowOff>
    </xdr:to>
    <xdr:sp macro="" textlink="">
      <xdr:nvSpPr>
        <xdr:cNvPr id="280" name="Text Box 9">
          <a:extLst>
            <a:ext uri="{FF2B5EF4-FFF2-40B4-BE49-F238E27FC236}">
              <a16:creationId xmlns:a16="http://schemas.microsoft.com/office/drawing/2014/main" id="{00000000-0008-0000-0100-000018010000}"/>
            </a:ext>
          </a:extLst>
        </xdr:cNvPr>
        <xdr:cNvSpPr txBox="1">
          <a:spLocks noChangeArrowheads="1"/>
        </xdr:cNvSpPr>
      </xdr:nvSpPr>
      <xdr:spPr bwMode="auto">
        <a:xfrm>
          <a:off x="3901109" y="57531000"/>
          <a:ext cx="1117324" cy="16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2366</xdr:rowOff>
    </xdr:to>
    <xdr:sp macro="" textlink="">
      <xdr:nvSpPr>
        <xdr:cNvPr id="281" name="Text Box 10">
          <a:extLst>
            <a:ext uri="{FF2B5EF4-FFF2-40B4-BE49-F238E27FC236}">
              <a16:creationId xmlns:a16="http://schemas.microsoft.com/office/drawing/2014/main" id="{00000000-0008-0000-0100-000019010000}"/>
            </a:ext>
          </a:extLst>
        </xdr:cNvPr>
        <xdr:cNvSpPr txBox="1">
          <a:spLocks noChangeArrowheads="1"/>
        </xdr:cNvSpPr>
      </xdr:nvSpPr>
      <xdr:spPr bwMode="auto">
        <a:xfrm>
          <a:off x="3901109" y="57531000"/>
          <a:ext cx="1117324" cy="16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2366</xdr:rowOff>
    </xdr:to>
    <xdr:sp macro="" textlink="">
      <xdr:nvSpPr>
        <xdr:cNvPr id="282" name="Text Box 6">
          <a:extLst>
            <a:ext uri="{FF2B5EF4-FFF2-40B4-BE49-F238E27FC236}">
              <a16:creationId xmlns:a16="http://schemas.microsoft.com/office/drawing/2014/main" id="{00000000-0008-0000-0100-00001A010000}"/>
            </a:ext>
          </a:extLst>
        </xdr:cNvPr>
        <xdr:cNvSpPr txBox="1">
          <a:spLocks noChangeArrowheads="1"/>
        </xdr:cNvSpPr>
      </xdr:nvSpPr>
      <xdr:spPr bwMode="auto">
        <a:xfrm>
          <a:off x="3901109" y="57531000"/>
          <a:ext cx="1117324" cy="16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2366</xdr:rowOff>
    </xdr:to>
    <xdr:sp macro="" textlink="">
      <xdr:nvSpPr>
        <xdr:cNvPr id="283" name="Text Box 22">
          <a:extLst>
            <a:ext uri="{FF2B5EF4-FFF2-40B4-BE49-F238E27FC236}">
              <a16:creationId xmlns:a16="http://schemas.microsoft.com/office/drawing/2014/main" id="{00000000-0008-0000-0100-00001B010000}"/>
            </a:ext>
          </a:extLst>
        </xdr:cNvPr>
        <xdr:cNvSpPr txBox="1">
          <a:spLocks noChangeArrowheads="1"/>
        </xdr:cNvSpPr>
      </xdr:nvSpPr>
      <xdr:spPr bwMode="auto">
        <a:xfrm>
          <a:off x="3901109" y="57531000"/>
          <a:ext cx="1117324" cy="16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2</xdr:col>
      <xdr:colOff>93345</xdr:colOff>
      <xdr:row>57</xdr:row>
      <xdr:rowOff>0</xdr:rowOff>
    </xdr:to>
    <xdr:sp macro="" textlink="">
      <xdr:nvSpPr>
        <xdr:cNvPr id="284" name="Text Box 1">
          <a:extLst>
            <a:ext uri="{FF2B5EF4-FFF2-40B4-BE49-F238E27FC236}">
              <a16:creationId xmlns:a16="http://schemas.microsoft.com/office/drawing/2014/main" id="{00000000-0008-0000-0100-00001C010000}"/>
            </a:ext>
          </a:extLst>
        </xdr:cNvPr>
        <xdr:cNvSpPr txBox="1">
          <a:spLocks noChangeArrowheads="1"/>
        </xdr:cNvSpPr>
      </xdr:nvSpPr>
      <xdr:spPr bwMode="auto">
        <a:xfrm>
          <a:off x="4580283" y="57531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2</xdr:col>
      <xdr:colOff>93345</xdr:colOff>
      <xdr:row>57</xdr:row>
      <xdr:rowOff>0</xdr:rowOff>
    </xdr:to>
    <xdr:sp macro="" textlink="">
      <xdr:nvSpPr>
        <xdr:cNvPr id="285" name="Text Box 1">
          <a:extLst>
            <a:ext uri="{FF2B5EF4-FFF2-40B4-BE49-F238E27FC236}">
              <a16:creationId xmlns:a16="http://schemas.microsoft.com/office/drawing/2014/main" id="{00000000-0008-0000-0100-00001D010000}"/>
            </a:ext>
          </a:extLst>
        </xdr:cNvPr>
        <xdr:cNvSpPr txBox="1">
          <a:spLocks noChangeArrowheads="1"/>
        </xdr:cNvSpPr>
      </xdr:nvSpPr>
      <xdr:spPr bwMode="auto">
        <a:xfrm>
          <a:off x="4580283" y="57531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2</xdr:col>
      <xdr:colOff>93345</xdr:colOff>
      <xdr:row>57</xdr:row>
      <xdr:rowOff>0</xdr:rowOff>
    </xdr:to>
    <xdr:sp macro="" textlink="">
      <xdr:nvSpPr>
        <xdr:cNvPr id="286" name="Text Box 1">
          <a:extLst>
            <a:ext uri="{FF2B5EF4-FFF2-40B4-BE49-F238E27FC236}">
              <a16:creationId xmlns:a16="http://schemas.microsoft.com/office/drawing/2014/main" id="{00000000-0008-0000-0100-00001E010000}"/>
            </a:ext>
          </a:extLst>
        </xdr:cNvPr>
        <xdr:cNvSpPr txBox="1">
          <a:spLocks noChangeArrowheads="1"/>
        </xdr:cNvSpPr>
      </xdr:nvSpPr>
      <xdr:spPr bwMode="auto">
        <a:xfrm>
          <a:off x="4580283" y="57531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2</xdr:col>
      <xdr:colOff>93345</xdr:colOff>
      <xdr:row>57</xdr:row>
      <xdr:rowOff>0</xdr:rowOff>
    </xdr:to>
    <xdr:sp macro="" textlink="">
      <xdr:nvSpPr>
        <xdr:cNvPr id="287" name="Text Box 1">
          <a:extLst>
            <a:ext uri="{FF2B5EF4-FFF2-40B4-BE49-F238E27FC236}">
              <a16:creationId xmlns:a16="http://schemas.microsoft.com/office/drawing/2014/main" id="{00000000-0008-0000-0100-00001F010000}"/>
            </a:ext>
          </a:extLst>
        </xdr:cNvPr>
        <xdr:cNvSpPr txBox="1">
          <a:spLocks noChangeArrowheads="1"/>
        </xdr:cNvSpPr>
      </xdr:nvSpPr>
      <xdr:spPr bwMode="auto">
        <a:xfrm>
          <a:off x="4580283" y="57531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88" name="Text Box 5">
          <a:extLst>
            <a:ext uri="{FF2B5EF4-FFF2-40B4-BE49-F238E27FC236}">
              <a16:creationId xmlns:a16="http://schemas.microsoft.com/office/drawing/2014/main" id="{00000000-0008-0000-0100-00002001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3174</xdr:rowOff>
    </xdr:to>
    <xdr:sp macro="" textlink="">
      <xdr:nvSpPr>
        <xdr:cNvPr id="289" name="Text Box 6">
          <a:extLst>
            <a:ext uri="{FF2B5EF4-FFF2-40B4-BE49-F238E27FC236}">
              <a16:creationId xmlns:a16="http://schemas.microsoft.com/office/drawing/2014/main" id="{00000000-0008-0000-0100-000021010000}"/>
            </a:ext>
          </a:extLst>
        </xdr:cNvPr>
        <xdr:cNvSpPr txBox="1">
          <a:spLocks noChangeArrowheads="1"/>
        </xdr:cNvSpPr>
      </xdr:nvSpPr>
      <xdr:spPr bwMode="auto">
        <a:xfrm>
          <a:off x="3901109" y="5753100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90" name="Text Box 16">
          <a:extLst>
            <a:ext uri="{FF2B5EF4-FFF2-40B4-BE49-F238E27FC236}">
              <a16:creationId xmlns:a16="http://schemas.microsoft.com/office/drawing/2014/main" id="{00000000-0008-0000-0100-00002201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91" name="Text Box 17">
          <a:extLst>
            <a:ext uri="{FF2B5EF4-FFF2-40B4-BE49-F238E27FC236}">
              <a16:creationId xmlns:a16="http://schemas.microsoft.com/office/drawing/2014/main" id="{00000000-0008-0000-0100-00002301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92" name="Text Box 18">
          <a:extLst>
            <a:ext uri="{FF2B5EF4-FFF2-40B4-BE49-F238E27FC236}">
              <a16:creationId xmlns:a16="http://schemas.microsoft.com/office/drawing/2014/main" id="{00000000-0008-0000-0100-00002401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93" name="Text Box 19">
          <a:extLst>
            <a:ext uri="{FF2B5EF4-FFF2-40B4-BE49-F238E27FC236}">
              <a16:creationId xmlns:a16="http://schemas.microsoft.com/office/drawing/2014/main" id="{00000000-0008-0000-0100-00002501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94" name="Text Box 20">
          <a:extLst>
            <a:ext uri="{FF2B5EF4-FFF2-40B4-BE49-F238E27FC236}">
              <a16:creationId xmlns:a16="http://schemas.microsoft.com/office/drawing/2014/main" id="{00000000-0008-0000-0100-00002601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808</xdr:rowOff>
    </xdr:to>
    <xdr:sp macro="" textlink="">
      <xdr:nvSpPr>
        <xdr:cNvPr id="295" name="Text Box 21">
          <a:extLst>
            <a:ext uri="{FF2B5EF4-FFF2-40B4-BE49-F238E27FC236}">
              <a16:creationId xmlns:a16="http://schemas.microsoft.com/office/drawing/2014/main" id="{00000000-0008-0000-0100-000027010000}"/>
            </a:ext>
          </a:extLst>
        </xdr:cNvPr>
        <xdr:cNvSpPr txBox="1">
          <a:spLocks noChangeArrowheads="1"/>
        </xdr:cNvSpPr>
      </xdr:nvSpPr>
      <xdr:spPr bwMode="auto">
        <a:xfrm>
          <a:off x="3901109" y="57531000"/>
          <a:ext cx="1117324" cy="166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3174</xdr:rowOff>
    </xdr:to>
    <xdr:sp macro="" textlink="">
      <xdr:nvSpPr>
        <xdr:cNvPr id="296" name="Text Box 22">
          <a:extLst>
            <a:ext uri="{FF2B5EF4-FFF2-40B4-BE49-F238E27FC236}">
              <a16:creationId xmlns:a16="http://schemas.microsoft.com/office/drawing/2014/main" id="{00000000-0008-0000-0100-000028010000}"/>
            </a:ext>
          </a:extLst>
        </xdr:cNvPr>
        <xdr:cNvSpPr txBox="1">
          <a:spLocks noChangeArrowheads="1"/>
        </xdr:cNvSpPr>
      </xdr:nvSpPr>
      <xdr:spPr bwMode="auto">
        <a:xfrm>
          <a:off x="3901109" y="5753100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3</xdr:col>
      <xdr:colOff>478972</xdr:colOff>
      <xdr:row>58</xdr:row>
      <xdr:rowOff>3809</xdr:rowOff>
    </xdr:to>
    <xdr:sp macro="" textlink="">
      <xdr:nvSpPr>
        <xdr:cNvPr id="297" name="Text Box 5">
          <a:extLst>
            <a:ext uri="{FF2B5EF4-FFF2-40B4-BE49-F238E27FC236}">
              <a16:creationId xmlns:a16="http://schemas.microsoft.com/office/drawing/2014/main" id="{00000000-0008-0000-0100-000029010000}"/>
            </a:ext>
          </a:extLst>
        </xdr:cNvPr>
        <xdr:cNvSpPr txBox="1">
          <a:spLocks noChangeArrowheads="1"/>
        </xdr:cNvSpPr>
      </xdr:nvSpPr>
      <xdr:spPr bwMode="auto">
        <a:xfrm>
          <a:off x="3901109" y="57531000"/>
          <a:ext cx="1117324" cy="1656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2</xdr:col>
      <xdr:colOff>93345</xdr:colOff>
      <xdr:row>57</xdr:row>
      <xdr:rowOff>0</xdr:rowOff>
    </xdr:to>
    <xdr:sp macro="" textlink="">
      <xdr:nvSpPr>
        <xdr:cNvPr id="298" name="Text Box 1">
          <a:extLst>
            <a:ext uri="{FF2B5EF4-FFF2-40B4-BE49-F238E27FC236}">
              <a16:creationId xmlns:a16="http://schemas.microsoft.com/office/drawing/2014/main" id="{00000000-0008-0000-0100-00002A010000}"/>
            </a:ext>
          </a:extLst>
        </xdr:cNvPr>
        <xdr:cNvSpPr txBox="1">
          <a:spLocks noChangeArrowheads="1"/>
        </xdr:cNvSpPr>
      </xdr:nvSpPr>
      <xdr:spPr bwMode="auto">
        <a:xfrm>
          <a:off x="4580283" y="57531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2</xdr:col>
      <xdr:colOff>93345</xdr:colOff>
      <xdr:row>57</xdr:row>
      <xdr:rowOff>0</xdr:rowOff>
    </xdr:to>
    <xdr:sp macro="" textlink="">
      <xdr:nvSpPr>
        <xdr:cNvPr id="299" name="Text Box 1">
          <a:extLst>
            <a:ext uri="{FF2B5EF4-FFF2-40B4-BE49-F238E27FC236}">
              <a16:creationId xmlns:a16="http://schemas.microsoft.com/office/drawing/2014/main" id="{00000000-0008-0000-0100-00002B010000}"/>
            </a:ext>
          </a:extLst>
        </xdr:cNvPr>
        <xdr:cNvSpPr txBox="1">
          <a:spLocks noChangeArrowheads="1"/>
        </xdr:cNvSpPr>
      </xdr:nvSpPr>
      <xdr:spPr bwMode="auto">
        <a:xfrm>
          <a:off x="4580283" y="57531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57</xdr:row>
      <xdr:rowOff>0</xdr:rowOff>
    </xdr:from>
    <xdr:to>
      <xdr:col>2</xdr:col>
      <xdr:colOff>93345</xdr:colOff>
      <xdr:row>57</xdr:row>
      <xdr:rowOff>0</xdr:rowOff>
    </xdr:to>
    <xdr:sp macro="" textlink="">
      <xdr:nvSpPr>
        <xdr:cNvPr id="300" name="Text Box 1">
          <a:extLst>
            <a:ext uri="{FF2B5EF4-FFF2-40B4-BE49-F238E27FC236}">
              <a16:creationId xmlns:a16="http://schemas.microsoft.com/office/drawing/2014/main" id="{00000000-0008-0000-0100-00002C010000}"/>
            </a:ext>
          </a:extLst>
        </xdr:cNvPr>
        <xdr:cNvSpPr txBox="1">
          <a:spLocks noChangeArrowheads="1"/>
        </xdr:cNvSpPr>
      </xdr:nvSpPr>
      <xdr:spPr bwMode="auto">
        <a:xfrm>
          <a:off x="4580283" y="57531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0</xdr:colOff>
      <xdr:row>719</xdr:row>
      <xdr:rowOff>0</xdr:rowOff>
    </xdr:from>
    <xdr:ext cx="1117324" cy="256668"/>
    <xdr:sp macro="" textlink="">
      <xdr:nvSpPr>
        <xdr:cNvPr id="311" name="Text Box 5">
          <a:extLst>
            <a:ext uri="{FF2B5EF4-FFF2-40B4-BE49-F238E27FC236}">
              <a16:creationId xmlns:a16="http://schemas.microsoft.com/office/drawing/2014/main" id="{00000000-0008-0000-0100-000037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2" name="Text Box 6">
          <a:extLst>
            <a:ext uri="{FF2B5EF4-FFF2-40B4-BE49-F238E27FC236}">
              <a16:creationId xmlns:a16="http://schemas.microsoft.com/office/drawing/2014/main" id="{00000000-0008-0000-0100-000038010000}"/>
            </a:ext>
          </a:extLst>
        </xdr:cNvPr>
        <xdr:cNvSpPr txBox="1">
          <a:spLocks noChangeArrowheads="1"/>
        </xdr:cNvSpPr>
      </xdr:nvSpPr>
      <xdr:spPr bwMode="auto">
        <a:xfrm>
          <a:off x="3901109" y="2554853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3" name="Text Box 16">
          <a:extLst>
            <a:ext uri="{FF2B5EF4-FFF2-40B4-BE49-F238E27FC236}">
              <a16:creationId xmlns:a16="http://schemas.microsoft.com/office/drawing/2014/main" id="{00000000-0008-0000-0100-000039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 name="Text Box 17">
          <a:extLst>
            <a:ext uri="{FF2B5EF4-FFF2-40B4-BE49-F238E27FC236}">
              <a16:creationId xmlns:a16="http://schemas.microsoft.com/office/drawing/2014/main" id="{00000000-0008-0000-0100-00003A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5" name="Text Box 18">
          <a:extLst>
            <a:ext uri="{FF2B5EF4-FFF2-40B4-BE49-F238E27FC236}">
              <a16:creationId xmlns:a16="http://schemas.microsoft.com/office/drawing/2014/main" id="{00000000-0008-0000-0100-00003B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 name="Text Box 19">
          <a:extLst>
            <a:ext uri="{FF2B5EF4-FFF2-40B4-BE49-F238E27FC236}">
              <a16:creationId xmlns:a16="http://schemas.microsoft.com/office/drawing/2014/main" id="{00000000-0008-0000-0100-00003C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7" name="Text Box 20">
          <a:extLst>
            <a:ext uri="{FF2B5EF4-FFF2-40B4-BE49-F238E27FC236}">
              <a16:creationId xmlns:a16="http://schemas.microsoft.com/office/drawing/2014/main" id="{00000000-0008-0000-0100-00003D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8" name="Text Box 21">
          <a:extLst>
            <a:ext uri="{FF2B5EF4-FFF2-40B4-BE49-F238E27FC236}">
              <a16:creationId xmlns:a16="http://schemas.microsoft.com/office/drawing/2014/main" id="{00000000-0008-0000-0100-00003E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9" name="Text Box 22">
          <a:extLst>
            <a:ext uri="{FF2B5EF4-FFF2-40B4-BE49-F238E27FC236}">
              <a16:creationId xmlns:a16="http://schemas.microsoft.com/office/drawing/2014/main" id="{00000000-0008-0000-0100-00003F010000}"/>
            </a:ext>
          </a:extLst>
        </xdr:cNvPr>
        <xdr:cNvSpPr txBox="1">
          <a:spLocks noChangeArrowheads="1"/>
        </xdr:cNvSpPr>
      </xdr:nvSpPr>
      <xdr:spPr bwMode="auto">
        <a:xfrm>
          <a:off x="3901109" y="2554853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320" name="Text Box 1">
          <a:extLst>
            <a:ext uri="{FF2B5EF4-FFF2-40B4-BE49-F238E27FC236}">
              <a16:creationId xmlns:a16="http://schemas.microsoft.com/office/drawing/2014/main" id="{00000000-0008-0000-0100-00004001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321" name="Text Box 1">
          <a:extLst>
            <a:ext uri="{FF2B5EF4-FFF2-40B4-BE49-F238E27FC236}">
              <a16:creationId xmlns:a16="http://schemas.microsoft.com/office/drawing/2014/main" id="{00000000-0008-0000-0100-00004101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322" name="Text Box 1">
          <a:extLst>
            <a:ext uri="{FF2B5EF4-FFF2-40B4-BE49-F238E27FC236}">
              <a16:creationId xmlns:a16="http://schemas.microsoft.com/office/drawing/2014/main" id="{00000000-0008-0000-0100-00004201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323" name="Text Box 1">
          <a:extLst>
            <a:ext uri="{FF2B5EF4-FFF2-40B4-BE49-F238E27FC236}">
              <a16:creationId xmlns:a16="http://schemas.microsoft.com/office/drawing/2014/main" id="{00000000-0008-0000-0100-00004301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24" name="Text Box 5">
          <a:extLst>
            <a:ext uri="{FF2B5EF4-FFF2-40B4-BE49-F238E27FC236}">
              <a16:creationId xmlns:a16="http://schemas.microsoft.com/office/drawing/2014/main" id="{00000000-0008-0000-0100-000044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25" name="Text Box 6">
          <a:extLst>
            <a:ext uri="{FF2B5EF4-FFF2-40B4-BE49-F238E27FC236}">
              <a16:creationId xmlns:a16="http://schemas.microsoft.com/office/drawing/2014/main" id="{00000000-0008-0000-0100-000045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26" name="Text Box 7">
          <a:extLst>
            <a:ext uri="{FF2B5EF4-FFF2-40B4-BE49-F238E27FC236}">
              <a16:creationId xmlns:a16="http://schemas.microsoft.com/office/drawing/2014/main" id="{00000000-0008-0000-0100-000046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27" name="Text Box 8">
          <a:extLst>
            <a:ext uri="{FF2B5EF4-FFF2-40B4-BE49-F238E27FC236}">
              <a16:creationId xmlns:a16="http://schemas.microsoft.com/office/drawing/2014/main" id="{00000000-0008-0000-0100-000047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28" name="Text Box 9">
          <a:extLst>
            <a:ext uri="{FF2B5EF4-FFF2-40B4-BE49-F238E27FC236}">
              <a16:creationId xmlns:a16="http://schemas.microsoft.com/office/drawing/2014/main" id="{00000000-0008-0000-0100-000048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29" name="Text Box 10">
          <a:extLst>
            <a:ext uri="{FF2B5EF4-FFF2-40B4-BE49-F238E27FC236}">
              <a16:creationId xmlns:a16="http://schemas.microsoft.com/office/drawing/2014/main" id="{00000000-0008-0000-0100-000049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0" name="Text Box 11">
          <a:extLst>
            <a:ext uri="{FF2B5EF4-FFF2-40B4-BE49-F238E27FC236}">
              <a16:creationId xmlns:a16="http://schemas.microsoft.com/office/drawing/2014/main" id="{00000000-0008-0000-0100-00004A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1" name="Text Box 12">
          <a:extLst>
            <a:ext uri="{FF2B5EF4-FFF2-40B4-BE49-F238E27FC236}">
              <a16:creationId xmlns:a16="http://schemas.microsoft.com/office/drawing/2014/main" id="{00000000-0008-0000-0100-00004B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2" name="Text Box 13">
          <a:extLst>
            <a:ext uri="{FF2B5EF4-FFF2-40B4-BE49-F238E27FC236}">
              <a16:creationId xmlns:a16="http://schemas.microsoft.com/office/drawing/2014/main" id="{00000000-0008-0000-0100-00004C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333" name="Text Box 14">
          <a:extLst>
            <a:ext uri="{FF2B5EF4-FFF2-40B4-BE49-F238E27FC236}">
              <a16:creationId xmlns:a16="http://schemas.microsoft.com/office/drawing/2014/main" id="{00000000-0008-0000-0100-00004D010000}"/>
            </a:ext>
          </a:extLst>
        </xdr:cNvPr>
        <xdr:cNvSpPr txBox="1">
          <a:spLocks noChangeArrowheads="1"/>
        </xdr:cNvSpPr>
      </xdr:nvSpPr>
      <xdr:spPr bwMode="auto">
        <a:xfrm>
          <a:off x="3901109" y="25548534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4" name="Text Box 15">
          <a:extLst>
            <a:ext uri="{FF2B5EF4-FFF2-40B4-BE49-F238E27FC236}">
              <a16:creationId xmlns:a16="http://schemas.microsoft.com/office/drawing/2014/main" id="{00000000-0008-0000-0100-00004E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5" name="Text Box 16">
          <a:extLst>
            <a:ext uri="{FF2B5EF4-FFF2-40B4-BE49-F238E27FC236}">
              <a16:creationId xmlns:a16="http://schemas.microsoft.com/office/drawing/2014/main" id="{00000000-0008-0000-0100-00004F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6" name="Text Box 17">
          <a:extLst>
            <a:ext uri="{FF2B5EF4-FFF2-40B4-BE49-F238E27FC236}">
              <a16:creationId xmlns:a16="http://schemas.microsoft.com/office/drawing/2014/main" id="{00000000-0008-0000-0100-000050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7" name="Text Box 18">
          <a:extLst>
            <a:ext uri="{FF2B5EF4-FFF2-40B4-BE49-F238E27FC236}">
              <a16:creationId xmlns:a16="http://schemas.microsoft.com/office/drawing/2014/main" id="{00000000-0008-0000-0100-000051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8" name="Text Box 19">
          <a:extLst>
            <a:ext uri="{FF2B5EF4-FFF2-40B4-BE49-F238E27FC236}">
              <a16:creationId xmlns:a16="http://schemas.microsoft.com/office/drawing/2014/main" id="{00000000-0008-0000-0100-000052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39" name="Text Box 20">
          <a:extLst>
            <a:ext uri="{FF2B5EF4-FFF2-40B4-BE49-F238E27FC236}">
              <a16:creationId xmlns:a16="http://schemas.microsoft.com/office/drawing/2014/main" id="{00000000-0008-0000-0100-000053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0" name="Text Box 21">
          <a:extLst>
            <a:ext uri="{FF2B5EF4-FFF2-40B4-BE49-F238E27FC236}">
              <a16:creationId xmlns:a16="http://schemas.microsoft.com/office/drawing/2014/main" id="{00000000-0008-0000-0100-000054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1" name="Text Box 22">
          <a:extLst>
            <a:ext uri="{FF2B5EF4-FFF2-40B4-BE49-F238E27FC236}">
              <a16:creationId xmlns:a16="http://schemas.microsoft.com/office/drawing/2014/main" id="{00000000-0008-0000-0100-000055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2" name="Text Box 7">
          <a:extLst>
            <a:ext uri="{FF2B5EF4-FFF2-40B4-BE49-F238E27FC236}">
              <a16:creationId xmlns:a16="http://schemas.microsoft.com/office/drawing/2014/main" id="{00000000-0008-0000-0100-000056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3" name="Text Box 8">
          <a:extLst>
            <a:ext uri="{FF2B5EF4-FFF2-40B4-BE49-F238E27FC236}">
              <a16:creationId xmlns:a16="http://schemas.microsoft.com/office/drawing/2014/main" id="{00000000-0008-0000-0100-000057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4" name="Text Box 9">
          <a:extLst>
            <a:ext uri="{FF2B5EF4-FFF2-40B4-BE49-F238E27FC236}">
              <a16:creationId xmlns:a16="http://schemas.microsoft.com/office/drawing/2014/main" id="{00000000-0008-0000-0100-000058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5" name="Text Box 10">
          <a:extLst>
            <a:ext uri="{FF2B5EF4-FFF2-40B4-BE49-F238E27FC236}">
              <a16:creationId xmlns:a16="http://schemas.microsoft.com/office/drawing/2014/main" id="{00000000-0008-0000-0100-000059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6" name="Text Box 11">
          <a:extLst>
            <a:ext uri="{FF2B5EF4-FFF2-40B4-BE49-F238E27FC236}">
              <a16:creationId xmlns:a16="http://schemas.microsoft.com/office/drawing/2014/main" id="{00000000-0008-0000-0100-00005A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7" name="Text Box 12">
          <a:extLst>
            <a:ext uri="{FF2B5EF4-FFF2-40B4-BE49-F238E27FC236}">
              <a16:creationId xmlns:a16="http://schemas.microsoft.com/office/drawing/2014/main" id="{00000000-0008-0000-0100-00005B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48" name="Text Box 13">
          <a:extLst>
            <a:ext uri="{FF2B5EF4-FFF2-40B4-BE49-F238E27FC236}">
              <a16:creationId xmlns:a16="http://schemas.microsoft.com/office/drawing/2014/main" id="{00000000-0008-0000-0100-00005C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349" name="Text Box 14">
          <a:extLst>
            <a:ext uri="{FF2B5EF4-FFF2-40B4-BE49-F238E27FC236}">
              <a16:creationId xmlns:a16="http://schemas.microsoft.com/office/drawing/2014/main" id="{00000000-0008-0000-0100-00005D010000}"/>
            </a:ext>
          </a:extLst>
        </xdr:cNvPr>
        <xdr:cNvSpPr txBox="1">
          <a:spLocks noChangeArrowheads="1"/>
        </xdr:cNvSpPr>
      </xdr:nvSpPr>
      <xdr:spPr bwMode="auto">
        <a:xfrm>
          <a:off x="3901109" y="25548534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50" name="Text Box 15">
          <a:extLst>
            <a:ext uri="{FF2B5EF4-FFF2-40B4-BE49-F238E27FC236}">
              <a16:creationId xmlns:a16="http://schemas.microsoft.com/office/drawing/2014/main" id="{00000000-0008-0000-0100-00005E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51" name="Text Box 5">
          <a:extLst>
            <a:ext uri="{FF2B5EF4-FFF2-40B4-BE49-F238E27FC236}">
              <a16:creationId xmlns:a16="http://schemas.microsoft.com/office/drawing/2014/main" id="{00000000-0008-0000-0100-00005F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52" name="Text Box 6">
          <a:extLst>
            <a:ext uri="{FF2B5EF4-FFF2-40B4-BE49-F238E27FC236}">
              <a16:creationId xmlns:a16="http://schemas.microsoft.com/office/drawing/2014/main" id="{00000000-0008-0000-0100-000060010000}"/>
            </a:ext>
          </a:extLst>
        </xdr:cNvPr>
        <xdr:cNvSpPr txBox="1">
          <a:spLocks noChangeArrowheads="1"/>
        </xdr:cNvSpPr>
      </xdr:nvSpPr>
      <xdr:spPr bwMode="auto">
        <a:xfrm>
          <a:off x="3901109" y="2554853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53" name="Text Box 7">
          <a:extLst>
            <a:ext uri="{FF2B5EF4-FFF2-40B4-BE49-F238E27FC236}">
              <a16:creationId xmlns:a16="http://schemas.microsoft.com/office/drawing/2014/main" id="{00000000-0008-0000-0100-000061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54" name="Text Box 8">
          <a:extLst>
            <a:ext uri="{FF2B5EF4-FFF2-40B4-BE49-F238E27FC236}">
              <a16:creationId xmlns:a16="http://schemas.microsoft.com/office/drawing/2014/main" id="{00000000-0008-0000-0100-000062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55" name="Text Box 9">
          <a:extLst>
            <a:ext uri="{FF2B5EF4-FFF2-40B4-BE49-F238E27FC236}">
              <a16:creationId xmlns:a16="http://schemas.microsoft.com/office/drawing/2014/main" id="{00000000-0008-0000-0100-000063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56" name="Text Box 10">
          <a:extLst>
            <a:ext uri="{FF2B5EF4-FFF2-40B4-BE49-F238E27FC236}">
              <a16:creationId xmlns:a16="http://schemas.microsoft.com/office/drawing/2014/main" id="{00000000-0008-0000-0100-000064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57" name="Text Box 11">
          <a:extLst>
            <a:ext uri="{FF2B5EF4-FFF2-40B4-BE49-F238E27FC236}">
              <a16:creationId xmlns:a16="http://schemas.microsoft.com/office/drawing/2014/main" id="{00000000-0008-0000-0100-000065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58" name="Text Box 12">
          <a:extLst>
            <a:ext uri="{FF2B5EF4-FFF2-40B4-BE49-F238E27FC236}">
              <a16:creationId xmlns:a16="http://schemas.microsoft.com/office/drawing/2014/main" id="{00000000-0008-0000-0100-000066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59" name="Text Box 13">
          <a:extLst>
            <a:ext uri="{FF2B5EF4-FFF2-40B4-BE49-F238E27FC236}">
              <a16:creationId xmlns:a16="http://schemas.microsoft.com/office/drawing/2014/main" id="{00000000-0008-0000-0100-000067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360" name="Text Box 14">
          <a:extLst>
            <a:ext uri="{FF2B5EF4-FFF2-40B4-BE49-F238E27FC236}">
              <a16:creationId xmlns:a16="http://schemas.microsoft.com/office/drawing/2014/main" id="{00000000-0008-0000-0100-000068010000}"/>
            </a:ext>
          </a:extLst>
        </xdr:cNvPr>
        <xdr:cNvSpPr txBox="1">
          <a:spLocks noChangeArrowheads="1"/>
        </xdr:cNvSpPr>
      </xdr:nvSpPr>
      <xdr:spPr bwMode="auto">
        <a:xfrm>
          <a:off x="3901109" y="25548534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61" name="Text Box 15">
          <a:extLst>
            <a:ext uri="{FF2B5EF4-FFF2-40B4-BE49-F238E27FC236}">
              <a16:creationId xmlns:a16="http://schemas.microsoft.com/office/drawing/2014/main" id="{00000000-0008-0000-0100-000069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62" name="Text Box 16">
          <a:extLst>
            <a:ext uri="{FF2B5EF4-FFF2-40B4-BE49-F238E27FC236}">
              <a16:creationId xmlns:a16="http://schemas.microsoft.com/office/drawing/2014/main" id="{00000000-0008-0000-0100-00006A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63" name="Text Box 17">
          <a:extLst>
            <a:ext uri="{FF2B5EF4-FFF2-40B4-BE49-F238E27FC236}">
              <a16:creationId xmlns:a16="http://schemas.microsoft.com/office/drawing/2014/main" id="{00000000-0008-0000-0100-00006B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64" name="Text Box 18">
          <a:extLst>
            <a:ext uri="{FF2B5EF4-FFF2-40B4-BE49-F238E27FC236}">
              <a16:creationId xmlns:a16="http://schemas.microsoft.com/office/drawing/2014/main" id="{00000000-0008-0000-0100-00006C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65" name="Text Box 19">
          <a:extLst>
            <a:ext uri="{FF2B5EF4-FFF2-40B4-BE49-F238E27FC236}">
              <a16:creationId xmlns:a16="http://schemas.microsoft.com/office/drawing/2014/main" id="{00000000-0008-0000-0100-00006D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66" name="Text Box 20">
          <a:extLst>
            <a:ext uri="{FF2B5EF4-FFF2-40B4-BE49-F238E27FC236}">
              <a16:creationId xmlns:a16="http://schemas.microsoft.com/office/drawing/2014/main" id="{00000000-0008-0000-0100-00006E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67" name="Text Box 21">
          <a:extLst>
            <a:ext uri="{FF2B5EF4-FFF2-40B4-BE49-F238E27FC236}">
              <a16:creationId xmlns:a16="http://schemas.microsoft.com/office/drawing/2014/main" id="{00000000-0008-0000-0100-00006F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68" name="Text Box 22">
          <a:extLst>
            <a:ext uri="{FF2B5EF4-FFF2-40B4-BE49-F238E27FC236}">
              <a16:creationId xmlns:a16="http://schemas.microsoft.com/office/drawing/2014/main" id="{00000000-0008-0000-0100-000070010000}"/>
            </a:ext>
          </a:extLst>
        </xdr:cNvPr>
        <xdr:cNvSpPr txBox="1">
          <a:spLocks noChangeArrowheads="1"/>
        </xdr:cNvSpPr>
      </xdr:nvSpPr>
      <xdr:spPr bwMode="auto">
        <a:xfrm>
          <a:off x="3901109" y="2554853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69" name="Text Box 7">
          <a:extLst>
            <a:ext uri="{FF2B5EF4-FFF2-40B4-BE49-F238E27FC236}">
              <a16:creationId xmlns:a16="http://schemas.microsoft.com/office/drawing/2014/main" id="{00000000-0008-0000-0100-000071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70" name="Text Box 8">
          <a:extLst>
            <a:ext uri="{FF2B5EF4-FFF2-40B4-BE49-F238E27FC236}">
              <a16:creationId xmlns:a16="http://schemas.microsoft.com/office/drawing/2014/main" id="{00000000-0008-0000-0100-000072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71" name="Text Box 9">
          <a:extLst>
            <a:ext uri="{FF2B5EF4-FFF2-40B4-BE49-F238E27FC236}">
              <a16:creationId xmlns:a16="http://schemas.microsoft.com/office/drawing/2014/main" id="{00000000-0008-0000-0100-000073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72" name="Text Box 10">
          <a:extLst>
            <a:ext uri="{FF2B5EF4-FFF2-40B4-BE49-F238E27FC236}">
              <a16:creationId xmlns:a16="http://schemas.microsoft.com/office/drawing/2014/main" id="{00000000-0008-0000-0100-000074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73" name="Text Box 11">
          <a:extLst>
            <a:ext uri="{FF2B5EF4-FFF2-40B4-BE49-F238E27FC236}">
              <a16:creationId xmlns:a16="http://schemas.microsoft.com/office/drawing/2014/main" id="{00000000-0008-0000-0100-000075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74" name="Text Box 12">
          <a:extLst>
            <a:ext uri="{FF2B5EF4-FFF2-40B4-BE49-F238E27FC236}">
              <a16:creationId xmlns:a16="http://schemas.microsoft.com/office/drawing/2014/main" id="{00000000-0008-0000-0100-000076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75" name="Text Box 13">
          <a:extLst>
            <a:ext uri="{FF2B5EF4-FFF2-40B4-BE49-F238E27FC236}">
              <a16:creationId xmlns:a16="http://schemas.microsoft.com/office/drawing/2014/main" id="{00000000-0008-0000-0100-000077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376" name="Text Box 14">
          <a:extLst>
            <a:ext uri="{FF2B5EF4-FFF2-40B4-BE49-F238E27FC236}">
              <a16:creationId xmlns:a16="http://schemas.microsoft.com/office/drawing/2014/main" id="{00000000-0008-0000-0100-000078010000}"/>
            </a:ext>
          </a:extLst>
        </xdr:cNvPr>
        <xdr:cNvSpPr txBox="1">
          <a:spLocks noChangeArrowheads="1"/>
        </xdr:cNvSpPr>
      </xdr:nvSpPr>
      <xdr:spPr bwMode="auto">
        <a:xfrm>
          <a:off x="3901109" y="25548534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77" name="Text Box 15">
          <a:extLst>
            <a:ext uri="{FF2B5EF4-FFF2-40B4-BE49-F238E27FC236}">
              <a16:creationId xmlns:a16="http://schemas.microsoft.com/office/drawing/2014/main" id="{00000000-0008-0000-0100-000079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78" name="Text Box 5">
          <a:extLst>
            <a:ext uri="{FF2B5EF4-FFF2-40B4-BE49-F238E27FC236}">
              <a16:creationId xmlns:a16="http://schemas.microsoft.com/office/drawing/2014/main" id="{00000000-0008-0000-0100-00007A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379" name="Text Box 6">
          <a:extLst>
            <a:ext uri="{FF2B5EF4-FFF2-40B4-BE49-F238E27FC236}">
              <a16:creationId xmlns:a16="http://schemas.microsoft.com/office/drawing/2014/main" id="{00000000-0008-0000-0100-00007B010000}"/>
            </a:ext>
          </a:extLst>
        </xdr:cNvPr>
        <xdr:cNvSpPr txBox="1">
          <a:spLocks noChangeArrowheads="1"/>
        </xdr:cNvSpPr>
      </xdr:nvSpPr>
      <xdr:spPr bwMode="auto">
        <a:xfrm>
          <a:off x="3901109" y="25548534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0" name="Text Box 7">
          <a:extLst>
            <a:ext uri="{FF2B5EF4-FFF2-40B4-BE49-F238E27FC236}">
              <a16:creationId xmlns:a16="http://schemas.microsoft.com/office/drawing/2014/main" id="{00000000-0008-0000-0100-00007C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1" name="Text Box 8">
          <a:extLst>
            <a:ext uri="{FF2B5EF4-FFF2-40B4-BE49-F238E27FC236}">
              <a16:creationId xmlns:a16="http://schemas.microsoft.com/office/drawing/2014/main" id="{00000000-0008-0000-0100-00007D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2" name="Text Box 9">
          <a:extLst>
            <a:ext uri="{FF2B5EF4-FFF2-40B4-BE49-F238E27FC236}">
              <a16:creationId xmlns:a16="http://schemas.microsoft.com/office/drawing/2014/main" id="{00000000-0008-0000-0100-00007E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3" name="Text Box 10">
          <a:extLst>
            <a:ext uri="{FF2B5EF4-FFF2-40B4-BE49-F238E27FC236}">
              <a16:creationId xmlns:a16="http://schemas.microsoft.com/office/drawing/2014/main" id="{00000000-0008-0000-0100-00007F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4" name="Text Box 11">
          <a:extLst>
            <a:ext uri="{FF2B5EF4-FFF2-40B4-BE49-F238E27FC236}">
              <a16:creationId xmlns:a16="http://schemas.microsoft.com/office/drawing/2014/main" id="{00000000-0008-0000-0100-000080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5" name="Text Box 12">
          <a:extLst>
            <a:ext uri="{FF2B5EF4-FFF2-40B4-BE49-F238E27FC236}">
              <a16:creationId xmlns:a16="http://schemas.microsoft.com/office/drawing/2014/main" id="{00000000-0008-0000-0100-000081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6" name="Text Box 13">
          <a:extLst>
            <a:ext uri="{FF2B5EF4-FFF2-40B4-BE49-F238E27FC236}">
              <a16:creationId xmlns:a16="http://schemas.microsoft.com/office/drawing/2014/main" id="{00000000-0008-0000-0100-000082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387" name="Text Box 14">
          <a:extLst>
            <a:ext uri="{FF2B5EF4-FFF2-40B4-BE49-F238E27FC236}">
              <a16:creationId xmlns:a16="http://schemas.microsoft.com/office/drawing/2014/main" id="{00000000-0008-0000-0100-000083010000}"/>
            </a:ext>
          </a:extLst>
        </xdr:cNvPr>
        <xdr:cNvSpPr txBox="1">
          <a:spLocks noChangeArrowheads="1"/>
        </xdr:cNvSpPr>
      </xdr:nvSpPr>
      <xdr:spPr bwMode="auto">
        <a:xfrm>
          <a:off x="3901109" y="25548534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8" name="Text Box 15">
          <a:extLst>
            <a:ext uri="{FF2B5EF4-FFF2-40B4-BE49-F238E27FC236}">
              <a16:creationId xmlns:a16="http://schemas.microsoft.com/office/drawing/2014/main" id="{00000000-0008-0000-0100-000084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89" name="Text Box 16">
          <a:extLst>
            <a:ext uri="{FF2B5EF4-FFF2-40B4-BE49-F238E27FC236}">
              <a16:creationId xmlns:a16="http://schemas.microsoft.com/office/drawing/2014/main" id="{00000000-0008-0000-0100-000085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0" name="Text Box 17">
          <a:extLst>
            <a:ext uri="{FF2B5EF4-FFF2-40B4-BE49-F238E27FC236}">
              <a16:creationId xmlns:a16="http://schemas.microsoft.com/office/drawing/2014/main" id="{00000000-0008-0000-0100-000086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1" name="Text Box 18">
          <a:extLst>
            <a:ext uri="{FF2B5EF4-FFF2-40B4-BE49-F238E27FC236}">
              <a16:creationId xmlns:a16="http://schemas.microsoft.com/office/drawing/2014/main" id="{00000000-0008-0000-0100-000087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2" name="Text Box 19">
          <a:extLst>
            <a:ext uri="{FF2B5EF4-FFF2-40B4-BE49-F238E27FC236}">
              <a16:creationId xmlns:a16="http://schemas.microsoft.com/office/drawing/2014/main" id="{00000000-0008-0000-0100-000088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3" name="Text Box 20">
          <a:extLst>
            <a:ext uri="{FF2B5EF4-FFF2-40B4-BE49-F238E27FC236}">
              <a16:creationId xmlns:a16="http://schemas.microsoft.com/office/drawing/2014/main" id="{00000000-0008-0000-0100-000089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4" name="Text Box 21">
          <a:extLst>
            <a:ext uri="{FF2B5EF4-FFF2-40B4-BE49-F238E27FC236}">
              <a16:creationId xmlns:a16="http://schemas.microsoft.com/office/drawing/2014/main" id="{00000000-0008-0000-0100-00008A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395" name="Text Box 22">
          <a:extLst>
            <a:ext uri="{FF2B5EF4-FFF2-40B4-BE49-F238E27FC236}">
              <a16:creationId xmlns:a16="http://schemas.microsoft.com/office/drawing/2014/main" id="{00000000-0008-0000-0100-00008B010000}"/>
            </a:ext>
          </a:extLst>
        </xdr:cNvPr>
        <xdr:cNvSpPr txBox="1">
          <a:spLocks noChangeArrowheads="1"/>
        </xdr:cNvSpPr>
      </xdr:nvSpPr>
      <xdr:spPr bwMode="auto">
        <a:xfrm>
          <a:off x="3901109" y="25548534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6" name="Text Box 7">
          <a:extLst>
            <a:ext uri="{FF2B5EF4-FFF2-40B4-BE49-F238E27FC236}">
              <a16:creationId xmlns:a16="http://schemas.microsoft.com/office/drawing/2014/main" id="{00000000-0008-0000-0100-00008C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7" name="Text Box 8">
          <a:extLst>
            <a:ext uri="{FF2B5EF4-FFF2-40B4-BE49-F238E27FC236}">
              <a16:creationId xmlns:a16="http://schemas.microsoft.com/office/drawing/2014/main" id="{00000000-0008-0000-0100-00008D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8" name="Text Box 9">
          <a:extLst>
            <a:ext uri="{FF2B5EF4-FFF2-40B4-BE49-F238E27FC236}">
              <a16:creationId xmlns:a16="http://schemas.microsoft.com/office/drawing/2014/main" id="{00000000-0008-0000-0100-00008E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399" name="Text Box 10">
          <a:extLst>
            <a:ext uri="{FF2B5EF4-FFF2-40B4-BE49-F238E27FC236}">
              <a16:creationId xmlns:a16="http://schemas.microsoft.com/office/drawing/2014/main" id="{00000000-0008-0000-0100-00008F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00" name="Text Box 11">
          <a:extLst>
            <a:ext uri="{FF2B5EF4-FFF2-40B4-BE49-F238E27FC236}">
              <a16:creationId xmlns:a16="http://schemas.microsoft.com/office/drawing/2014/main" id="{00000000-0008-0000-0100-000090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01" name="Text Box 12">
          <a:extLst>
            <a:ext uri="{FF2B5EF4-FFF2-40B4-BE49-F238E27FC236}">
              <a16:creationId xmlns:a16="http://schemas.microsoft.com/office/drawing/2014/main" id="{00000000-0008-0000-0100-000091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02" name="Text Box 13">
          <a:extLst>
            <a:ext uri="{FF2B5EF4-FFF2-40B4-BE49-F238E27FC236}">
              <a16:creationId xmlns:a16="http://schemas.microsoft.com/office/drawing/2014/main" id="{00000000-0008-0000-0100-000092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403" name="Text Box 14">
          <a:extLst>
            <a:ext uri="{FF2B5EF4-FFF2-40B4-BE49-F238E27FC236}">
              <a16:creationId xmlns:a16="http://schemas.microsoft.com/office/drawing/2014/main" id="{00000000-0008-0000-0100-000093010000}"/>
            </a:ext>
          </a:extLst>
        </xdr:cNvPr>
        <xdr:cNvSpPr txBox="1">
          <a:spLocks noChangeArrowheads="1"/>
        </xdr:cNvSpPr>
      </xdr:nvSpPr>
      <xdr:spPr bwMode="auto">
        <a:xfrm>
          <a:off x="3901109" y="25548534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404" name="Text Box 5">
          <a:extLst>
            <a:ext uri="{FF2B5EF4-FFF2-40B4-BE49-F238E27FC236}">
              <a16:creationId xmlns:a16="http://schemas.microsoft.com/office/drawing/2014/main" id="{00000000-0008-0000-0100-000094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405" name="Text Box 6">
          <a:extLst>
            <a:ext uri="{FF2B5EF4-FFF2-40B4-BE49-F238E27FC236}">
              <a16:creationId xmlns:a16="http://schemas.microsoft.com/office/drawing/2014/main" id="{00000000-0008-0000-0100-000095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406" name="Text Box 7">
          <a:extLst>
            <a:ext uri="{FF2B5EF4-FFF2-40B4-BE49-F238E27FC236}">
              <a16:creationId xmlns:a16="http://schemas.microsoft.com/office/drawing/2014/main" id="{00000000-0008-0000-0100-000096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407" name="Text Box 8">
          <a:extLst>
            <a:ext uri="{FF2B5EF4-FFF2-40B4-BE49-F238E27FC236}">
              <a16:creationId xmlns:a16="http://schemas.microsoft.com/office/drawing/2014/main" id="{00000000-0008-0000-0100-000097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408" name="Text Box 9">
          <a:extLst>
            <a:ext uri="{FF2B5EF4-FFF2-40B4-BE49-F238E27FC236}">
              <a16:creationId xmlns:a16="http://schemas.microsoft.com/office/drawing/2014/main" id="{00000000-0008-0000-0100-000098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409" name="Text Box 10">
          <a:extLst>
            <a:ext uri="{FF2B5EF4-FFF2-40B4-BE49-F238E27FC236}">
              <a16:creationId xmlns:a16="http://schemas.microsoft.com/office/drawing/2014/main" id="{00000000-0008-0000-0100-000099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410" name="Text Box 11">
          <a:extLst>
            <a:ext uri="{FF2B5EF4-FFF2-40B4-BE49-F238E27FC236}">
              <a16:creationId xmlns:a16="http://schemas.microsoft.com/office/drawing/2014/main" id="{00000000-0008-0000-0100-00009A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411" name="Text Box 12">
          <a:extLst>
            <a:ext uri="{FF2B5EF4-FFF2-40B4-BE49-F238E27FC236}">
              <a16:creationId xmlns:a16="http://schemas.microsoft.com/office/drawing/2014/main" id="{00000000-0008-0000-0100-00009B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412" name="Text Box 1">
          <a:extLst>
            <a:ext uri="{FF2B5EF4-FFF2-40B4-BE49-F238E27FC236}">
              <a16:creationId xmlns:a16="http://schemas.microsoft.com/office/drawing/2014/main" id="{00000000-0008-0000-0100-00009C01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413" name="Text Box 1">
          <a:extLst>
            <a:ext uri="{FF2B5EF4-FFF2-40B4-BE49-F238E27FC236}">
              <a16:creationId xmlns:a16="http://schemas.microsoft.com/office/drawing/2014/main" id="{00000000-0008-0000-0100-00009D01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414" name="Text Box 1">
          <a:extLst>
            <a:ext uri="{FF2B5EF4-FFF2-40B4-BE49-F238E27FC236}">
              <a16:creationId xmlns:a16="http://schemas.microsoft.com/office/drawing/2014/main" id="{00000000-0008-0000-0100-00009E01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415" name="Text Box 1">
          <a:extLst>
            <a:ext uri="{FF2B5EF4-FFF2-40B4-BE49-F238E27FC236}">
              <a16:creationId xmlns:a16="http://schemas.microsoft.com/office/drawing/2014/main" id="{00000000-0008-0000-0100-00009F01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16" name="Text Box 5">
          <a:extLst>
            <a:ext uri="{FF2B5EF4-FFF2-40B4-BE49-F238E27FC236}">
              <a16:creationId xmlns:a16="http://schemas.microsoft.com/office/drawing/2014/main" id="{00000000-0008-0000-0100-0000A001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417" name="Text Box 6">
          <a:extLst>
            <a:ext uri="{FF2B5EF4-FFF2-40B4-BE49-F238E27FC236}">
              <a16:creationId xmlns:a16="http://schemas.microsoft.com/office/drawing/2014/main" id="{00000000-0008-0000-0100-0000A1010000}"/>
            </a:ext>
          </a:extLst>
        </xdr:cNvPr>
        <xdr:cNvSpPr txBox="1">
          <a:spLocks noChangeArrowheads="1"/>
        </xdr:cNvSpPr>
      </xdr:nvSpPr>
      <xdr:spPr bwMode="auto">
        <a:xfrm>
          <a:off x="3901109" y="2662196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18" name="Text Box 16">
          <a:extLst>
            <a:ext uri="{FF2B5EF4-FFF2-40B4-BE49-F238E27FC236}">
              <a16:creationId xmlns:a16="http://schemas.microsoft.com/office/drawing/2014/main" id="{00000000-0008-0000-0100-0000A201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19" name="Text Box 17">
          <a:extLst>
            <a:ext uri="{FF2B5EF4-FFF2-40B4-BE49-F238E27FC236}">
              <a16:creationId xmlns:a16="http://schemas.microsoft.com/office/drawing/2014/main" id="{00000000-0008-0000-0100-0000A301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20" name="Text Box 18">
          <a:extLst>
            <a:ext uri="{FF2B5EF4-FFF2-40B4-BE49-F238E27FC236}">
              <a16:creationId xmlns:a16="http://schemas.microsoft.com/office/drawing/2014/main" id="{00000000-0008-0000-0100-0000A401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21" name="Text Box 19">
          <a:extLst>
            <a:ext uri="{FF2B5EF4-FFF2-40B4-BE49-F238E27FC236}">
              <a16:creationId xmlns:a16="http://schemas.microsoft.com/office/drawing/2014/main" id="{00000000-0008-0000-0100-0000A501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22" name="Text Box 20">
          <a:extLst>
            <a:ext uri="{FF2B5EF4-FFF2-40B4-BE49-F238E27FC236}">
              <a16:creationId xmlns:a16="http://schemas.microsoft.com/office/drawing/2014/main" id="{00000000-0008-0000-0100-0000A601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23" name="Text Box 21">
          <a:extLst>
            <a:ext uri="{FF2B5EF4-FFF2-40B4-BE49-F238E27FC236}">
              <a16:creationId xmlns:a16="http://schemas.microsoft.com/office/drawing/2014/main" id="{00000000-0008-0000-0100-0000A701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424" name="Text Box 22">
          <a:extLst>
            <a:ext uri="{FF2B5EF4-FFF2-40B4-BE49-F238E27FC236}">
              <a16:creationId xmlns:a16="http://schemas.microsoft.com/office/drawing/2014/main" id="{00000000-0008-0000-0100-0000A8010000}"/>
            </a:ext>
          </a:extLst>
        </xdr:cNvPr>
        <xdr:cNvSpPr txBox="1">
          <a:spLocks noChangeArrowheads="1"/>
        </xdr:cNvSpPr>
      </xdr:nvSpPr>
      <xdr:spPr bwMode="auto">
        <a:xfrm>
          <a:off x="3901109" y="2662196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425" name="Text Box 1">
          <a:extLst>
            <a:ext uri="{FF2B5EF4-FFF2-40B4-BE49-F238E27FC236}">
              <a16:creationId xmlns:a16="http://schemas.microsoft.com/office/drawing/2014/main" id="{00000000-0008-0000-0100-0000A9010000}"/>
            </a:ext>
          </a:extLst>
        </xdr:cNvPr>
        <xdr:cNvSpPr txBox="1">
          <a:spLocks noChangeArrowheads="1"/>
        </xdr:cNvSpPr>
      </xdr:nvSpPr>
      <xdr:spPr bwMode="auto">
        <a:xfrm>
          <a:off x="4580283" y="266219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426" name="Text Box 1">
          <a:extLst>
            <a:ext uri="{FF2B5EF4-FFF2-40B4-BE49-F238E27FC236}">
              <a16:creationId xmlns:a16="http://schemas.microsoft.com/office/drawing/2014/main" id="{00000000-0008-0000-0100-0000AA010000}"/>
            </a:ext>
          </a:extLst>
        </xdr:cNvPr>
        <xdr:cNvSpPr txBox="1">
          <a:spLocks noChangeArrowheads="1"/>
        </xdr:cNvSpPr>
      </xdr:nvSpPr>
      <xdr:spPr bwMode="auto">
        <a:xfrm>
          <a:off x="4580283" y="266219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427" name="Text Box 1">
          <a:extLst>
            <a:ext uri="{FF2B5EF4-FFF2-40B4-BE49-F238E27FC236}">
              <a16:creationId xmlns:a16="http://schemas.microsoft.com/office/drawing/2014/main" id="{00000000-0008-0000-0100-0000AB010000}"/>
            </a:ext>
          </a:extLst>
        </xdr:cNvPr>
        <xdr:cNvSpPr txBox="1">
          <a:spLocks noChangeArrowheads="1"/>
        </xdr:cNvSpPr>
      </xdr:nvSpPr>
      <xdr:spPr bwMode="auto">
        <a:xfrm>
          <a:off x="4580283" y="266219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428" name="Text Box 1">
          <a:extLst>
            <a:ext uri="{FF2B5EF4-FFF2-40B4-BE49-F238E27FC236}">
              <a16:creationId xmlns:a16="http://schemas.microsoft.com/office/drawing/2014/main" id="{00000000-0008-0000-0100-0000AC010000}"/>
            </a:ext>
          </a:extLst>
        </xdr:cNvPr>
        <xdr:cNvSpPr txBox="1">
          <a:spLocks noChangeArrowheads="1"/>
        </xdr:cNvSpPr>
      </xdr:nvSpPr>
      <xdr:spPr bwMode="auto">
        <a:xfrm>
          <a:off x="4580283" y="266219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29" name="Text Box 5">
          <a:extLst>
            <a:ext uri="{FF2B5EF4-FFF2-40B4-BE49-F238E27FC236}">
              <a16:creationId xmlns:a16="http://schemas.microsoft.com/office/drawing/2014/main" id="{00000000-0008-0000-0100-0000AD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0" name="Text Box 6">
          <a:extLst>
            <a:ext uri="{FF2B5EF4-FFF2-40B4-BE49-F238E27FC236}">
              <a16:creationId xmlns:a16="http://schemas.microsoft.com/office/drawing/2014/main" id="{00000000-0008-0000-0100-0000AE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1" name="Text Box 7">
          <a:extLst>
            <a:ext uri="{FF2B5EF4-FFF2-40B4-BE49-F238E27FC236}">
              <a16:creationId xmlns:a16="http://schemas.microsoft.com/office/drawing/2014/main" id="{00000000-0008-0000-0100-0000AF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2" name="Text Box 8">
          <a:extLst>
            <a:ext uri="{FF2B5EF4-FFF2-40B4-BE49-F238E27FC236}">
              <a16:creationId xmlns:a16="http://schemas.microsoft.com/office/drawing/2014/main" id="{00000000-0008-0000-0100-0000B0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3" name="Text Box 9">
          <a:extLst>
            <a:ext uri="{FF2B5EF4-FFF2-40B4-BE49-F238E27FC236}">
              <a16:creationId xmlns:a16="http://schemas.microsoft.com/office/drawing/2014/main" id="{00000000-0008-0000-0100-0000B1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4" name="Text Box 10">
          <a:extLst>
            <a:ext uri="{FF2B5EF4-FFF2-40B4-BE49-F238E27FC236}">
              <a16:creationId xmlns:a16="http://schemas.microsoft.com/office/drawing/2014/main" id="{00000000-0008-0000-0100-0000B2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5" name="Text Box 11">
          <a:extLst>
            <a:ext uri="{FF2B5EF4-FFF2-40B4-BE49-F238E27FC236}">
              <a16:creationId xmlns:a16="http://schemas.microsoft.com/office/drawing/2014/main" id="{00000000-0008-0000-0100-0000B3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6" name="Text Box 12">
          <a:extLst>
            <a:ext uri="{FF2B5EF4-FFF2-40B4-BE49-F238E27FC236}">
              <a16:creationId xmlns:a16="http://schemas.microsoft.com/office/drawing/2014/main" id="{00000000-0008-0000-0100-0000B4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7" name="Text Box 13">
          <a:extLst>
            <a:ext uri="{FF2B5EF4-FFF2-40B4-BE49-F238E27FC236}">
              <a16:creationId xmlns:a16="http://schemas.microsoft.com/office/drawing/2014/main" id="{00000000-0008-0000-0100-0000B5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438" name="Text Box 14">
          <a:extLst>
            <a:ext uri="{FF2B5EF4-FFF2-40B4-BE49-F238E27FC236}">
              <a16:creationId xmlns:a16="http://schemas.microsoft.com/office/drawing/2014/main" id="{00000000-0008-0000-0100-0000B6010000}"/>
            </a:ext>
          </a:extLst>
        </xdr:cNvPr>
        <xdr:cNvSpPr txBox="1">
          <a:spLocks noChangeArrowheads="1"/>
        </xdr:cNvSpPr>
      </xdr:nvSpPr>
      <xdr:spPr bwMode="auto">
        <a:xfrm>
          <a:off x="3901109" y="25548534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39" name="Text Box 15">
          <a:extLst>
            <a:ext uri="{FF2B5EF4-FFF2-40B4-BE49-F238E27FC236}">
              <a16:creationId xmlns:a16="http://schemas.microsoft.com/office/drawing/2014/main" id="{00000000-0008-0000-0100-0000B7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0" name="Text Box 16">
          <a:extLst>
            <a:ext uri="{FF2B5EF4-FFF2-40B4-BE49-F238E27FC236}">
              <a16:creationId xmlns:a16="http://schemas.microsoft.com/office/drawing/2014/main" id="{00000000-0008-0000-0100-0000B8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1" name="Text Box 17">
          <a:extLst>
            <a:ext uri="{FF2B5EF4-FFF2-40B4-BE49-F238E27FC236}">
              <a16:creationId xmlns:a16="http://schemas.microsoft.com/office/drawing/2014/main" id="{00000000-0008-0000-0100-0000B9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2" name="Text Box 18">
          <a:extLst>
            <a:ext uri="{FF2B5EF4-FFF2-40B4-BE49-F238E27FC236}">
              <a16:creationId xmlns:a16="http://schemas.microsoft.com/office/drawing/2014/main" id="{00000000-0008-0000-0100-0000BA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3" name="Text Box 19">
          <a:extLst>
            <a:ext uri="{FF2B5EF4-FFF2-40B4-BE49-F238E27FC236}">
              <a16:creationId xmlns:a16="http://schemas.microsoft.com/office/drawing/2014/main" id="{00000000-0008-0000-0100-0000BB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4" name="Text Box 20">
          <a:extLst>
            <a:ext uri="{FF2B5EF4-FFF2-40B4-BE49-F238E27FC236}">
              <a16:creationId xmlns:a16="http://schemas.microsoft.com/office/drawing/2014/main" id="{00000000-0008-0000-0100-0000BC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5" name="Text Box 21">
          <a:extLst>
            <a:ext uri="{FF2B5EF4-FFF2-40B4-BE49-F238E27FC236}">
              <a16:creationId xmlns:a16="http://schemas.microsoft.com/office/drawing/2014/main" id="{00000000-0008-0000-0100-0000BD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6" name="Text Box 22">
          <a:extLst>
            <a:ext uri="{FF2B5EF4-FFF2-40B4-BE49-F238E27FC236}">
              <a16:creationId xmlns:a16="http://schemas.microsoft.com/office/drawing/2014/main" id="{00000000-0008-0000-0100-0000BE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7" name="Text Box 7">
          <a:extLst>
            <a:ext uri="{FF2B5EF4-FFF2-40B4-BE49-F238E27FC236}">
              <a16:creationId xmlns:a16="http://schemas.microsoft.com/office/drawing/2014/main" id="{00000000-0008-0000-0100-0000BF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8" name="Text Box 8">
          <a:extLst>
            <a:ext uri="{FF2B5EF4-FFF2-40B4-BE49-F238E27FC236}">
              <a16:creationId xmlns:a16="http://schemas.microsoft.com/office/drawing/2014/main" id="{00000000-0008-0000-0100-0000C0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49" name="Text Box 9">
          <a:extLst>
            <a:ext uri="{FF2B5EF4-FFF2-40B4-BE49-F238E27FC236}">
              <a16:creationId xmlns:a16="http://schemas.microsoft.com/office/drawing/2014/main" id="{00000000-0008-0000-0100-0000C1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50" name="Text Box 10">
          <a:extLst>
            <a:ext uri="{FF2B5EF4-FFF2-40B4-BE49-F238E27FC236}">
              <a16:creationId xmlns:a16="http://schemas.microsoft.com/office/drawing/2014/main" id="{00000000-0008-0000-0100-0000C2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51" name="Text Box 11">
          <a:extLst>
            <a:ext uri="{FF2B5EF4-FFF2-40B4-BE49-F238E27FC236}">
              <a16:creationId xmlns:a16="http://schemas.microsoft.com/office/drawing/2014/main" id="{00000000-0008-0000-0100-0000C3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52" name="Text Box 12">
          <a:extLst>
            <a:ext uri="{FF2B5EF4-FFF2-40B4-BE49-F238E27FC236}">
              <a16:creationId xmlns:a16="http://schemas.microsoft.com/office/drawing/2014/main" id="{00000000-0008-0000-0100-0000C4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53" name="Text Box 13">
          <a:extLst>
            <a:ext uri="{FF2B5EF4-FFF2-40B4-BE49-F238E27FC236}">
              <a16:creationId xmlns:a16="http://schemas.microsoft.com/office/drawing/2014/main" id="{00000000-0008-0000-0100-0000C5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454" name="Text Box 14">
          <a:extLst>
            <a:ext uri="{FF2B5EF4-FFF2-40B4-BE49-F238E27FC236}">
              <a16:creationId xmlns:a16="http://schemas.microsoft.com/office/drawing/2014/main" id="{00000000-0008-0000-0100-0000C6010000}"/>
            </a:ext>
          </a:extLst>
        </xdr:cNvPr>
        <xdr:cNvSpPr txBox="1">
          <a:spLocks noChangeArrowheads="1"/>
        </xdr:cNvSpPr>
      </xdr:nvSpPr>
      <xdr:spPr bwMode="auto">
        <a:xfrm>
          <a:off x="3901109" y="25548534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455" name="Text Box 15">
          <a:extLst>
            <a:ext uri="{FF2B5EF4-FFF2-40B4-BE49-F238E27FC236}">
              <a16:creationId xmlns:a16="http://schemas.microsoft.com/office/drawing/2014/main" id="{00000000-0008-0000-0100-0000C7010000}"/>
            </a:ext>
          </a:extLst>
        </xdr:cNvPr>
        <xdr:cNvSpPr txBox="1">
          <a:spLocks noChangeArrowheads="1"/>
        </xdr:cNvSpPr>
      </xdr:nvSpPr>
      <xdr:spPr bwMode="auto">
        <a:xfrm>
          <a:off x="3901109" y="255485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56" name="Text Box 5">
          <a:extLst>
            <a:ext uri="{FF2B5EF4-FFF2-40B4-BE49-F238E27FC236}">
              <a16:creationId xmlns:a16="http://schemas.microsoft.com/office/drawing/2014/main" id="{00000000-0008-0000-0100-0000C8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457" name="Text Box 6">
          <a:extLst>
            <a:ext uri="{FF2B5EF4-FFF2-40B4-BE49-F238E27FC236}">
              <a16:creationId xmlns:a16="http://schemas.microsoft.com/office/drawing/2014/main" id="{00000000-0008-0000-0100-0000C9010000}"/>
            </a:ext>
          </a:extLst>
        </xdr:cNvPr>
        <xdr:cNvSpPr txBox="1">
          <a:spLocks noChangeArrowheads="1"/>
        </xdr:cNvSpPr>
      </xdr:nvSpPr>
      <xdr:spPr bwMode="auto">
        <a:xfrm>
          <a:off x="3901109" y="2554853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58" name="Text Box 7">
          <a:extLst>
            <a:ext uri="{FF2B5EF4-FFF2-40B4-BE49-F238E27FC236}">
              <a16:creationId xmlns:a16="http://schemas.microsoft.com/office/drawing/2014/main" id="{00000000-0008-0000-0100-0000CA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59" name="Text Box 8">
          <a:extLst>
            <a:ext uri="{FF2B5EF4-FFF2-40B4-BE49-F238E27FC236}">
              <a16:creationId xmlns:a16="http://schemas.microsoft.com/office/drawing/2014/main" id="{00000000-0008-0000-0100-0000CB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60" name="Text Box 9">
          <a:extLst>
            <a:ext uri="{FF2B5EF4-FFF2-40B4-BE49-F238E27FC236}">
              <a16:creationId xmlns:a16="http://schemas.microsoft.com/office/drawing/2014/main" id="{00000000-0008-0000-0100-0000CC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61" name="Text Box 10">
          <a:extLst>
            <a:ext uri="{FF2B5EF4-FFF2-40B4-BE49-F238E27FC236}">
              <a16:creationId xmlns:a16="http://schemas.microsoft.com/office/drawing/2014/main" id="{00000000-0008-0000-0100-0000CD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62" name="Text Box 11">
          <a:extLst>
            <a:ext uri="{FF2B5EF4-FFF2-40B4-BE49-F238E27FC236}">
              <a16:creationId xmlns:a16="http://schemas.microsoft.com/office/drawing/2014/main" id="{00000000-0008-0000-0100-0000CE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63" name="Text Box 12">
          <a:extLst>
            <a:ext uri="{FF2B5EF4-FFF2-40B4-BE49-F238E27FC236}">
              <a16:creationId xmlns:a16="http://schemas.microsoft.com/office/drawing/2014/main" id="{00000000-0008-0000-0100-0000CF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64" name="Text Box 13">
          <a:extLst>
            <a:ext uri="{FF2B5EF4-FFF2-40B4-BE49-F238E27FC236}">
              <a16:creationId xmlns:a16="http://schemas.microsoft.com/office/drawing/2014/main" id="{00000000-0008-0000-0100-0000D0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465" name="Text Box 14">
          <a:extLst>
            <a:ext uri="{FF2B5EF4-FFF2-40B4-BE49-F238E27FC236}">
              <a16:creationId xmlns:a16="http://schemas.microsoft.com/office/drawing/2014/main" id="{00000000-0008-0000-0100-0000D1010000}"/>
            </a:ext>
          </a:extLst>
        </xdr:cNvPr>
        <xdr:cNvSpPr txBox="1">
          <a:spLocks noChangeArrowheads="1"/>
        </xdr:cNvSpPr>
      </xdr:nvSpPr>
      <xdr:spPr bwMode="auto">
        <a:xfrm>
          <a:off x="3901109" y="25548534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66" name="Text Box 15">
          <a:extLst>
            <a:ext uri="{FF2B5EF4-FFF2-40B4-BE49-F238E27FC236}">
              <a16:creationId xmlns:a16="http://schemas.microsoft.com/office/drawing/2014/main" id="{00000000-0008-0000-0100-0000D2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67" name="Text Box 16">
          <a:extLst>
            <a:ext uri="{FF2B5EF4-FFF2-40B4-BE49-F238E27FC236}">
              <a16:creationId xmlns:a16="http://schemas.microsoft.com/office/drawing/2014/main" id="{00000000-0008-0000-0100-0000D3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68" name="Text Box 17">
          <a:extLst>
            <a:ext uri="{FF2B5EF4-FFF2-40B4-BE49-F238E27FC236}">
              <a16:creationId xmlns:a16="http://schemas.microsoft.com/office/drawing/2014/main" id="{00000000-0008-0000-0100-0000D4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69" name="Text Box 18">
          <a:extLst>
            <a:ext uri="{FF2B5EF4-FFF2-40B4-BE49-F238E27FC236}">
              <a16:creationId xmlns:a16="http://schemas.microsoft.com/office/drawing/2014/main" id="{00000000-0008-0000-0100-0000D5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70" name="Text Box 19">
          <a:extLst>
            <a:ext uri="{FF2B5EF4-FFF2-40B4-BE49-F238E27FC236}">
              <a16:creationId xmlns:a16="http://schemas.microsoft.com/office/drawing/2014/main" id="{00000000-0008-0000-0100-0000D6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71" name="Text Box 20">
          <a:extLst>
            <a:ext uri="{FF2B5EF4-FFF2-40B4-BE49-F238E27FC236}">
              <a16:creationId xmlns:a16="http://schemas.microsoft.com/office/drawing/2014/main" id="{00000000-0008-0000-0100-0000D7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472" name="Text Box 21">
          <a:extLst>
            <a:ext uri="{FF2B5EF4-FFF2-40B4-BE49-F238E27FC236}">
              <a16:creationId xmlns:a16="http://schemas.microsoft.com/office/drawing/2014/main" id="{00000000-0008-0000-0100-0000D8010000}"/>
            </a:ext>
          </a:extLst>
        </xdr:cNvPr>
        <xdr:cNvSpPr txBox="1">
          <a:spLocks noChangeArrowheads="1"/>
        </xdr:cNvSpPr>
      </xdr:nvSpPr>
      <xdr:spPr bwMode="auto">
        <a:xfrm>
          <a:off x="3901109" y="255485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473" name="Text Box 22">
          <a:extLst>
            <a:ext uri="{FF2B5EF4-FFF2-40B4-BE49-F238E27FC236}">
              <a16:creationId xmlns:a16="http://schemas.microsoft.com/office/drawing/2014/main" id="{00000000-0008-0000-0100-0000D9010000}"/>
            </a:ext>
          </a:extLst>
        </xdr:cNvPr>
        <xdr:cNvSpPr txBox="1">
          <a:spLocks noChangeArrowheads="1"/>
        </xdr:cNvSpPr>
      </xdr:nvSpPr>
      <xdr:spPr bwMode="auto">
        <a:xfrm>
          <a:off x="3901109" y="2554853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74" name="Text Box 7">
          <a:extLst>
            <a:ext uri="{FF2B5EF4-FFF2-40B4-BE49-F238E27FC236}">
              <a16:creationId xmlns:a16="http://schemas.microsoft.com/office/drawing/2014/main" id="{00000000-0008-0000-0100-0000DA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75" name="Text Box 8">
          <a:extLst>
            <a:ext uri="{FF2B5EF4-FFF2-40B4-BE49-F238E27FC236}">
              <a16:creationId xmlns:a16="http://schemas.microsoft.com/office/drawing/2014/main" id="{00000000-0008-0000-0100-0000DB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76" name="Text Box 9">
          <a:extLst>
            <a:ext uri="{FF2B5EF4-FFF2-40B4-BE49-F238E27FC236}">
              <a16:creationId xmlns:a16="http://schemas.microsoft.com/office/drawing/2014/main" id="{00000000-0008-0000-0100-0000DC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77" name="Text Box 10">
          <a:extLst>
            <a:ext uri="{FF2B5EF4-FFF2-40B4-BE49-F238E27FC236}">
              <a16:creationId xmlns:a16="http://schemas.microsoft.com/office/drawing/2014/main" id="{00000000-0008-0000-0100-0000DD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78" name="Text Box 11">
          <a:extLst>
            <a:ext uri="{FF2B5EF4-FFF2-40B4-BE49-F238E27FC236}">
              <a16:creationId xmlns:a16="http://schemas.microsoft.com/office/drawing/2014/main" id="{00000000-0008-0000-0100-0000DE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79" name="Text Box 12">
          <a:extLst>
            <a:ext uri="{FF2B5EF4-FFF2-40B4-BE49-F238E27FC236}">
              <a16:creationId xmlns:a16="http://schemas.microsoft.com/office/drawing/2014/main" id="{00000000-0008-0000-0100-0000DF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80" name="Text Box 13">
          <a:extLst>
            <a:ext uri="{FF2B5EF4-FFF2-40B4-BE49-F238E27FC236}">
              <a16:creationId xmlns:a16="http://schemas.microsoft.com/office/drawing/2014/main" id="{00000000-0008-0000-0100-0000E0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481" name="Text Box 14">
          <a:extLst>
            <a:ext uri="{FF2B5EF4-FFF2-40B4-BE49-F238E27FC236}">
              <a16:creationId xmlns:a16="http://schemas.microsoft.com/office/drawing/2014/main" id="{00000000-0008-0000-0100-0000E1010000}"/>
            </a:ext>
          </a:extLst>
        </xdr:cNvPr>
        <xdr:cNvSpPr txBox="1">
          <a:spLocks noChangeArrowheads="1"/>
        </xdr:cNvSpPr>
      </xdr:nvSpPr>
      <xdr:spPr bwMode="auto">
        <a:xfrm>
          <a:off x="3901109" y="25548534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482" name="Text Box 15">
          <a:extLst>
            <a:ext uri="{FF2B5EF4-FFF2-40B4-BE49-F238E27FC236}">
              <a16:creationId xmlns:a16="http://schemas.microsoft.com/office/drawing/2014/main" id="{00000000-0008-0000-0100-0000E2010000}"/>
            </a:ext>
          </a:extLst>
        </xdr:cNvPr>
        <xdr:cNvSpPr txBox="1">
          <a:spLocks noChangeArrowheads="1"/>
        </xdr:cNvSpPr>
      </xdr:nvSpPr>
      <xdr:spPr bwMode="auto">
        <a:xfrm>
          <a:off x="3901109" y="255485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83" name="Text Box 5">
          <a:extLst>
            <a:ext uri="{FF2B5EF4-FFF2-40B4-BE49-F238E27FC236}">
              <a16:creationId xmlns:a16="http://schemas.microsoft.com/office/drawing/2014/main" id="{00000000-0008-0000-0100-0000E3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484" name="Text Box 6">
          <a:extLst>
            <a:ext uri="{FF2B5EF4-FFF2-40B4-BE49-F238E27FC236}">
              <a16:creationId xmlns:a16="http://schemas.microsoft.com/office/drawing/2014/main" id="{00000000-0008-0000-0100-0000E4010000}"/>
            </a:ext>
          </a:extLst>
        </xdr:cNvPr>
        <xdr:cNvSpPr txBox="1">
          <a:spLocks noChangeArrowheads="1"/>
        </xdr:cNvSpPr>
      </xdr:nvSpPr>
      <xdr:spPr bwMode="auto">
        <a:xfrm>
          <a:off x="3901109" y="25548534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85" name="Text Box 7">
          <a:extLst>
            <a:ext uri="{FF2B5EF4-FFF2-40B4-BE49-F238E27FC236}">
              <a16:creationId xmlns:a16="http://schemas.microsoft.com/office/drawing/2014/main" id="{00000000-0008-0000-0100-0000E5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86" name="Text Box 8">
          <a:extLst>
            <a:ext uri="{FF2B5EF4-FFF2-40B4-BE49-F238E27FC236}">
              <a16:creationId xmlns:a16="http://schemas.microsoft.com/office/drawing/2014/main" id="{00000000-0008-0000-0100-0000E6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87" name="Text Box 9">
          <a:extLst>
            <a:ext uri="{FF2B5EF4-FFF2-40B4-BE49-F238E27FC236}">
              <a16:creationId xmlns:a16="http://schemas.microsoft.com/office/drawing/2014/main" id="{00000000-0008-0000-0100-0000E7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88" name="Text Box 10">
          <a:extLst>
            <a:ext uri="{FF2B5EF4-FFF2-40B4-BE49-F238E27FC236}">
              <a16:creationId xmlns:a16="http://schemas.microsoft.com/office/drawing/2014/main" id="{00000000-0008-0000-0100-0000E8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89" name="Text Box 11">
          <a:extLst>
            <a:ext uri="{FF2B5EF4-FFF2-40B4-BE49-F238E27FC236}">
              <a16:creationId xmlns:a16="http://schemas.microsoft.com/office/drawing/2014/main" id="{00000000-0008-0000-0100-0000E9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0" name="Text Box 12">
          <a:extLst>
            <a:ext uri="{FF2B5EF4-FFF2-40B4-BE49-F238E27FC236}">
              <a16:creationId xmlns:a16="http://schemas.microsoft.com/office/drawing/2014/main" id="{00000000-0008-0000-0100-0000EA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1" name="Text Box 13">
          <a:extLst>
            <a:ext uri="{FF2B5EF4-FFF2-40B4-BE49-F238E27FC236}">
              <a16:creationId xmlns:a16="http://schemas.microsoft.com/office/drawing/2014/main" id="{00000000-0008-0000-0100-0000EB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492" name="Text Box 14">
          <a:extLst>
            <a:ext uri="{FF2B5EF4-FFF2-40B4-BE49-F238E27FC236}">
              <a16:creationId xmlns:a16="http://schemas.microsoft.com/office/drawing/2014/main" id="{00000000-0008-0000-0100-0000EC010000}"/>
            </a:ext>
          </a:extLst>
        </xdr:cNvPr>
        <xdr:cNvSpPr txBox="1">
          <a:spLocks noChangeArrowheads="1"/>
        </xdr:cNvSpPr>
      </xdr:nvSpPr>
      <xdr:spPr bwMode="auto">
        <a:xfrm>
          <a:off x="3901109" y="25548534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3" name="Text Box 15">
          <a:extLst>
            <a:ext uri="{FF2B5EF4-FFF2-40B4-BE49-F238E27FC236}">
              <a16:creationId xmlns:a16="http://schemas.microsoft.com/office/drawing/2014/main" id="{00000000-0008-0000-0100-0000ED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4" name="Text Box 16">
          <a:extLst>
            <a:ext uri="{FF2B5EF4-FFF2-40B4-BE49-F238E27FC236}">
              <a16:creationId xmlns:a16="http://schemas.microsoft.com/office/drawing/2014/main" id="{00000000-0008-0000-0100-0000EE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5" name="Text Box 17">
          <a:extLst>
            <a:ext uri="{FF2B5EF4-FFF2-40B4-BE49-F238E27FC236}">
              <a16:creationId xmlns:a16="http://schemas.microsoft.com/office/drawing/2014/main" id="{00000000-0008-0000-0100-0000EF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6" name="Text Box 18">
          <a:extLst>
            <a:ext uri="{FF2B5EF4-FFF2-40B4-BE49-F238E27FC236}">
              <a16:creationId xmlns:a16="http://schemas.microsoft.com/office/drawing/2014/main" id="{00000000-0008-0000-0100-0000F0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7" name="Text Box 19">
          <a:extLst>
            <a:ext uri="{FF2B5EF4-FFF2-40B4-BE49-F238E27FC236}">
              <a16:creationId xmlns:a16="http://schemas.microsoft.com/office/drawing/2014/main" id="{00000000-0008-0000-0100-0000F1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8" name="Text Box 20">
          <a:extLst>
            <a:ext uri="{FF2B5EF4-FFF2-40B4-BE49-F238E27FC236}">
              <a16:creationId xmlns:a16="http://schemas.microsoft.com/office/drawing/2014/main" id="{00000000-0008-0000-0100-0000F2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499" name="Text Box 21">
          <a:extLst>
            <a:ext uri="{FF2B5EF4-FFF2-40B4-BE49-F238E27FC236}">
              <a16:creationId xmlns:a16="http://schemas.microsoft.com/office/drawing/2014/main" id="{00000000-0008-0000-0100-0000F3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500" name="Text Box 22">
          <a:extLst>
            <a:ext uri="{FF2B5EF4-FFF2-40B4-BE49-F238E27FC236}">
              <a16:creationId xmlns:a16="http://schemas.microsoft.com/office/drawing/2014/main" id="{00000000-0008-0000-0100-0000F4010000}"/>
            </a:ext>
          </a:extLst>
        </xdr:cNvPr>
        <xdr:cNvSpPr txBox="1">
          <a:spLocks noChangeArrowheads="1"/>
        </xdr:cNvSpPr>
      </xdr:nvSpPr>
      <xdr:spPr bwMode="auto">
        <a:xfrm>
          <a:off x="3901109" y="25548534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01" name="Text Box 7">
          <a:extLst>
            <a:ext uri="{FF2B5EF4-FFF2-40B4-BE49-F238E27FC236}">
              <a16:creationId xmlns:a16="http://schemas.microsoft.com/office/drawing/2014/main" id="{00000000-0008-0000-0100-0000F5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02" name="Text Box 8">
          <a:extLst>
            <a:ext uri="{FF2B5EF4-FFF2-40B4-BE49-F238E27FC236}">
              <a16:creationId xmlns:a16="http://schemas.microsoft.com/office/drawing/2014/main" id="{00000000-0008-0000-0100-0000F6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03" name="Text Box 9">
          <a:extLst>
            <a:ext uri="{FF2B5EF4-FFF2-40B4-BE49-F238E27FC236}">
              <a16:creationId xmlns:a16="http://schemas.microsoft.com/office/drawing/2014/main" id="{00000000-0008-0000-0100-0000F7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04" name="Text Box 10">
          <a:extLst>
            <a:ext uri="{FF2B5EF4-FFF2-40B4-BE49-F238E27FC236}">
              <a16:creationId xmlns:a16="http://schemas.microsoft.com/office/drawing/2014/main" id="{00000000-0008-0000-0100-0000F8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05" name="Text Box 11">
          <a:extLst>
            <a:ext uri="{FF2B5EF4-FFF2-40B4-BE49-F238E27FC236}">
              <a16:creationId xmlns:a16="http://schemas.microsoft.com/office/drawing/2014/main" id="{00000000-0008-0000-0100-0000F9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06" name="Text Box 12">
          <a:extLst>
            <a:ext uri="{FF2B5EF4-FFF2-40B4-BE49-F238E27FC236}">
              <a16:creationId xmlns:a16="http://schemas.microsoft.com/office/drawing/2014/main" id="{00000000-0008-0000-0100-0000FA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07" name="Text Box 13">
          <a:extLst>
            <a:ext uri="{FF2B5EF4-FFF2-40B4-BE49-F238E27FC236}">
              <a16:creationId xmlns:a16="http://schemas.microsoft.com/office/drawing/2014/main" id="{00000000-0008-0000-0100-0000FB010000}"/>
            </a:ext>
          </a:extLst>
        </xdr:cNvPr>
        <xdr:cNvSpPr txBox="1">
          <a:spLocks noChangeArrowheads="1"/>
        </xdr:cNvSpPr>
      </xdr:nvSpPr>
      <xdr:spPr bwMode="auto">
        <a:xfrm>
          <a:off x="3901109" y="255485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508" name="Text Box 14">
          <a:extLst>
            <a:ext uri="{FF2B5EF4-FFF2-40B4-BE49-F238E27FC236}">
              <a16:creationId xmlns:a16="http://schemas.microsoft.com/office/drawing/2014/main" id="{00000000-0008-0000-0100-0000FC010000}"/>
            </a:ext>
          </a:extLst>
        </xdr:cNvPr>
        <xdr:cNvSpPr txBox="1">
          <a:spLocks noChangeArrowheads="1"/>
        </xdr:cNvSpPr>
      </xdr:nvSpPr>
      <xdr:spPr bwMode="auto">
        <a:xfrm>
          <a:off x="3901109" y="25548534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509" name="Text Box 5">
          <a:extLst>
            <a:ext uri="{FF2B5EF4-FFF2-40B4-BE49-F238E27FC236}">
              <a16:creationId xmlns:a16="http://schemas.microsoft.com/office/drawing/2014/main" id="{00000000-0008-0000-0100-0000FD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510" name="Text Box 6">
          <a:extLst>
            <a:ext uri="{FF2B5EF4-FFF2-40B4-BE49-F238E27FC236}">
              <a16:creationId xmlns:a16="http://schemas.microsoft.com/office/drawing/2014/main" id="{00000000-0008-0000-0100-0000FE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511" name="Text Box 7">
          <a:extLst>
            <a:ext uri="{FF2B5EF4-FFF2-40B4-BE49-F238E27FC236}">
              <a16:creationId xmlns:a16="http://schemas.microsoft.com/office/drawing/2014/main" id="{00000000-0008-0000-0100-0000FF01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512" name="Text Box 8">
          <a:extLst>
            <a:ext uri="{FF2B5EF4-FFF2-40B4-BE49-F238E27FC236}">
              <a16:creationId xmlns:a16="http://schemas.microsoft.com/office/drawing/2014/main" id="{00000000-0008-0000-0100-00000002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513" name="Text Box 9">
          <a:extLst>
            <a:ext uri="{FF2B5EF4-FFF2-40B4-BE49-F238E27FC236}">
              <a16:creationId xmlns:a16="http://schemas.microsoft.com/office/drawing/2014/main" id="{00000000-0008-0000-0100-00000102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514" name="Text Box 10">
          <a:extLst>
            <a:ext uri="{FF2B5EF4-FFF2-40B4-BE49-F238E27FC236}">
              <a16:creationId xmlns:a16="http://schemas.microsoft.com/office/drawing/2014/main" id="{00000000-0008-0000-0100-00000202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515" name="Text Box 11">
          <a:extLst>
            <a:ext uri="{FF2B5EF4-FFF2-40B4-BE49-F238E27FC236}">
              <a16:creationId xmlns:a16="http://schemas.microsoft.com/office/drawing/2014/main" id="{00000000-0008-0000-0100-00000302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516" name="Text Box 12">
          <a:extLst>
            <a:ext uri="{FF2B5EF4-FFF2-40B4-BE49-F238E27FC236}">
              <a16:creationId xmlns:a16="http://schemas.microsoft.com/office/drawing/2014/main" id="{00000000-0008-0000-0100-000004020000}"/>
            </a:ext>
          </a:extLst>
        </xdr:cNvPr>
        <xdr:cNvSpPr txBox="1">
          <a:spLocks noChangeArrowheads="1"/>
        </xdr:cNvSpPr>
      </xdr:nvSpPr>
      <xdr:spPr bwMode="auto">
        <a:xfrm>
          <a:off x="3901109" y="255485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517" name="Text Box 1">
          <a:extLst>
            <a:ext uri="{FF2B5EF4-FFF2-40B4-BE49-F238E27FC236}">
              <a16:creationId xmlns:a16="http://schemas.microsoft.com/office/drawing/2014/main" id="{00000000-0008-0000-0100-00000502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518" name="Text Box 1">
          <a:extLst>
            <a:ext uri="{FF2B5EF4-FFF2-40B4-BE49-F238E27FC236}">
              <a16:creationId xmlns:a16="http://schemas.microsoft.com/office/drawing/2014/main" id="{00000000-0008-0000-0100-00000602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519" name="Text Box 1">
          <a:extLst>
            <a:ext uri="{FF2B5EF4-FFF2-40B4-BE49-F238E27FC236}">
              <a16:creationId xmlns:a16="http://schemas.microsoft.com/office/drawing/2014/main" id="{00000000-0008-0000-0100-00000702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520" name="Text Box 1">
          <a:extLst>
            <a:ext uri="{FF2B5EF4-FFF2-40B4-BE49-F238E27FC236}">
              <a16:creationId xmlns:a16="http://schemas.microsoft.com/office/drawing/2014/main" id="{00000000-0008-0000-0100-000008020000}"/>
            </a:ext>
          </a:extLst>
        </xdr:cNvPr>
        <xdr:cNvSpPr txBox="1">
          <a:spLocks noChangeArrowheads="1"/>
        </xdr:cNvSpPr>
      </xdr:nvSpPr>
      <xdr:spPr bwMode="auto">
        <a:xfrm>
          <a:off x="4580283" y="255485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21" name="Text Box 5">
          <a:extLst>
            <a:ext uri="{FF2B5EF4-FFF2-40B4-BE49-F238E27FC236}">
              <a16:creationId xmlns:a16="http://schemas.microsoft.com/office/drawing/2014/main" id="{00000000-0008-0000-0100-00000902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522" name="Text Box 6">
          <a:extLst>
            <a:ext uri="{FF2B5EF4-FFF2-40B4-BE49-F238E27FC236}">
              <a16:creationId xmlns:a16="http://schemas.microsoft.com/office/drawing/2014/main" id="{00000000-0008-0000-0100-00000A020000}"/>
            </a:ext>
          </a:extLst>
        </xdr:cNvPr>
        <xdr:cNvSpPr txBox="1">
          <a:spLocks noChangeArrowheads="1"/>
        </xdr:cNvSpPr>
      </xdr:nvSpPr>
      <xdr:spPr bwMode="auto">
        <a:xfrm>
          <a:off x="3901109" y="2662196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23" name="Text Box 16">
          <a:extLst>
            <a:ext uri="{FF2B5EF4-FFF2-40B4-BE49-F238E27FC236}">
              <a16:creationId xmlns:a16="http://schemas.microsoft.com/office/drawing/2014/main" id="{00000000-0008-0000-0100-00000B02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24" name="Text Box 17">
          <a:extLst>
            <a:ext uri="{FF2B5EF4-FFF2-40B4-BE49-F238E27FC236}">
              <a16:creationId xmlns:a16="http://schemas.microsoft.com/office/drawing/2014/main" id="{00000000-0008-0000-0100-00000C02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25" name="Text Box 18">
          <a:extLst>
            <a:ext uri="{FF2B5EF4-FFF2-40B4-BE49-F238E27FC236}">
              <a16:creationId xmlns:a16="http://schemas.microsoft.com/office/drawing/2014/main" id="{00000000-0008-0000-0100-00000D02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26" name="Text Box 19">
          <a:extLst>
            <a:ext uri="{FF2B5EF4-FFF2-40B4-BE49-F238E27FC236}">
              <a16:creationId xmlns:a16="http://schemas.microsoft.com/office/drawing/2014/main" id="{00000000-0008-0000-0100-00000E02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27" name="Text Box 20">
          <a:extLst>
            <a:ext uri="{FF2B5EF4-FFF2-40B4-BE49-F238E27FC236}">
              <a16:creationId xmlns:a16="http://schemas.microsoft.com/office/drawing/2014/main" id="{00000000-0008-0000-0100-00000F02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28" name="Text Box 21">
          <a:extLst>
            <a:ext uri="{FF2B5EF4-FFF2-40B4-BE49-F238E27FC236}">
              <a16:creationId xmlns:a16="http://schemas.microsoft.com/office/drawing/2014/main" id="{00000000-0008-0000-0100-000010020000}"/>
            </a:ext>
          </a:extLst>
        </xdr:cNvPr>
        <xdr:cNvSpPr txBox="1">
          <a:spLocks noChangeArrowheads="1"/>
        </xdr:cNvSpPr>
      </xdr:nvSpPr>
      <xdr:spPr bwMode="auto">
        <a:xfrm>
          <a:off x="3901109" y="266219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529" name="Text Box 22">
          <a:extLst>
            <a:ext uri="{FF2B5EF4-FFF2-40B4-BE49-F238E27FC236}">
              <a16:creationId xmlns:a16="http://schemas.microsoft.com/office/drawing/2014/main" id="{00000000-0008-0000-0100-000011020000}"/>
            </a:ext>
          </a:extLst>
        </xdr:cNvPr>
        <xdr:cNvSpPr txBox="1">
          <a:spLocks noChangeArrowheads="1"/>
        </xdr:cNvSpPr>
      </xdr:nvSpPr>
      <xdr:spPr bwMode="auto">
        <a:xfrm>
          <a:off x="3901109" y="2662196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530" name="Text Box 1">
          <a:extLst>
            <a:ext uri="{FF2B5EF4-FFF2-40B4-BE49-F238E27FC236}">
              <a16:creationId xmlns:a16="http://schemas.microsoft.com/office/drawing/2014/main" id="{00000000-0008-0000-0100-000012020000}"/>
            </a:ext>
          </a:extLst>
        </xdr:cNvPr>
        <xdr:cNvSpPr txBox="1">
          <a:spLocks noChangeArrowheads="1"/>
        </xdr:cNvSpPr>
      </xdr:nvSpPr>
      <xdr:spPr bwMode="auto">
        <a:xfrm>
          <a:off x="4580283" y="266219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531" name="Text Box 1">
          <a:extLst>
            <a:ext uri="{FF2B5EF4-FFF2-40B4-BE49-F238E27FC236}">
              <a16:creationId xmlns:a16="http://schemas.microsoft.com/office/drawing/2014/main" id="{00000000-0008-0000-0100-000013020000}"/>
            </a:ext>
          </a:extLst>
        </xdr:cNvPr>
        <xdr:cNvSpPr txBox="1">
          <a:spLocks noChangeArrowheads="1"/>
        </xdr:cNvSpPr>
      </xdr:nvSpPr>
      <xdr:spPr bwMode="auto">
        <a:xfrm>
          <a:off x="4580283" y="266219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532" name="Text Box 1">
          <a:extLst>
            <a:ext uri="{FF2B5EF4-FFF2-40B4-BE49-F238E27FC236}">
              <a16:creationId xmlns:a16="http://schemas.microsoft.com/office/drawing/2014/main" id="{00000000-0008-0000-0100-000014020000}"/>
            </a:ext>
          </a:extLst>
        </xdr:cNvPr>
        <xdr:cNvSpPr txBox="1">
          <a:spLocks noChangeArrowheads="1"/>
        </xdr:cNvSpPr>
      </xdr:nvSpPr>
      <xdr:spPr bwMode="auto">
        <a:xfrm>
          <a:off x="4580283" y="266219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533" name="Text Box 1">
          <a:extLst>
            <a:ext uri="{FF2B5EF4-FFF2-40B4-BE49-F238E27FC236}">
              <a16:creationId xmlns:a16="http://schemas.microsoft.com/office/drawing/2014/main" id="{00000000-0008-0000-0100-000015020000}"/>
            </a:ext>
          </a:extLst>
        </xdr:cNvPr>
        <xdr:cNvSpPr txBox="1">
          <a:spLocks noChangeArrowheads="1"/>
        </xdr:cNvSpPr>
      </xdr:nvSpPr>
      <xdr:spPr bwMode="auto">
        <a:xfrm>
          <a:off x="4580283" y="266219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34" name="Text Box 5">
          <a:extLst>
            <a:ext uri="{FF2B5EF4-FFF2-40B4-BE49-F238E27FC236}">
              <a16:creationId xmlns:a16="http://schemas.microsoft.com/office/drawing/2014/main" id="{00000000-0008-0000-0100-000016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35" name="Text Box 6">
          <a:extLst>
            <a:ext uri="{FF2B5EF4-FFF2-40B4-BE49-F238E27FC236}">
              <a16:creationId xmlns:a16="http://schemas.microsoft.com/office/drawing/2014/main" id="{00000000-0008-0000-0100-000017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36" name="Text Box 7">
          <a:extLst>
            <a:ext uri="{FF2B5EF4-FFF2-40B4-BE49-F238E27FC236}">
              <a16:creationId xmlns:a16="http://schemas.microsoft.com/office/drawing/2014/main" id="{00000000-0008-0000-0100-000018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37" name="Text Box 8">
          <a:extLst>
            <a:ext uri="{FF2B5EF4-FFF2-40B4-BE49-F238E27FC236}">
              <a16:creationId xmlns:a16="http://schemas.microsoft.com/office/drawing/2014/main" id="{00000000-0008-0000-0100-000019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38" name="Text Box 9">
          <a:extLst>
            <a:ext uri="{FF2B5EF4-FFF2-40B4-BE49-F238E27FC236}">
              <a16:creationId xmlns:a16="http://schemas.microsoft.com/office/drawing/2014/main" id="{00000000-0008-0000-0100-00001A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39" name="Text Box 10">
          <a:extLst>
            <a:ext uri="{FF2B5EF4-FFF2-40B4-BE49-F238E27FC236}">
              <a16:creationId xmlns:a16="http://schemas.microsoft.com/office/drawing/2014/main" id="{00000000-0008-0000-0100-00001B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0" name="Text Box 11">
          <a:extLst>
            <a:ext uri="{FF2B5EF4-FFF2-40B4-BE49-F238E27FC236}">
              <a16:creationId xmlns:a16="http://schemas.microsoft.com/office/drawing/2014/main" id="{00000000-0008-0000-0100-00001C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1" name="Text Box 12">
          <a:extLst>
            <a:ext uri="{FF2B5EF4-FFF2-40B4-BE49-F238E27FC236}">
              <a16:creationId xmlns:a16="http://schemas.microsoft.com/office/drawing/2014/main" id="{00000000-0008-0000-0100-00001D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2" name="Text Box 13">
          <a:extLst>
            <a:ext uri="{FF2B5EF4-FFF2-40B4-BE49-F238E27FC236}">
              <a16:creationId xmlns:a16="http://schemas.microsoft.com/office/drawing/2014/main" id="{00000000-0008-0000-0100-00001E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543" name="Text Box 14">
          <a:extLst>
            <a:ext uri="{FF2B5EF4-FFF2-40B4-BE49-F238E27FC236}">
              <a16:creationId xmlns:a16="http://schemas.microsoft.com/office/drawing/2014/main" id="{00000000-0008-0000-0100-00001F020000}"/>
            </a:ext>
          </a:extLst>
        </xdr:cNvPr>
        <xdr:cNvSpPr txBox="1">
          <a:spLocks noChangeArrowheads="1"/>
        </xdr:cNvSpPr>
      </xdr:nvSpPr>
      <xdr:spPr bwMode="auto">
        <a:xfrm>
          <a:off x="3901109" y="27695387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4" name="Text Box 15">
          <a:extLst>
            <a:ext uri="{FF2B5EF4-FFF2-40B4-BE49-F238E27FC236}">
              <a16:creationId xmlns:a16="http://schemas.microsoft.com/office/drawing/2014/main" id="{00000000-0008-0000-0100-000020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5" name="Text Box 16">
          <a:extLst>
            <a:ext uri="{FF2B5EF4-FFF2-40B4-BE49-F238E27FC236}">
              <a16:creationId xmlns:a16="http://schemas.microsoft.com/office/drawing/2014/main" id="{00000000-0008-0000-0100-000021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6" name="Text Box 17">
          <a:extLst>
            <a:ext uri="{FF2B5EF4-FFF2-40B4-BE49-F238E27FC236}">
              <a16:creationId xmlns:a16="http://schemas.microsoft.com/office/drawing/2014/main" id="{00000000-0008-0000-0100-000022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7" name="Text Box 18">
          <a:extLst>
            <a:ext uri="{FF2B5EF4-FFF2-40B4-BE49-F238E27FC236}">
              <a16:creationId xmlns:a16="http://schemas.microsoft.com/office/drawing/2014/main" id="{00000000-0008-0000-0100-000023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8" name="Text Box 19">
          <a:extLst>
            <a:ext uri="{FF2B5EF4-FFF2-40B4-BE49-F238E27FC236}">
              <a16:creationId xmlns:a16="http://schemas.microsoft.com/office/drawing/2014/main" id="{00000000-0008-0000-0100-000024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49" name="Text Box 20">
          <a:extLst>
            <a:ext uri="{FF2B5EF4-FFF2-40B4-BE49-F238E27FC236}">
              <a16:creationId xmlns:a16="http://schemas.microsoft.com/office/drawing/2014/main" id="{00000000-0008-0000-0100-000025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0" name="Text Box 21">
          <a:extLst>
            <a:ext uri="{FF2B5EF4-FFF2-40B4-BE49-F238E27FC236}">
              <a16:creationId xmlns:a16="http://schemas.microsoft.com/office/drawing/2014/main" id="{00000000-0008-0000-0100-000026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1" name="Text Box 22">
          <a:extLst>
            <a:ext uri="{FF2B5EF4-FFF2-40B4-BE49-F238E27FC236}">
              <a16:creationId xmlns:a16="http://schemas.microsoft.com/office/drawing/2014/main" id="{00000000-0008-0000-0100-000027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2" name="Text Box 7">
          <a:extLst>
            <a:ext uri="{FF2B5EF4-FFF2-40B4-BE49-F238E27FC236}">
              <a16:creationId xmlns:a16="http://schemas.microsoft.com/office/drawing/2014/main" id="{00000000-0008-0000-0100-000028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3" name="Text Box 8">
          <a:extLst>
            <a:ext uri="{FF2B5EF4-FFF2-40B4-BE49-F238E27FC236}">
              <a16:creationId xmlns:a16="http://schemas.microsoft.com/office/drawing/2014/main" id="{00000000-0008-0000-0100-000029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4" name="Text Box 9">
          <a:extLst>
            <a:ext uri="{FF2B5EF4-FFF2-40B4-BE49-F238E27FC236}">
              <a16:creationId xmlns:a16="http://schemas.microsoft.com/office/drawing/2014/main" id="{00000000-0008-0000-0100-00002A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5" name="Text Box 10">
          <a:extLst>
            <a:ext uri="{FF2B5EF4-FFF2-40B4-BE49-F238E27FC236}">
              <a16:creationId xmlns:a16="http://schemas.microsoft.com/office/drawing/2014/main" id="{00000000-0008-0000-0100-00002B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6" name="Text Box 11">
          <a:extLst>
            <a:ext uri="{FF2B5EF4-FFF2-40B4-BE49-F238E27FC236}">
              <a16:creationId xmlns:a16="http://schemas.microsoft.com/office/drawing/2014/main" id="{00000000-0008-0000-0100-00002C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7" name="Text Box 12">
          <a:extLst>
            <a:ext uri="{FF2B5EF4-FFF2-40B4-BE49-F238E27FC236}">
              <a16:creationId xmlns:a16="http://schemas.microsoft.com/office/drawing/2014/main" id="{00000000-0008-0000-0100-00002D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58" name="Text Box 13">
          <a:extLst>
            <a:ext uri="{FF2B5EF4-FFF2-40B4-BE49-F238E27FC236}">
              <a16:creationId xmlns:a16="http://schemas.microsoft.com/office/drawing/2014/main" id="{00000000-0008-0000-0100-00002E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559" name="Text Box 14">
          <a:extLst>
            <a:ext uri="{FF2B5EF4-FFF2-40B4-BE49-F238E27FC236}">
              <a16:creationId xmlns:a16="http://schemas.microsoft.com/office/drawing/2014/main" id="{00000000-0008-0000-0100-00002F020000}"/>
            </a:ext>
          </a:extLst>
        </xdr:cNvPr>
        <xdr:cNvSpPr txBox="1">
          <a:spLocks noChangeArrowheads="1"/>
        </xdr:cNvSpPr>
      </xdr:nvSpPr>
      <xdr:spPr bwMode="auto">
        <a:xfrm>
          <a:off x="3901109" y="27695387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560" name="Text Box 15">
          <a:extLst>
            <a:ext uri="{FF2B5EF4-FFF2-40B4-BE49-F238E27FC236}">
              <a16:creationId xmlns:a16="http://schemas.microsoft.com/office/drawing/2014/main" id="{00000000-0008-0000-0100-000030020000}"/>
            </a:ext>
          </a:extLst>
        </xdr:cNvPr>
        <xdr:cNvSpPr txBox="1">
          <a:spLocks noChangeArrowheads="1"/>
        </xdr:cNvSpPr>
      </xdr:nvSpPr>
      <xdr:spPr bwMode="auto">
        <a:xfrm>
          <a:off x="3901109" y="27695387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61" name="Text Box 5">
          <a:extLst>
            <a:ext uri="{FF2B5EF4-FFF2-40B4-BE49-F238E27FC236}">
              <a16:creationId xmlns:a16="http://schemas.microsoft.com/office/drawing/2014/main" id="{00000000-0008-0000-0100-000031020000}"/>
            </a:ext>
          </a:extLst>
        </xdr:cNvPr>
        <xdr:cNvSpPr txBox="1">
          <a:spLocks noChangeArrowheads="1"/>
        </xdr:cNvSpPr>
      </xdr:nvSpPr>
      <xdr:spPr bwMode="auto">
        <a:xfrm>
          <a:off x="3901109" y="276953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562" name="Text Box 6">
          <a:extLst>
            <a:ext uri="{FF2B5EF4-FFF2-40B4-BE49-F238E27FC236}">
              <a16:creationId xmlns:a16="http://schemas.microsoft.com/office/drawing/2014/main" id="{00000000-0008-0000-0100-000032020000}"/>
            </a:ext>
          </a:extLst>
        </xdr:cNvPr>
        <xdr:cNvSpPr txBox="1">
          <a:spLocks noChangeArrowheads="1"/>
        </xdr:cNvSpPr>
      </xdr:nvSpPr>
      <xdr:spPr bwMode="auto">
        <a:xfrm>
          <a:off x="3901109" y="27695387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63" name="Text Box 7">
          <a:extLst>
            <a:ext uri="{FF2B5EF4-FFF2-40B4-BE49-F238E27FC236}">
              <a16:creationId xmlns:a16="http://schemas.microsoft.com/office/drawing/2014/main" id="{00000000-0008-0000-0100-000033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64" name="Text Box 8">
          <a:extLst>
            <a:ext uri="{FF2B5EF4-FFF2-40B4-BE49-F238E27FC236}">
              <a16:creationId xmlns:a16="http://schemas.microsoft.com/office/drawing/2014/main" id="{00000000-0008-0000-0100-000034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65" name="Text Box 9">
          <a:extLst>
            <a:ext uri="{FF2B5EF4-FFF2-40B4-BE49-F238E27FC236}">
              <a16:creationId xmlns:a16="http://schemas.microsoft.com/office/drawing/2014/main" id="{00000000-0008-0000-0100-000035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66" name="Text Box 10">
          <a:extLst>
            <a:ext uri="{FF2B5EF4-FFF2-40B4-BE49-F238E27FC236}">
              <a16:creationId xmlns:a16="http://schemas.microsoft.com/office/drawing/2014/main" id="{00000000-0008-0000-0100-000036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67" name="Text Box 11">
          <a:extLst>
            <a:ext uri="{FF2B5EF4-FFF2-40B4-BE49-F238E27FC236}">
              <a16:creationId xmlns:a16="http://schemas.microsoft.com/office/drawing/2014/main" id="{00000000-0008-0000-0100-000037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68" name="Text Box 12">
          <a:extLst>
            <a:ext uri="{FF2B5EF4-FFF2-40B4-BE49-F238E27FC236}">
              <a16:creationId xmlns:a16="http://schemas.microsoft.com/office/drawing/2014/main" id="{00000000-0008-0000-0100-000038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69" name="Text Box 13">
          <a:extLst>
            <a:ext uri="{FF2B5EF4-FFF2-40B4-BE49-F238E27FC236}">
              <a16:creationId xmlns:a16="http://schemas.microsoft.com/office/drawing/2014/main" id="{00000000-0008-0000-0100-000039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570" name="Text Box 14">
          <a:extLst>
            <a:ext uri="{FF2B5EF4-FFF2-40B4-BE49-F238E27FC236}">
              <a16:creationId xmlns:a16="http://schemas.microsoft.com/office/drawing/2014/main" id="{00000000-0008-0000-0100-00003A020000}"/>
            </a:ext>
          </a:extLst>
        </xdr:cNvPr>
        <xdr:cNvSpPr txBox="1">
          <a:spLocks noChangeArrowheads="1"/>
        </xdr:cNvSpPr>
      </xdr:nvSpPr>
      <xdr:spPr bwMode="auto">
        <a:xfrm>
          <a:off x="3901109" y="27695387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71" name="Text Box 15">
          <a:extLst>
            <a:ext uri="{FF2B5EF4-FFF2-40B4-BE49-F238E27FC236}">
              <a16:creationId xmlns:a16="http://schemas.microsoft.com/office/drawing/2014/main" id="{00000000-0008-0000-0100-00003B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72" name="Text Box 16">
          <a:extLst>
            <a:ext uri="{FF2B5EF4-FFF2-40B4-BE49-F238E27FC236}">
              <a16:creationId xmlns:a16="http://schemas.microsoft.com/office/drawing/2014/main" id="{00000000-0008-0000-0100-00003C020000}"/>
            </a:ext>
          </a:extLst>
        </xdr:cNvPr>
        <xdr:cNvSpPr txBox="1">
          <a:spLocks noChangeArrowheads="1"/>
        </xdr:cNvSpPr>
      </xdr:nvSpPr>
      <xdr:spPr bwMode="auto">
        <a:xfrm>
          <a:off x="3901109" y="276953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73" name="Text Box 17">
          <a:extLst>
            <a:ext uri="{FF2B5EF4-FFF2-40B4-BE49-F238E27FC236}">
              <a16:creationId xmlns:a16="http://schemas.microsoft.com/office/drawing/2014/main" id="{00000000-0008-0000-0100-00003D020000}"/>
            </a:ext>
          </a:extLst>
        </xdr:cNvPr>
        <xdr:cNvSpPr txBox="1">
          <a:spLocks noChangeArrowheads="1"/>
        </xdr:cNvSpPr>
      </xdr:nvSpPr>
      <xdr:spPr bwMode="auto">
        <a:xfrm>
          <a:off x="3901109" y="276953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74" name="Text Box 18">
          <a:extLst>
            <a:ext uri="{FF2B5EF4-FFF2-40B4-BE49-F238E27FC236}">
              <a16:creationId xmlns:a16="http://schemas.microsoft.com/office/drawing/2014/main" id="{00000000-0008-0000-0100-00003E020000}"/>
            </a:ext>
          </a:extLst>
        </xdr:cNvPr>
        <xdr:cNvSpPr txBox="1">
          <a:spLocks noChangeArrowheads="1"/>
        </xdr:cNvSpPr>
      </xdr:nvSpPr>
      <xdr:spPr bwMode="auto">
        <a:xfrm>
          <a:off x="3901109" y="276953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75" name="Text Box 19">
          <a:extLst>
            <a:ext uri="{FF2B5EF4-FFF2-40B4-BE49-F238E27FC236}">
              <a16:creationId xmlns:a16="http://schemas.microsoft.com/office/drawing/2014/main" id="{00000000-0008-0000-0100-00003F020000}"/>
            </a:ext>
          </a:extLst>
        </xdr:cNvPr>
        <xdr:cNvSpPr txBox="1">
          <a:spLocks noChangeArrowheads="1"/>
        </xdr:cNvSpPr>
      </xdr:nvSpPr>
      <xdr:spPr bwMode="auto">
        <a:xfrm>
          <a:off x="3901109" y="276953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76" name="Text Box 20">
          <a:extLst>
            <a:ext uri="{FF2B5EF4-FFF2-40B4-BE49-F238E27FC236}">
              <a16:creationId xmlns:a16="http://schemas.microsoft.com/office/drawing/2014/main" id="{00000000-0008-0000-0100-000040020000}"/>
            </a:ext>
          </a:extLst>
        </xdr:cNvPr>
        <xdr:cNvSpPr txBox="1">
          <a:spLocks noChangeArrowheads="1"/>
        </xdr:cNvSpPr>
      </xdr:nvSpPr>
      <xdr:spPr bwMode="auto">
        <a:xfrm>
          <a:off x="3901109" y="276953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577" name="Text Box 21">
          <a:extLst>
            <a:ext uri="{FF2B5EF4-FFF2-40B4-BE49-F238E27FC236}">
              <a16:creationId xmlns:a16="http://schemas.microsoft.com/office/drawing/2014/main" id="{00000000-0008-0000-0100-000041020000}"/>
            </a:ext>
          </a:extLst>
        </xdr:cNvPr>
        <xdr:cNvSpPr txBox="1">
          <a:spLocks noChangeArrowheads="1"/>
        </xdr:cNvSpPr>
      </xdr:nvSpPr>
      <xdr:spPr bwMode="auto">
        <a:xfrm>
          <a:off x="3901109" y="276953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578" name="Text Box 22">
          <a:extLst>
            <a:ext uri="{FF2B5EF4-FFF2-40B4-BE49-F238E27FC236}">
              <a16:creationId xmlns:a16="http://schemas.microsoft.com/office/drawing/2014/main" id="{00000000-0008-0000-0100-000042020000}"/>
            </a:ext>
          </a:extLst>
        </xdr:cNvPr>
        <xdr:cNvSpPr txBox="1">
          <a:spLocks noChangeArrowheads="1"/>
        </xdr:cNvSpPr>
      </xdr:nvSpPr>
      <xdr:spPr bwMode="auto">
        <a:xfrm>
          <a:off x="3901109" y="27695387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79" name="Text Box 7">
          <a:extLst>
            <a:ext uri="{FF2B5EF4-FFF2-40B4-BE49-F238E27FC236}">
              <a16:creationId xmlns:a16="http://schemas.microsoft.com/office/drawing/2014/main" id="{00000000-0008-0000-0100-000043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80" name="Text Box 8">
          <a:extLst>
            <a:ext uri="{FF2B5EF4-FFF2-40B4-BE49-F238E27FC236}">
              <a16:creationId xmlns:a16="http://schemas.microsoft.com/office/drawing/2014/main" id="{00000000-0008-0000-0100-000044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81" name="Text Box 9">
          <a:extLst>
            <a:ext uri="{FF2B5EF4-FFF2-40B4-BE49-F238E27FC236}">
              <a16:creationId xmlns:a16="http://schemas.microsoft.com/office/drawing/2014/main" id="{00000000-0008-0000-0100-000045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82" name="Text Box 10">
          <a:extLst>
            <a:ext uri="{FF2B5EF4-FFF2-40B4-BE49-F238E27FC236}">
              <a16:creationId xmlns:a16="http://schemas.microsoft.com/office/drawing/2014/main" id="{00000000-0008-0000-0100-000046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83" name="Text Box 11">
          <a:extLst>
            <a:ext uri="{FF2B5EF4-FFF2-40B4-BE49-F238E27FC236}">
              <a16:creationId xmlns:a16="http://schemas.microsoft.com/office/drawing/2014/main" id="{00000000-0008-0000-0100-000047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84" name="Text Box 12">
          <a:extLst>
            <a:ext uri="{FF2B5EF4-FFF2-40B4-BE49-F238E27FC236}">
              <a16:creationId xmlns:a16="http://schemas.microsoft.com/office/drawing/2014/main" id="{00000000-0008-0000-0100-000048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85" name="Text Box 13">
          <a:extLst>
            <a:ext uri="{FF2B5EF4-FFF2-40B4-BE49-F238E27FC236}">
              <a16:creationId xmlns:a16="http://schemas.microsoft.com/office/drawing/2014/main" id="{00000000-0008-0000-0100-000049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586" name="Text Box 14">
          <a:extLst>
            <a:ext uri="{FF2B5EF4-FFF2-40B4-BE49-F238E27FC236}">
              <a16:creationId xmlns:a16="http://schemas.microsoft.com/office/drawing/2014/main" id="{00000000-0008-0000-0100-00004A020000}"/>
            </a:ext>
          </a:extLst>
        </xdr:cNvPr>
        <xdr:cNvSpPr txBox="1">
          <a:spLocks noChangeArrowheads="1"/>
        </xdr:cNvSpPr>
      </xdr:nvSpPr>
      <xdr:spPr bwMode="auto">
        <a:xfrm>
          <a:off x="3901109" y="27695387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587" name="Text Box 15">
          <a:extLst>
            <a:ext uri="{FF2B5EF4-FFF2-40B4-BE49-F238E27FC236}">
              <a16:creationId xmlns:a16="http://schemas.microsoft.com/office/drawing/2014/main" id="{00000000-0008-0000-0100-00004B020000}"/>
            </a:ext>
          </a:extLst>
        </xdr:cNvPr>
        <xdr:cNvSpPr txBox="1">
          <a:spLocks noChangeArrowheads="1"/>
        </xdr:cNvSpPr>
      </xdr:nvSpPr>
      <xdr:spPr bwMode="auto">
        <a:xfrm>
          <a:off x="3901109" y="27695387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88" name="Text Box 5">
          <a:extLst>
            <a:ext uri="{FF2B5EF4-FFF2-40B4-BE49-F238E27FC236}">
              <a16:creationId xmlns:a16="http://schemas.microsoft.com/office/drawing/2014/main" id="{00000000-0008-0000-0100-00004C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589" name="Text Box 6">
          <a:extLst>
            <a:ext uri="{FF2B5EF4-FFF2-40B4-BE49-F238E27FC236}">
              <a16:creationId xmlns:a16="http://schemas.microsoft.com/office/drawing/2014/main" id="{00000000-0008-0000-0100-00004D020000}"/>
            </a:ext>
          </a:extLst>
        </xdr:cNvPr>
        <xdr:cNvSpPr txBox="1">
          <a:spLocks noChangeArrowheads="1"/>
        </xdr:cNvSpPr>
      </xdr:nvSpPr>
      <xdr:spPr bwMode="auto">
        <a:xfrm>
          <a:off x="3901109" y="27695387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0" name="Text Box 7">
          <a:extLst>
            <a:ext uri="{FF2B5EF4-FFF2-40B4-BE49-F238E27FC236}">
              <a16:creationId xmlns:a16="http://schemas.microsoft.com/office/drawing/2014/main" id="{00000000-0008-0000-0100-00004E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1" name="Text Box 8">
          <a:extLst>
            <a:ext uri="{FF2B5EF4-FFF2-40B4-BE49-F238E27FC236}">
              <a16:creationId xmlns:a16="http://schemas.microsoft.com/office/drawing/2014/main" id="{00000000-0008-0000-0100-00004F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2" name="Text Box 9">
          <a:extLst>
            <a:ext uri="{FF2B5EF4-FFF2-40B4-BE49-F238E27FC236}">
              <a16:creationId xmlns:a16="http://schemas.microsoft.com/office/drawing/2014/main" id="{00000000-0008-0000-0100-000050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3" name="Text Box 10">
          <a:extLst>
            <a:ext uri="{FF2B5EF4-FFF2-40B4-BE49-F238E27FC236}">
              <a16:creationId xmlns:a16="http://schemas.microsoft.com/office/drawing/2014/main" id="{00000000-0008-0000-0100-000051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4" name="Text Box 11">
          <a:extLst>
            <a:ext uri="{FF2B5EF4-FFF2-40B4-BE49-F238E27FC236}">
              <a16:creationId xmlns:a16="http://schemas.microsoft.com/office/drawing/2014/main" id="{00000000-0008-0000-0100-000052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5" name="Text Box 12">
          <a:extLst>
            <a:ext uri="{FF2B5EF4-FFF2-40B4-BE49-F238E27FC236}">
              <a16:creationId xmlns:a16="http://schemas.microsoft.com/office/drawing/2014/main" id="{00000000-0008-0000-0100-000053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6" name="Text Box 13">
          <a:extLst>
            <a:ext uri="{FF2B5EF4-FFF2-40B4-BE49-F238E27FC236}">
              <a16:creationId xmlns:a16="http://schemas.microsoft.com/office/drawing/2014/main" id="{00000000-0008-0000-0100-000054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597" name="Text Box 14">
          <a:extLst>
            <a:ext uri="{FF2B5EF4-FFF2-40B4-BE49-F238E27FC236}">
              <a16:creationId xmlns:a16="http://schemas.microsoft.com/office/drawing/2014/main" id="{00000000-0008-0000-0100-000055020000}"/>
            </a:ext>
          </a:extLst>
        </xdr:cNvPr>
        <xdr:cNvSpPr txBox="1">
          <a:spLocks noChangeArrowheads="1"/>
        </xdr:cNvSpPr>
      </xdr:nvSpPr>
      <xdr:spPr bwMode="auto">
        <a:xfrm>
          <a:off x="3901109" y="27695387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8" name="Text Box 15">
          <a:extLst>
            <a:ext uri="{FF2B5EF4-FFF2-40B4-BE49-F238E27FC236}">
              <a16:creationId xmlns:a16="http://schemas.microsoft.com/office/drawing/2014/main" id="{00000000-0008-0000-0100-000056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599" name="Text Box 16">
          <a:extLst>
            <a:ext uri="{FF2B5EF4-FFF2-40B4-BE49-F238E27FC236}">
              <a16:creationId xmlns:a16="http://schemas.microsoft.com/office/drawing/2014/main" id="{00000000-0008-0000-0100-000057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0" name="Text Box 17">
          <a:extLst>
            <a:ext uri="{FF2B5EF4-FFF2-40B4-BE49-F238E27FC236}">
              <a16:creationId xmlns:a16="http://schemas.microsoft.com/office/drawing/2014/main" id="{00000000-0008-0000-0100-000058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1" name="Text Box 18">
          <a:extLst>
            <a:ext uri="{FF2B5EF4-FFF2-40B4-BE49-F238E27FC236}">
              <a16:creationId xmlns:a16="http://schemas.microsoft.com/office/drawing/2014/main" id="{00000000-0008-0000-0100-000059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2" name="Text Box 19">
          <a:extLst>
            <a:ext uri="{FF2B5EF4-FFF2-40B4-BE49-F238E27FC236}">
              <a16:creationId xmlns:a16="http://schemas.microsoft.com/office/drawing/2014/main" id="{00000000-0008-0000-0100-00005A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3" name="Text Box 20">
          <a:extLst>
            <a:ext uri="{FF2B5EF4-FFF2-40B4-BE49-F238E27FC236}">
              <a16:creationId xmlns:a16="http://schemas.microsoft.com/office/drawing/2014/main" id="{00000000-0008-0000-0100-00005B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4" name="Text Box 21">
          <a:extLst>
            <a:ext uri="{FF2B5EF4-FFF2-40B4-BE49-F238E27FC236}">
              <a16:creationId xmlns:a16="http://schemas.microsoft.com/office/drawing/2014/main" id="{00000000-0008-0000-0100-00005C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605" name="Text Box 22">
          <a:extLst>
            <a:ext uri="{FF2B5EF4-FFF2-40B4-BE49-F238E27FC236}">
              <a16:creationId xmlns:a16="http://schemas.microsoft.com/office/drawing/2014/main" id="{00000000-0008-0000-0100-00005D020000}"/>
            </a:ext>
          </a:extLst>
        </xdr:cNvPr>
        <xdr:cNvSpPr txBox="1">
          <a:spLocks noChangeArrowheads="1"/>
        </xdr:cNvSpPr>
      </xdr:nvSpPr>
      <xdr:spPr bwMode="auto">
        <a:xfrm>
          <a:off x="3901109" y="27695387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6" name="Text Box 7">
          <a:extLst>
            <a:ext uri="{FF2B5EF4-FFF2-40B4-BE49-F238E27FC236}">
              <a16:creationId xmlns:a16="http://schemas.microsoft.com/office/drawing/2014/main" id="{00000000-0008-0000-0100-00005E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7" name="Text Box 8">
          <a:extLst>
            <a:ext uri="{FF2B5EF4-FFF2-40B4-BE49-F238E27FC236}">
              <a16:creationId xmlns:a16="http://schemas.microsoft.com/office/drawing/2014/main" id="{00000000-0008-0000-0100-00005F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8" name="Text Box 9">
          <a:extLst>
            <a:ext uri="{FF2B5EF4-FFF2-40B4-BE49-F238E27FC236}">
              <a16:creationId xmlns:a16="http://schemas.microsoft.com/office/drawing/2014/main" id="{00000000-0008-0000-0100-000060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09" name="Text Box 10">
          <a:extLst>
            <a:ext uri="{FF2B5EF4-FFF2-40B4-BE49-F238E27FC236}">
              <a16:creationId xmlns:a16="http://schemas.microsoft.com/office/drawing/2014/main" id="{00000000-0008-0000-0100-000061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10" name="Text Box 11">
          <a:extLst>
            <a:ext uri="{FF2B5EF4-FFF2-40B4-BE49-F238E27FC236}">
              <a16:creationId xmlns:a16="http://schemas.microsoft.com/office/drawing/2014/main" id="{00000000-0008-0000-0100-000062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11" name="Text Box 12">
          <a:extLst>
            <a:ext uri="{FF2B5EF4-FFF2-40B4-BE49-F238E27FC236}">
              <a16:creationId xmlns:a16="http://schemas.microsoft.com/office/drawing/2014/main" id="{00000000-0008-0000-0100-000063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612" name="Text Box 13">
          <a:extLst>
            <a:ext uri="{FF2B5EF4-FFF2-40B4-BE49-F238E27FC236}">
              <a16:creationId xmlns:a16="http://schemas.microsoft.com/office/drawing/2014/main" id="{00000000-0008-0000-0100-000064020000}"/>
            </a:ext>
          </a:extLst>
        </xdr:cNvPr>
        <xdr:cNvSpPr txBox="1">
          <a:spLocks noChangeArrowheads="1"/>
        </xdr:cNvSpPr>
      </xdr:nvSpPr>
      <xdr:spPr bwMode="auto">
        <a:xfrm>
          <a:off x="3901109" y="27695387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613" name="Text Box 14">
          <a:extLst>
            <a:ext uri="{FF2B5EF4-FFF2-40B4-BE49-F238E27FC236}">
              <a16:creationId xmlns:a16="http://schemas.microsoft.com/office/drawing/2014/main" id="{00000000-0008-0000-0100-000065020000}"/>
            </a:ext>
          </a:extLst>
        </xdr:cNvPr>
        <xdr:cNvSpPr txBox="1">
          <a:spLocks noChangeArrowheads="1"/>
        </xdr:cNvSpPr>
      </xdr:nvSpPr>
      <xdr:spPr bwMode="auto">
        <a:xfrm>
          <a:off x="3901109" y="27695387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614" name="Text Box 5">
          <a:extLst>
            <a:ext uri="{FF2B5EF4-FFF2-40B4-BE49-F238E27FC236}">
              <a16:creationId xmlns:a16="http://schemas.microsoft.com/office/drawing/2014/main" id="{00000000-0008-0000-0100-000066020000}"/>
            </a:ext>
          </a:extLst>
        </xdr:cNvPr>
        <xdr:cNvSpPr txBox="1">
          <a:spLocks noChangeArrowheads="1"/>
        </xdr:cNvSpPr>
      </xdr:nvSpPr>
      <xdr:spPr bwMode="auto">
        <a:xfrm>
          <a:off x="3901109" y="27695387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615" name="Text Box 6">
          <a:extLst>
            <a:ext uri="{FF2B5EF4-FFF2-40B4-BE49-F238E27FC236}">
              <a16:creationId xmlns:a16="http://schemas.microsoft.com/office/drawing/2014/main" id="{00000000-0008-0000-0100-000067020000}"/>
            </a:ext>
          </a:extLst>
        </xdr:cNvPr>
        <xdr:cNvSpPr txBox="1">
          <a:spLocks noChangeArrowheads="1"/>
        </xdr:cNvSpPr>
      </xdr:nvSpPr>
      <xdr:spPr bwMode="auto">
        <a:xfrm>
          <a:off x="3901109" y="27695387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616" name="Text Box 7">
          <a:extLst>
            <a:ext uri="{FF2B5EF4-FFF2-40B4-BE49-F238E27FC236}">
              <a16:creationId xmlns:a16="http://schemas.microsoft.com/office/drawing/2014/main" id="{00000000-0008-0000-0100-000068020000}"/>
            </a:ext>
          </a:extLst>
        </xdr:cNvPr>
        <xdr:cNvSpPr txBox="1">
          <a:spLocks noChangeArrowheads="1"/>
        </xdr:cNvSpPr>
      </xdr:nvSpPr>
      <xdr:spPr bwMode="auto">
        <a:xfrm>
          <a:off x="3901109" y="27695387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617" name="Text Box 8">
          <a:extLst>
            <a:ext uri="{FF2B5EF4-FFF2-40B4-BE49-F238E27FC236}">
              <a16:creationId xmlns:a16="http://schemas.microsoft.com/office/drawing/2014/main" id="{00000000-0008-0000-0100-000069020000}"/>
            </a:ext>
          </a:extLst>
        </xdr:cNvPr>
        <xdr:cNvSpPr txBox="1">
          <a:spLocks noChangeArrowheads="1"/>
        </xdr:cNvSpPr>
      </xdr:nvSpPr>
      <xdr:spPr bwMode="auto">
        <a:xfrm>
          <a:off x="3901109" y="27695387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618" name="Text Box 9">
          <a:extLst>
            <a:ext uri="{FF2B5EF4-FFF2-40B4-BE49-F238E27FC236}">
              <a16:creationId xmlns:a16="http://schemas.microsoft.com/office/drawing/2014/main" id="{00000000-0008-0000-0100-00006A020000}"/>
            </a:ext>
          </a:extLst>
        </xdr:cNvPr>
        <xdr:cNvSpPr txBox="1">
          <a:spLocks noChangeArrowheads="1"/>
        </xdr:cNvSpPr>
      </xdr:nvSpPr>
      <xdr:spPr bwMode="auto">
        <a:xfrm>
          <a:off x="3901109" y="27695387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619" name="Text Box 10">
          <a:extLst>
            <a:ext uri="{FF2B5EF4-FFF2-40B4-BE49-F238E27FC236}">
              <a16:creationId xmlns:a16="http://schemas.microsoft.com/office/drawing/2014/main" id="{00000000-0008-0000-0100-00006B020000}"/>
            </a:ext>
          </a:extLst>
        </xdr:cNvPr>
        <xdr:cNvSpPr txBox="1">
          <a:spLocks noChangeArrowheads="1"/>
        </xdr:cNvSpPr>
      </xdr:nvSpPr>
      <xdr:spPr bwMode="auto">
        <a:xfrm>
          <a:off x="3901109" y="27695387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620" name="Text Box 11">
          <a:extLst>
            <a:ext uri="{FF2B5EF4-FFF2-40B4-BE49-F238E27FC236}">
              <a16:creationId xmlns:a16="http://schemas.microsoft.com/office/drawing/2014/main" id="{00000000-0008-0000-0100-00006C020000}"/>
            </a:ext>
          </a:extLst>
        </xdr:cNvPr>
        <xdr:cNvSpPr txBox="1">
          <a:spLocks noChangeArrowheads="1"/>
        </xdr:cNvSpPr>
      </xdr:nvSpPr>
      <xdr:spPr bwMode="auto">
        <a:xfrm>
          <a:off x="3901109" y="27695387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621" name="Text Box 12">
          <a:extLst>
            <a:ext uri="{FF2B5EF4-FFF2-40B4-BE49-F238E27FC236}">
              <a16:creationId xmlns:a16="http://schemas.microsoft.com/office/drawing/2014/main" id="{00000000-0008-0000-0100-00006D020000}"/>
            </a:ext>
          </a:extLst>
        </xdr:cNvPr>
        <xdr:cNvSpPr txBox="1">
          <a:spLocks noChangeArrowheads="1"/>
        </xdr:cNvSpPr>
      </xdr:nvSpPr>
      <xdr:spPr bwMode="auto">
        <a:xfrm>
          <a:off x="3901109" y="27695387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622" name="Text Box 1">
          <a:extLst>
            <a:ext uri="{FF2B5EF4-FFF2-40B4-BE49-F238E27FC236}">
              <a16:creationId xmlns:a16="http://schemas.microsoft.com/office/drawing/2014/main" id="{00000000-0008-0000-0100-00006E020000}"/>
            </a:ext>
          </a:extLst>
        </xdr:cNvPr>
        <xdr:cNvSpPr txBox="1">
          <a:spLocks noChangeArrowheads="1"/>
        </xdr:cNvSpPr>
      </xdr:nvSpPr>
      <xdr:spPr bwMode="auto">
        <a:xfrm>
          <a:off x="4580283" y="2769538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623" name="Text Box 1">
          <a:extLst>
            <a:ext uri="{FF2B5EF4-FFF2-40B4-BE49-F238E27FC236}">
              <a16:creationId xmlns:a16="http://schemas.microsoft.com/office/drawing/2014/main" id="{00000000-0008-0000-0100-00006F020000}"/>
            </a:ext>
          </a:extLst>
        </xdr:cNvPr>
        <xdr:cNvSpPr txBox="1">
          <a:spLocks noChangeArrowheads="1"/>
        </xdr:cNvSpPr>
      </xdr:nvSpPr>
      <xdr:spPr bwMode="auto">
        <a:xfrm>
          <a:off x="4580283" y="2769538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624" name="Text Box 1">
          <a:extLst>
            <a:ext uri="{FF2B5EF4-FFF2-40B4-BE49-F238E27FC236}">
              <a16:creationId xmlns:a16="http://schemas.microsoft.com/office/drawing/2014/main" id="{00000000-0008-0000-0100-000070020000}"/>
            </a:ext>
          </a:extLst>
        </xdr:cNvPr>
        <xdr:cNvSpPr txBox="1">
          <a:spLocks noChangeArrowheads="1"/>
        </xdr:cNvSpPr>
      </xdr:nvSpPr>
      <xdr:spPr bwMode="auto">
        <a:xfrm>
          <a:off x="4580283" y="2769538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625" name="Text Box 1">
          <a:extLst>
            <a:ext uri="{FF2B5EF4-FFF2-40B4-BE49-F238E27FC236}">
              <a16:creationId xmlns:a16="http://schemas.microsoft.com/office/drawing/2014/main" id="{00000000-0008-0000-0100-000071020000}"/>
            </a:ext>
          </a:extLst>
        </xdr:cNvPr>
        <xdr:cNvSpPr txBox="1">
          <a:spLocks noChangeArrowheads="1"/>
        </xdr:cNvSpPr>
      </xdr:nvSpPr>
      <xdr:spPr bwMode="auto">
        <a:xfrm>
          <a:off x="4580283" y="2769538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26" name="Text Box 5">
          <a:extLst>
            <a:ext uri="{FF2B5EF4-FFF2-40B4-BE49-F238E27FC236}">
              <a16:creationId xmlns:a16="http://schemas.microsoft.com/office/drawing/2014/main" id="{00000000-0008-0000-0100-000072020000}"/>
            </a:ext>
          </a:extLst>
        </xdr:cNvPr>
        <xdr:cNvSpPr txBox="1">
          <a:spLocks noChangeArrowheads="1"/>
        </xdr:cNvSpPr>
      </xdr:nvSpPr>
      <xdr:spPr bwMode="auto">
        <a:xfrm>
          <a:off x="3901109" y="287688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627" name="Text Box 6">
          <a:extLst>
            <a:ext uri="{FF2B5EF4-FFF2-40B4-BE49-F238E27FC236}">
              <a16:creationId xmlns:a16="http://schemas.microsoft.com/office/drawing/2014/main" id="{00000000-0008-0000-0100-000073020000}"/>
            </a:ext>
          </a:extLst>
        </xdr:cNvPr>
        <xdr:cNvSpPr txBox="1">
          <a:spLocks noChangeArrowheads="1"/>
        </xdr:cNvSpPr>
      </xdr:nvSpPr>
      <xdr:spPr bwMode="auto">
        <a:xfrm>
          <a:off x="3901109" y="28768813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28" name="Text Box 16">
          <a:extLst>
            <a:ext uri="{FF2B5EF4-FFF2-40B4-BE49-F238E27FC236}">
              <a16:creationId xmlns:a16="http://schemas.microsoft.com/office/drawing/2014/main" id="{00000000-0008-0000-0100-000074020000}"/>
            </a:ext>
          </a:extLst>
        </xdr:cNvPr>
        <xdr:cNvSpPr txBox="1">
          <a:spLocks noChangeArrowheads="1"/>
        </xdr:cNvSpPr>
      </xdr:nvSpPr>
      <xdr:spPr bwMode="auto">
        <a:xfrm>
          <a:off x="3901109" y="287688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29" name="Text Box 17">
          <a:extLst>
            <a:ext uri="{FF2B5EF4-FFF2-40B4-BE49-F238E27FC236}">
              <a16:creationId xmlns:a16="http://schemas.microsoft.com/office/drawing/2014/main" id="{00000000-0008-0000-0100-000075020000}"/>
            </a:ext>
          </a:extLst>
        </xdr:cNvPr>
        <xdr:cNvSpPr txBox="1">
          <a:spLocks noChangeArrowheads="1"/>
        </xdr:cNvSpPr>
      </xdr:nvSpPr>
      <xdr:spPr bwMode="auto">
        <a:xfrm>
          <a:off x="3901109" y="287688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30" name="Text Box 18">
          <a:extLst>
            <a:ext uri="{FF2B5EF4-FFF2-40B4-BE49-F238E27FC236}">
              <a16:creationId xmlns:a16="http://schemas.microsoft.com/office/drawing/2014/main" id="{00000000-0008-0000-0100-000076020000}"/>
            </a:ext>
          </a:extLst>
        </xdr:cNvPr>
        <xdr:cNvSpPr txBox="1">
          <a:spLocks noChangeArrowheads="1"/>
        </xdr:cNvSpPr>
      </xdr:nvSpPr>
      <xdr:spPr bwMode="auto">
        <a:xfrm>
          <a:off x="3901109" y="287688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31" name="Text Box 19">
          <a:extLst>
            <a:ext uri="{FF2B5EF4-FFF2-40B4-BE49-F238E27FC236}">
              <a16:creationId xmlns:a16="http://schemas.microsoft.com/office/drawing/2014/main" id="{00000000-0008-0000-0100-000077020000}"/>
            </a:ext>
          </a:extLst>
        </xdr:cNvPr>
        <xdr:cNvSpPr txBox="1">
          <a:spLocks noChangeArrowheads="1"/>
        </xdr:cNvSpPr>
      </xdr:nvSpPr>
      <xdr:spPr bwMode="auto">
        <a:xfrm>
          <a:off x="3901109" y="287688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32" name="Text Box 20">
          <a:extLst>
            <a:ext uri="{FF2B5EF4-FFF2-40B4-BE49-F238E27FC236}">
              <a16:creationId xmlns:a16="http://schemas.microsoft.com/office/drawing/2014/main" id="{00000000-0008-0000-0100-000078020000}"/>
            </a:ext>
          </a:extLst>
        </xdr:cNvPr>
        <xdr:cNvSpPr txBox="1">
          <a:spLocks noChangeArrowheads="1"/>
        </xdr:cNvSpPr>
      </xdr:nvSpPr>
      <xdr:spPr bwMode="auto">
        <a:xfrm>
          <a:off x="3901109" y="287688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33" name="Text Box 21">
          <a:extLst>
            <a:ext uri="{FF2B5EF4-FFF2-40B4-BE49-F238E27FC236}">
              <a16:creationId xmlns:a16="http://schemas.microsoft.com/office/drawing/2014/main" id="{00000000-0008-0000-0100-000079020000}"/>
            </a:ext>
          </a:extLst>
        </xdr:cNvPr>
        <xdr:cNvSpPr txBox="1">
          <a:spLocks noChangeArrowheads="1"/>
        </xdr:cNvSpPr>
      </xdr:nvSpPr>
      <xdr:spPr bwMode="auto">
        <a:xfrm>
          <a:off x="3901109" y="287688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634" name="Text Box 22">
          <a:extLst>
            <a:ext uri="{FF2B5EF4-FFF2-40B4-BE49-F238E27FC236}">
              <a16:creationId xmlns:a16="http://schemas.microsoft.com/office/drawing/2014/main" id="{00000000-0008-0000-0100-00007A020000}"/>
            </a:ext>
          </a:extLst>
        </xdr:cNvPr>
        <xdr:cNvSpPr txBox="1">
          <a:spLocks noChangeArrowheads="1"/>
        </xdr:cNvSpPr>
      </xdr:nvSpPr>
      <xdr:spPr bwMode="auto">
        <a:xfrm>
          <a:off x="3901109" y="28768813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635" name="Text Box 1">
          <a:extLst>
            <a:ext uri="{FF2B5EF4-FFF2-40B4-BE49-F238E27FC236}">
              <a16:creationId xmlns:a16="http://schemas.microsoft.com/office/drawing/2014/main" id="{00000000-0008-0000-0100-00007B020000}"/>
            </a:ext>
          </a:extLst>
        </xdr:cNvPr>
        <xdr:cNvSpPr txBox="1">
          <a:spLocks noChangeArrowheads="1"/>
        </xdr:cNvSpPr>
      </xdr:nvSpPr>
      <xdr:spPr bwMode="auto">
        <a:xfrm>
          <a:off x="4580283" y="2876881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636" name="Text Box 1">
          <a:extLst>
            <a:ext uri="{FF2B5EF4-FFF2-40B4-BE49-F238E27FC236}">
              <a16:creationId xmlns:a16="http://schemas.microsoft.com/office/drawing/2014/main" id="{00000000-0008-0000-0100-00007C020000}"/>
            </a:ext>
          </a:extLst>
        </xdr:cNvPr>
        <xdr:cNvSpPr txBox="1">
          <a:spLocks noChangeArrowheads="1"/>
        </xdr:cNvSpPr>
      </xdr:nvSpPr>
      <xdr:spPr bwMode="auto">
        <a:xfrm>
          <a:off x="4580283" y="2876881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637" name="Text Box 1">
          <a:extLst>
            <a:ext uri="{FF2B5EF4-FFF2-40B4-BE49-F238E27FC236}">
              <a16:creationId xmlns:a16="http://schemas.microsoft.com/office/drawing/2014/main" id="{00000000-0008-0000-0100-00007D020000}"/>
            </a:ext>
          </a:extLst>
        </xdr:cNvPr>
        <xdr:cNvSpPr txBox="1">
          <a:spLocks noChangeArrowheads="1"/>
        </xdr:cNvSpPr>
      </xdr:nvSpPr>
      <xdr:spPr bwMode="auto">
        <a:xfrm>
          <a:off x="4580283" y="2876881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638" name="Text Box 1">
          <a:extLst>
            <a:ext uri="{FF2B5EF4-FFF2-40B4-BE49-F238E27FC236}">
              <a16:creationId xmlns:a16="http://schemas.microsoft.com/office/drawing/2014/main" id="{00000000-0008-0000-0100-00007E020000}"/>
            </a:ext>
          </a:extLst>
        </xdr:cNvPr>
        <xdr:cNvSpPr txBox="1">
          <a:spLocks noChangeArrowheads="1"/>
        </xdr:cNvSpPr>
      </xdr:nvSpPr>
      <xdr:spPr bwMode="auto">
        <a:xfrm>
          <a:off x="4580283" y="2876881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39" name="Text Box 5">
          <a:extLst>
            <a:ext uri="{FF2B5EF4-FFF2-40B4-BE49-F238E27FC236}">
              <a16:creationId xmlns:a16="http://schemas.microsoft.com/office/drawing/2014/main" id="{00000000-0008-0000-0100-00007F020000}"/>
            </a:ext>
          </a:extLst>
        </xdr:cNvPr>
        <xdr:cNvSpPr txBox="1">
          <a:spLocks noChangeArrowheads="1"/>
        </xdr:cNvSpPr>
      </xdr:nvSpPr>
      <xdr:spPr bwMode="auto">
        <a:xfrm>
          <a:off x="3901109" y="3214811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640" name="Text Box 6">
          <a:extLst>
            <a:ext uri="{FF2B5EF4-FFF2-40B4-BE49-F238E27FC236}">
              <a16:creationId xmlns:a16="http://schemas.microsoft.com/office/drawing/2014/main" id="{00000000-0008-0000-0100-000080020000}"/>
            </a:ext>
          </a:extLst>
        </xdr:cNvPr>
        <xdr:cNvSpPr txBox="1">
          <a:spLocks noChangeArrowheads="1"/>
        </xdr:cNvSpPr>
      </xdr:nvSpPr>
      <xdr:spPr bwMode="auto">
        <a:xfrm>
          <a:off x="3901109" y="321481174"/>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41" name="Text Box 16">
          <a:extLst>
            <a:ext uri="{FF2B5EF4-FFF2-40B4-BE49-F238E27FC236}">
              <a16:creationId xmlns:a16="http://schemas.microsoft.com/office/drawing/2014/main" id="{00000000-0008-0000-0100-000081020000}"/>
            </a:ext>
          </a:extLst>
        </xdr:cNvPr>
        <xdr:cNvSpPr txBox="1">
          <a:spLocks noChangeArrowheads="1"/>
        </xdr:cNvSpPr>
      </xdr:nvSpPr>
      <xdr:spPr bwMode="auto">
        <a:xfrm>
          <a:off x="3901109" y="3214811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42" name="Text Box 17">
          <a:extLst>
            <a:ext uri="{FF2B5EF4-FFF2-40B4-BE49-F238E27FC236}">
              <a16:creationId xmlns:a16="http://schemas.microsoft.com/office/drawing/2014/main" id="{00000000-0008-0000-0100-000082020000}"/>
            </a:ext>
          </a:extLst>
        </xdr:cNvPr>
        <xdr:cNvSpPr txBox="1">
          <a:spLocks noChangeArrowheads="1"/>
        </xdr:cNvSpPr>
      </xdr:nvSpPr>
      <xdr:spPr bwMode="auto">
        <a:xfrm>
          <a:off x="3901109" y="3214811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43" name="Text Box 18">
          <a:extLst>
            <a:ext uri="{FF2B5EF4-FFF2-40B4-BE49-F238E27FC236}">
              <a16:creationId xmlns:a16="http://schemas.microsoft.com/office/drawing/2014/main" id="{00000000-0008-0000-0100-000083020000}"/>
            </a:ext>
          </a:extLst>
        </xdr:cNvPr>
        <xdr:cNvSpPr txBox="1">
          <a:spLocks noChangeArrowheads="1"/>
        </xdr:cNvSpPr>
      </xdr:nvSpPr>
      <xdr:spPr bwMode="auto">
        <a:xfrm>
          <a:off x="3901109" y="3214811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44" name="Text Box 19">
          <a:extLst>
            <a:ext uri="{FF2B5EF4-FFF2-40B4-BE49-F238E27FC236}">
              <a16:creationId xmlns:a16="http://schemas.microsoft.com/office/drawing/2014/main" id="{00000000-0008-0000-0100-000084020000}"/>
            </a:ext>
          </a:extLst>
        </xdr:cNvPr>
        <xdr:cNvSpPr txBox="1">
          <a:spLocks noChangeArrowheads="1"/>
        </xdr:cNvSpPr>
      </xdr:nvSpPr>
      <xdr:spPr bwMode="auto">
        <a:xfrm>
          <a:off x="3901109" y="3214811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45" name="Text Box 20">
          <a:extLst>
            <a:ext uri="{FF2B5EF4-FFF2-40B4-BE49-F238E27FC236}">
              <a16:creationId xmlns:a16="http://schemas.microsoft.com/office/drawing/2014/main" id="{00000000-0008-0000-0100-000085020000}"/>
            </a:ext>
          </a:extLst>
        </xdr:cNvPr>
        <xdr:cNvSpPr txBox="1">
          <a:spLocks noChangeArrowheads="1"/>
        </xdr:cNvSpPr>
      </xdr:nvSpPr>
      <xdr:spPr bwMode="auto">
        <a:xfrm>
          <a:off x="3901109" y="3214811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46" name="Text Box 21">
          <a:extLst>
            <a:ext uri="{FF2B5EF4-FFF2-40B4-BE49-F238E27FC236}">
              <a16:creationId xmlns:a16="http://schemas.microsoft.com/office/drawing/2014/main" id="{00000000-0008-0000-0100-000086020000}"/>
            </a:ext>
          </a:extLst>
        </xdr:cNvPr>
        <xdr:cNvSpPr txBox="1">
          <a:spLocks noChangeArrowheads="1"/>
        </xdr:cNvSpPr>
      </xdr:nvSpPr>
      <xdr:spPr bwMode="auto">
        <a:xfrm>
          <a:off x="3901109" y="3214811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647" name="Text Box 22">
          <a:extLst>
            <a:ext uri="{FF2B5EF4-FFF2-40B4-BE49-F238E27FC236}">
              <a16:creationId xmlns:a16="http://schemas.microsoft.com/office/drawing/2014/main" id="{00000000-0008-0000-0100-000087020000}"/>
            </a:ext>
          </a:extLst>
        </xdr:cNvPr>
        <xdr:cNvSpPr txBox="1">
          <a:spLocks noChangeArrowheads="1"/>
        </xdr:cNvSpPr>
      </xdr:nvSpPr>
      <xdr:spPr bwMode="auto">
        <a:xfrm>
          <a:off x="3901109" y="321481174"/>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48" name="Text Box 5">
          <a:extLst>
            <a:ext uri="{FF2B5EF4-FFF2-40B4-BE49-F238E27FC236}">
              <a16:creationId xmlns:a16="http://schemas.microsoft.com/office/drawing/2014/main" id="{00000000-0008-0000-0100-000088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49" name="Text Box 6">
          <a:extLst>
            <a:ext uri="{FF2B5EF4-FFF2-40B4-BE49-F238E27FC236}">
              <a16:creationId xmlns:a16="http://schemas.microsoft.com/office/drawing/2014/main" id="{00000000-0008-0000-0100-000089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0" name="Text Box 7">
          <a:extLst>
            <a:ext uri="{FF2B5EF4-FFF2-40B4-BE49-F238E27FC236}">
              <a16:creationId xmlns:a16="http://schemas.microsoft.com/office/drawing/2014/main" id="{00000000-0008-0000-0100-00008A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1" name="Text Box 8">
          <a:extLst>
            <a:ext uri="{FF2B5EF4-FFF2-40B4-BE49-F238E27FC236}">
              <a16:creationId xmlns:a16="http://schemas.microsoft.com/office/drawing/2014/main" id="{00000000-0008-0000-0100-00008B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2" name="Text Box 9">
          <a:extLst>
            <a:ext uri="{FF2B5EF4-FFF2-40B4-BE49-F238E27FC236}">
              <a16:creationId xmlns:a16="http://schemas.microsoft.com/office/drawing/2014/main" id="{00000000-0008-0000-0100-00008C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3" name="Text Box 10">
          <a:extLst>
            <a:ext uri="{FF2B5EF4-FFF2-40B4-BE49-F238E27FC236}">
              <a16:creationId xmlns:a16="http://schemas.microsoft.com/office/drawing/2014/main" id="{00000000-0008-0000-0100-00008D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4" name="Text Box 11">
          <a:extLst>
            <a:ext uri="{FF2B5EF4-FFF2-40B4-BE49-F238E27FC236}">
              <a16:creationId xmlns:a16="http://schemas.microsoft.com/office/drawing/2014/main" id="{00000000-0008-0000-0100-00008E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5" name="Text Box 12">
          <a:extLst>
            <a:ext uri="{FF2B5EF4-FFF2-40B4-BE49-F238E27FC236}">
              <a16:creationId xmlns:a16="http://schemas.microsoft.com/office/drawing/2014/main" id="{00000000-0008-0000-0100-00008F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6" name="Text Box 13">
          <a:extLst>
            <a:ext uri="{FF2B5EF4-FFF2-40B4-BE49-F238E27FC236}">
              <a16:creationId xmlns:a16="http://schemas.microsoft.com/office/drawing/2014/main" id="{00000000-0008-0000-0100-000090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657" name="Text Box 14">
          <a:extLst>
            <a:ext uri="{FF2B5EF4-FFF2-40B4-BE49-F238E27FC236}">
              <a16:creationId xmlns:a16="http://schemas.microsoft.com/office/drawing/2014/main" id="{00000000-0008-0000-0100-000091020000}"/>
            </a:ext>
          </a:extLst>
        </xdr:cNvPr>
        <xdr:cNvSpPr txBox="1">
          <a:spLocks noChangeArrowheads="1"/>
        </xdr:cNvSpPr>
      </xdr:nvSpPr>
      <xdr:spPr bwMode="auto">
        <a:xfrm>
          <a:off x="3901109" y="332215435"/>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8" name="Text Box 15">
          <a:extLst>
            <a:ext uri="{FF2B5EF4-FFF2-40B4-BE49-F238E27FC236}">
              <a16:creationId xmlns:a16="http://schemas.microsoft.com/office/drawing/2014/main" id="{00000000-0008-0000-0100-000092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59" name="Text Box 16">
          <a:extLst>
            <a:ext uri="{FF2B5EF4-FFF2-40B4-BE49-F238E27FC236}">
              <a16:creationId xmlns:a16="http://schemas.microsoft.com/office/drawing/2014/main" id="{00000000-0008-0000-0100-000093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0" name="Text Box 17">
          <a:extLst>
            <a:ext uri="{FF2B5EF4-FFF2-40B4-BE49-F238E27FC236}">
              <a16:creationId xmlns:a16="http://schemas.microsoft.com/office/drawing/2014/main" id="{00000000-0008-0000-0100-000094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1" name="Text Box 18">
          <a:extLst>
            <a:ext uri="{FF2B5EF4-FFF2-40B4-BE49-F238E27FC236}">
              <a16:creationId xmlns:a16="http://schemas.microsoft.com/office/drawing/2014/main" id="{00000000-0008-0000-0100-000095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2" name="Text Box 19">
          <a:extLst>
            <a:ext uri="{FF2B5EF4-FFF2-40B4-BE49-F238E27FC236}">
              <a16:creationId xmlns:a16="http://schemas.microsoft.com/office/drawing/2014/main" id="{00000000-0008-0000-0100-000096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3" name="Text Box 20">
          <a:extLst>
            <a:ext uri="{FF2B5EF4-FFF2-40B4-BE49-F238E27FC236}">
              <a16:creationId xmlns:a16="http://schemas.microsoft.com/office/drawing/2014/main" id="{00000000-0008-0000-0100-000097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4" name="Text Box 21">
          <a:extLst>
            <a:ext uri="{FF2B5EF4-FFF2-40B4-BE49-F238E27FC236}">
              <a16:creationId xmlns:a16="http://schemas.microsoft.com/office/drawing/2014/main" id="{00000000-0008-0000-0100-000098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5" name="Text Box 22">
          <a:extLst>
            <a:ext uri="{FF2B5EF4-FFF2-40B4-BE49-F238E27FC236}">
              <a16:creationId xmlns:a16="http://schemas.microsoft.com/office/drawing/2014/main" id="{00000000-0008-0000-0100-000099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6" name="Text Box 7">
          <a:extLst>
            <a:ext uri="{FF2B5EF4-FFF2-40B4-BE49-F238E27FC236}">
              <a16:creationId xmlns:a16="http://schemas.microsoft.com/office/drawing/2014/main" id="{00000000-0008-0000-0100-00009A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7" name="Text Box 8">
          <a:extLst>
            <a:ext uri="{FF2B5EF4-FFF2-40B4-BE49-F238E27FC236}">
              <a16:creationId xmlns:a16="http://schemas.microsoft.com/office/drawing/2014/main" id="{00000000-0008-0000-0100-00009B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8" name="Text Box 9">
          <a:extLst>
            <a:ext uri="{FF2B5EF4-FFF2-40B4-BE49-F238E27FC236}">
              <a16:creationId xmlns:a16="http://schemas.microsoft.com/office/drawing/2014/main" id="{00000000-0008-0000-0100-00009C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69" name="Text Box 10">
          <a:extLst>
            <a:ext uri="{FF2B5EF4-FFF2-40B4-BE49-F238E27FC236}">
              <a16:creationId xmlns:a16="http://schemas.microsoft.com/office/drawing/2014/main" id="{00000000-0008-0000-0100-00009D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70" name="Text Box 11">
          <a:extLst>
            <a:ext uri="{FF2B5EF4-FFF2-40B4-BE49-F238E27FC236}">
              <a16:creationId xmlns:a16="http://schemas.microsoft.com/office/drawing/2014/main" id="{00000000-0008-0000-0100-00009E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71" name="Text Box 12">
          <a:extLst>
            <a:ext uri="{FF2B5EF4-FFF2-40B4-BE49-F238E27FC236}">
              <a16:creationId xmlns:a16="http://schemas.microsoft.com/office/drawing/2014/main" id="{00000000-0008-0000-0100-00009F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72" name="Text Box 13">
          <a:extLst>
            <a:ext uri="{FF2B5EF4-FFF2-40B4-BE49-F238E27FC236}">
              <a16:creationId xmlns:a16="http://schemas.microsoft.com/office/drawing/2014/main" id="{00000000-0008-0000-0100-0000A0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673" name="Text Box 14">
          <a:extLst>
            <a:ext uri="{FF2B5EF4-FFF2-40B4-BE49-F238E27FC236}">
              <a16:creationId xmlns:a16="http://schemas.microsoft.com/office/drawing/2014/main" id="{00000000-0008-0000-0100-0000A1020000}"/>
            </a:ext>
          </a:extLst>
        </xdr:cNvPr>
        <xdr:cNvSpPr txBox="1">
          <a:spLocks noChangeArrowheads="1"/>
        </xdr:cNvSpPr>
      </xdr:nvSpPr>
      <xdr:spPr bwMode="auto">
        <a:xfrm>
          <a:off x="3901109" y="332215435"/>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674" name="Text Box 15">
          <a:extLst>
            <a:ext uri="{FF2B5EF4-FFF2-40B4-BE49-F238E27FC236}">
              <a16:creationId xmlns:a16="http://schemas.microsoft.com/office/drawing/2014/main" id="{00000000-0008-0000-0100-0000A2020000}"/>
            </a:ext>
          </a:extLst>
        </xdr:cNvPr>
        <xdr:cNvSpPr txBox="1">
          <a:spLocks noChangeArrowheads="1"/>
        </xdr:cNvSpPr>
      </xdr:nvSpPr>
      <xdr:spPr bwMode="auto">
        <a:xfrm>
          <a:off x="3901109" y="332215435"/>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75" name="Text Box 5">
          <a:extLst>
            <a:ext uri="{FF2B5EF4-FFF2-40B4-BE49-F238E27FC236}">
              <a16:creationId xmlns:a16="http://schemas.microsoft.com/office/drawing/2014/main" id="{00000000-0008-0000-0100-0000A3020000}"/>
            </a:ext>
          </a:extLst>
        </xdr:cNvPr>
        <xdr:cNvSpPr txBox="1">
          <a:spLocks noChangeArrowheads="1"/>
        </xdr:cNvSpPr>
      </xdr:nvSpPr>
      <xdr:spPr bwMode="auto">
        <a:xfrm>
          <a:off x="3901109" y="3322154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676" name="Text Box 6">
          <a:extLst>
            <a:ext uri="{FF2B5EF4-FFF2-40B4-BE49-F238E27FC236}">
              <a16:creationId xmlns:a16="http://schemas.microsoft.com/office/drawing/2014/main" id="{00000000-0008-0000-0100-0000A4020000}"/>
            </a:ext>
          </a:extLst>
        </xdr:cNvPr>
        <xdr:cNvSpPr txBox="1">
          <a:spLocks noChangeArrowheads="1"/>
        </xdr:cNvSpPr>
      </xdr:nvSpPr>
      <xdr:spPr bwMode="auto">
        <a:xfrm>
          <a:off x="3901109" y="332215435"/>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77" name="Text Box 7">
          <a:extLst>
            <a:ext uri="{FF2B5EF4-FFF2-40B4-BE49-F238E27FC236}">
              <a16:creationId xmlns:a16="http://schemas.microsoft.com/office/drawing/2014/main" id="{00000000-0008-0000-0100-0000A5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78" name="Text Box 8">
          <a:extLst>
            <a:ext uri="{FF2B5EF4-FFF2-40B4-BE49-F238E27FC236}">
              <a16:creationId xmlns:a16="http://schemas.microsoft.com/office/drawing/2014/main" id="{00000000-0008-0000-0100-0000A6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79" name="Text Box 9">
          <a:extLst>
            <a:ext uri="{FF2B5EF4-FFF2-40B4-BE49-F238E27FC236}">
              <a16:creationId xmlns:a16="http://schemas.microsoft.com/office/drawing/2014/main" id="{00000000-0008-0000-0100-0000A7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80" name="Text Box 10">
          <a:extLst>
            <a:ext uri="{FF2B5EF4-FFF2-40B4-BE49-F238E27FC236}">
              <a16:creationId xmlns:a16="http://schemas.microsoft.com/office/drawing/2014/main" id="{00000000-0008-0000-0100-0000A8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81" name="Text Box 11">
          <a:extLst>
            <a:ext uri="{FF2B5EF4-FFF2-40B4-BE49-F238E27FC236}">
              <a16:creationId xmlns:a16="http://schemas.microsoft.com/office/drawing/2014/main" id="{00000000-0008-0000-0100-0000A9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82" name="Text Box 12">
          <a:extLst>
            <a:ext uri="{FF2B5EF4-FFF2-40B4-BE49-F238E27FC236}">
              <a16:creationId xmlns:a16="http://schemas.microsoft.com/office/drawing/2014/main" id="{00000000-0008-0000-0100-0000AA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83" name="Text Box 13">
          <a:extLst>
            <a:ext uri="{FF2B5EF4-FFF2-40B4-BE49-F238E27FC236}">
              <a16:creationId xmlns:a16="http://schemas.microsoft.com/office/drawing/2014/main" id="{00000000-0008-0000-0100-0000AB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684" name="Text Box 14">
          <a:extLst>
            <a:ext uri="{FF2B5EF4-FFF2-40B4-BE49-F238E27FC236}">
              <a16:creationId xmlns:a16="http://schemas.microsoft.com/office/drawing/2014/main" id="{00000000-0008-0000-0100-0000AC020000}"/>
            </a:ext>
          </a:extLst>
        </xdr:cNvPr>
        <xdr:cNvSpPr txBox="1">
          <a:spLocks noChangeArrowheads="1"/>
        </xdr:cNvSpPr>
      </xdr:nvSpPr>
      <xdr:spPr bwMode="auto">
        <a:xfrm>
          <a:off x="3901109" y="332215435"/>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85" name="Text Box 15">
          <a:extLst>
            <a:ext uri="{FF2B5EF4-FFF2-40B4-BE49-F238E27FC236}">
              <a16:creationId xmlns:a16="http://schemas.microsoft.com/office/drawing/2014/main" id="{00000000-0008-0000-0100-0000AD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86" name="Text Box 16">
          <a:extLst>
            <a:ext uri="{FF2B5EF4-FFF2-40B4-BE49-F238E27FC236}">
              <a16:creationId xmlns:a16="http://schemas.microsoft.com/office/drawing/2014/main" id="{00000000-0008-0000-0100-0000AE020000}"/>
            </a:ext>
          </a:extLst>
        </xdr:cNvPr>
        <xdr:cNvSpPr txBox="1">
          <a:spLocks noChangeArrowheads="1"/>
        </xdr:cNvSpPr>
      </xdr:nvSpPr>
      <xdr:spPr bwMode="auto">
        <a:xfrm>
          <a:off x="3901109" y="3322154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87" name="Text Box 17">
          <a:extLst>
            <a:ext uri="{FF2B5EF4-FFF2-40B4-BE49-F238E27FC236}">
              <a16:creationId xmlns:a16="http://schemas.microsoft.com/office/drawing/2014/main" id="{00000000-0008-0000-0100-0000AF020000}"/>
            </a:ext>
          </a:extLst>
        </xdr:cNvPr>
        <xdr:cNvSpPr txBox="1">
          <a:spLocks noChangeArrowheads="1"/>
        </xdr:cNvSpPr>
      </xdr:nvSpPr>
      <xdr:spPr bwMode="auto">
        <a:xfrm>
          <a:off x="3901109" y="3322154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88" name="Text Box 18">
          <a:extLst>
            <a:ext uri="{FF2B5EF4-FFF2-40B4-BE49-F238E27FC236}">
              <a16:creationId xmlns:a16="http://schemas.microsoft.com/office/drawing/2014/main" id="{00000000-0008-0000-0100-0000B0020000}"/>
            </a:ext>
          </a:extLst>
        </xdr:cNvPr>
        <xdr:cNvSpPr txBox="1">
          <a:spLocks noChangeArrowheads="1"/>
        </xdr:cNvSpPr>
      </xdr:nvSpPr>
      <xdr:spPr bwMode="auto">
        <a:xfrm>
          <a:off x="3901109" y="3322154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89" name="Text Box 19">
          <a:extLst>
            <a:ext uri="{FF2B5EF4-FFF2-40B4-BE49-F238E27FC236}">
              <a16:creationId xmlns:a16="http://schemas.microsoft.com/office/drawing/2014/main" id="{00000000-0008-0000-0100-0000B1020000}"/>
            </a:ext>
          </a:extLst>
        </xdr:cNvPr>
        <xdr:cNvSpPr txBox="1">
          <a:spLocks noChangeArrowheads="1"/>
        </xdr:cNvSpPr>
      </xdr:nvSpPr>
      <xdr:spPr bwMode="auto">
        <a:xfrm>
          <a:off x="3901109" y="3322154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90" name="Text Box 20">
          <a:extLst>
            <a:ext uri="{FF2B5EF4-FFF2-40B4-BE49-F238E27FC236}">
              <a16:creationId xmlns:a16="http://schemas.microsoft.com/office/drawing/2014/main" id="{00000000-0008-0000-0100-0000B2020000}"/>
            </a:ext>
          </a:extLst>
        </xdr:cNvPr>
        <xdr:cNvSpPr txBox="1">
          <a:spLocks noChangeArrowheads="1"/>
        </xdr:cNvSpPr>
      </xdr:nvSpPr>
      <xdr:spPr bwMode="auto">
        <a:xfrm>
          <a:off x="3901109" y="3322154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691" name="Text Box 21">
          <a:extLst>
            <a:ext uri="{FF2B5EF4-FFF2-40B4-BE49-F238E27FC236}">
              <a16:creationId xmlns:a16="http://schemas.microsoft.com/office/drawing/2014/main" id="{00000000-0008-0000-0100-0000B3020000}"/>
            </a:ext>
          </a:extLst>
        </xdr:cNvPr>
        <xdr:cNvSpPr txBox="1">
          <a:spLocks noChangeArrowheads="1"/>
        </xdr:cNvSpPr>
      </xdr:nvSpPr>
      <xdr:spPr bwMode="auto">
        <a:xfrm>
          <a:off x="3901109" y="3322154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692" name="Text Box 22">
          <a:extLst>
            <a:ext uri="{FF2B5EF4-FFF2-40B4-BE49-F238E27FC236}">
              <a16:creationId xmlns:a16="http://schemas.microsoft.com/office/drawing/2014/main" id="{00000000-0008-0000-0100-0000B4020000}"/>
            </a:ext>
          </a:extLst>
        </xdr:cNvPr>
        <xdr:cNvSpPr txBox="1">
          <a:spLocks noChangeArrowheads="1"/>
        </xdr:cNvSpPr>
      </xdr:nvSpPr>
      <xdr:spPr bwMode="auto">
        <a:xfrm>
          <a:off x="3901109" y="332215435"/>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93" name="Text Box 7">
          <a:extLst>
            <a:ext uri="{FF2B5EF4-FFF2-40B4-BE49-F238E27FC236}">
              <a16:creationId xmlns:a16="http://schemas.microsoft.com/office/drawing/2014/main" id="{00000000-0008-0000-0100-0000B5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94" name="Text Box 8">
          <a:extLst>
            <a:ext uri="{FF2B5EF4-FFF2-40B4-BE49-F238E27FC236}">
              <a16:creationId xmlns:a16="http://schemas.microsoft.com/office/drawing/2014/main" id="{00000000-0008-0000-0100-0000B6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95" name="Text Box 9">
          <a:extLst>
            <a:ext uri="{FF2B5EF4-FFF2-40B4-BE49-F238E27FC236}">
              <a16:creationId xmlns:a16="http://schemas.microsoft.com/office/drawing/2014/main" id="{00000000-0008-0000-0100-0000B7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96" name="Text Box 10">
          <a:extLst>
            <a:ext uri="{FF2B5EF4-FFF2-40B4-BE49-F238E27FC236}">
              <a16:creationId xmlns:a16="http://schemas.microsoft.com/office/drawing/2014/main" id="{00000000-0008-0000-0100-0000B8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97" name="Text Box 11">
          <a:extLst>
            <a:ext uri="{FF2B5EF4-FFF2-40B4-BE49-F238E27FC236}">
              <a16:creationId xmlns:a16="http://schemas.microsoft.com/office/drawing/2014/main" id="{00000000-0008-0000-0100-0000B9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98" name="Text Box 12">
          <a:extLst>
            <a:ext uri="{FF2B5EF4-FFF2-40B4-BE49-F238E27FC236}">
              <a16:creationId xmlns:a16="http://schemas.microsoft.com/office/drawing/2014/main" id="{00000000-0008-0000-0100-0000BA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699" name="Text Box 13">
          <a:extLst>
            <a:ext uri="{FF2B5EF4-FFF2-40B4-BE49-F238E27FC236}">
              <a16:creationId xmlns:a16="http://schemas.microsoft.com/office/drawing/2014/main" id="{00000000-0008-0000-0100-0000BB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700" name="Text Box 14">
          <a:extLst>
            <a:ext uri="{FF2B5EF4-FFF2-40B4-BE49-F238E27FC236}">
              <a16:creationId xmlns:a16="http://schemas.microsoft.com/office/drawing/2014/main" id="{00000000-0008-0000-0100-0000BC020000}"/>
            </a:ext>
          </a:extLst>
        </xdr:cNvPr>
        <xdr:cNvSpPr txBox="1">
          <a:spLocks noChangeArrowheads="1"/>
        </xdr:cNvSpPr>
      </xdr:nvSpPr>
      <xdr:spPr bwMode="auto">
        <a:xfrm>
          <a:off x="3901109" y="332215435"/>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01" name="Text Box 15">
          <a:extLst>
            <a:ext uri="{FF2B5EF4-FFF2-40B4-BE49-F238E27FC236}">
              <a16:creationId xmlns:a16="http://schemas.microsoft.com/office/drawing/2014/main" id="{00000000-0008-0000-0100-0000BD020000}"/>
            </a:ext>
          </a:extLst>
        </xdr:cNvPr>
        <xdr:cNvSpPr txBox="1">
          <a:spLocks noChangeArrowheads="1"/>
        </xdr:cNvSpPr>
      </xdr:nvSpPr>
      <xdr:spPr bwMode="auto">
        <a:xfrm>
          <a:off x="3901109" y="332215435"/>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02" name="Text Box 5">
          <a:extLst>
            <a:ext uri="{FF2B5EF4-FFF2-40B4-BE49-F238E27FC236}">
              <a16:creationId xmlns:a16="http://schemas.microsoft.com/office/drawing/2014/main" id="{00000000-0008-0000-0100-0000BE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703" name="Text Box 6">
          <a:extLst>
            <a:ext uri="{FF2B5EF4-FFF2-40B4-BE49-F238E27FC236}">
              <a16:creationId xmlns:a16="http://schemas.microsoft.com/office/drawing/2014/main" id="{00000000-0008-0000-0100-0000BF020000}"/>
            </a:ext>
          </a:extLst>
        </xdr:cNvPr>
        <xdr:cNvSpPr txBox="1">
          <a:spLocks noChangeArrowheads="1"/>
        </xdr:cNvSpPr>
      </xdr:nvSpPr>
      <xdr:spPr bwMode="auto">
        <a:xfrm>
          <a:off x="3901109" y="332215435"/>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04" name="Text Box 7">
          <a:extLst>
            <a:ext uri="{FF2B5EF4-FFF2-40B4-BE49-F238E27FC236}">
              <a16:creationId xmlns:a16="http://schemas.microsoft.com/office/drawing/2014/main" id="{00000000-0008-0000-0100-0000C0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05" name="Text Box 8">
          <a:extLst>
            <a:ext uri="{FF2B5EF4-FFF2-40B4-BE49-F238E27FC236}">
              <a16:creationId xmlns:a16="http://schemas.microsoft.com/office/drawing/2014/main" id="{00000000-0008-0000-0100-0000C1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06" name="Text Box 9">
          <a:extLst>
            <a:ext uri="{FF2B5EF4-FFF2-40B4-BE49-F238E27FC236}">
              <a16:creationId xmlns:a16="http://schemas.microsoft.com/office/drawing/2014/main" id="{00000000-0008-0000-0100-0000C2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07" name="Text Box 10">
          <a:extLst>
            <a:ext uri="{FF2B5EF4-FFF2-40B4-BE49-F238E27FC236}">
              <a16:creationId xmlns:a16="http://schemas.microsoft.com/office/drawing/2014/main" id="{00000000-0008-0000-0100-0000C3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08" name="Text Box 11">
          <a:extLst>
            <a:ext uri="{FF2B5EF4-FFF2-40B4-BE49-F238E27FC236}">
              <a16:creationId xmlns:a16="http://schemas.microsoft.com/office/drawing/2014/main" id="{00000000-0008-0000-0100-0000C4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09" name="Text Box 12">
          <a:extLst>
            <a:ext uri="{FF2B5EF4-FFF2-40B4-BE49-F238E27FC236}">
              <a16:creationId xmlns:a16="http://schemas.microsoft.com/office/drawing/2014/main" id="{00000000-0008-0000-0100-0000C5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10" name="Text Box 13">
          <a:extLst>
            <a:ext uri="{FF2B5EF4-FFF2-40B4-BE49-F238E27FC236}">
              <a16:creationId xmlns:a16="http://schemas.microsoft.com/office/drawing/2014/main" id="{00000000-0008-0000-0100-0000C6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711" name="Text Box 14">
          <a:extLst>
            <a:ext uri="{FF2B5EF4-FFF2-40B4-BE49-F238E27FC236}">
              <a16:creationId xmlns:a16="http://schemas.microsoft.com/office/drawing/2014/main" id="{00000000-0008-0000-0100-0000C7020000}"/>
            </a:ext>
          </a:extLst>
        </xdr:cNvPr>
        <xdr:cNvSpPr txBox="1">
          <a:spLocks noChangeArrowheads="1"/>
        </xdr:cNvSpPr>
      </xdr:nvSpPr>
      <xdr:spPr bwMode="auto">
        <a:xfrm>
          <a:off x="3901109" y="332215435"/>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12" name="Text Box 15">
          <a:extLst>
            <a:ext uri="{FF2B5EF4-FFF2-40B4-BE49-F238E27FC236}">
              <a16:creationId xmlns:a16="http://schemas.microsoft.com/office/drawing/2014/main" id="{00000000-0008-0000-0100-0000C8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13" name="Text Box 16">
          <a:extLst>
            <a:ext uri="{FF2B5EF4-FFF2-40B4-BE49-F238E27FC236}">
              <a16:creationId xmlns:a16="http://schemas.microsoft.com/office/drawing/2014/main" id="{00000000-0008-0000-0100-0000C9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14" name="Text Box 17">
          <a:extLst>
            <a:ext uri="{FF2B5EF4-FFF2-40B4-BE49-F238E27FC236}">
              <a16:creationId xmlns:a16="http://schemas.microsoft.com/office/drawing/2014/main" id="{00000000-0008-0000-0100-0000CA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15" name="Text Box 18">
          <a:extLst>
            <a:ext uri="{FF2B5EF4-FFF2-40B4-BE49-F238E27FC236}">
              <a16:creationId xmlns:a16="http://schemas.microsoft.com/office/drawing/2014/main" id="{00000000-0008-0000-0100-0000CB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16" name="Text Box 19">
          <a:extLst>
            <a:ext uri="{FF2B5EF4-FFF2-40B4-BE49-F238E27FC236}">
              <a16:creationId xmlns:a16="http://schemas.microsoft.com/office/drawing/2014/main" id="{00000000-0008-0000-0100-0000CC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17" name="Text Box 20">
          <a:extLst>
            <a:ext uri="{FF2B5EF4-FFF2-40B4-BE49-F238E27FC236}">
              <a16:creationId xmlns:a16="http://schemas.microsoft.com/office/drawing/2014/main" id="{00000000-0008-0000-0100-0000CD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18" name="Text Box 21">
          <a:extLst>
            <a:ext uri="{FF2B5EF4-FFF2-40B4-BE49-F238E27FC236}">
              <a16:creationId xmlns:a16="http://schemas.microsoft.com/office/drawing/2014/main" id="{00000000-0008-0000-0100-0000CE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719" name="Text Box 22">
          <a:extLst>
            <a:ext uri="{FF2B5EF4-FFF2-40B4-BE49-F238E27FC236}">
              <a16:creationId xmlns:a16="http://schemas.microsoft.com/office/drawing/2014/main" id="{00000000-0008-0000-0100-0000CF020000}"/>
            </a:ext>
          </a:extLst>
        </xdr:cNvPr>
        <xdr:cNvSpPr txBox="1">
          <a:spLocks noChangeArrowheads="1"/>
        </xdr:cNvSpPr>
      </xdr:nvSpPr>
      <xdr:spPr bwMode="auto">
        <a:xfrm>
          <a:off x="3901109" y="332215435"/>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20" name="Text Box 7">
          <a:extLst>
            <a:ext uri="{FF2B5EF4-FFF2-40B4-BE49-F238E27FC236}">
              <a16:creationId xmlns:a16="http://schemas.microsoft.com/office/drawing/2014/main" id="{00000000-0008-0000-0100-0000D0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21" name="Text Box 8">
          <a:extLst>
            <a:ext uri="{FF2B5EF4-FFF2-40B4-BE49-F238E27FC236}">
              <a16:creationId xmlns:a16="http://schemas.microsoft.com/office/drawing/2014/main" id="{00000000-0008-0000-0100-0000D1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22" name="Text Box 9">
          <a:extLst>
            <a:ext uri="{FF2B5EF4-FFF2-40B4-BE49-F238E27FC236}">
              <a16:creationId xmlns:a16="http://schemas.microsoft.com/office/drawing/2014/main" id="{00000000-0008-0000-0100-0000D2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23" name="Text Box 10">
          <a:extLst>
            <a:ext uri="{FF2B5EF4-FFF2-40B4-BE49-F238E27FC236}">
              <a16:creationId xmlns:a16="http://schemas.microsoft.com/office/drawing/2014/main" id="{00000000-0008-0000-0100-0000D3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24" name="Text Box 11">
          <a:extLst>
            <a:ext uri="{FF2B5EF4-FFF2-40B4-BE49-F238E27FC236}">
              <a16:creationId xmlns:a16="http://schemas.microsoft.com/office/drawing/2014/main" id="{00000000-0008-0000-0100-0000D4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25" name="Text Box 12">
          <a:extLst>
            <a:ext uri="{FF2B5EF4-FFF2-40B4-BE49-F238E27FC236}">
              <a16:creationId xmlns:a16="http://schemas.microsoft.com/office/drawing/2014/main" id="{00000000-0008-0000-0100-0000D5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726" name="Text Box 13">
          <a:extLst>
            <a:ext uri="{FF2B5EF4-FFF2-40B4-BE49-F238E27FC236}">
              <a16:creationId xmlns:a16="http://schemas.microsoft.com/office/drawing/2014/main" id="{00000000-0008-0000-0100-0000D6020000}"/>
            </a:ext>
          </a:extLst>
        </xdr:cNvPr>
        <xdr:cNvSpPr txBox="1">
          <a:spLocks noChangeArrowheads="1"/>
        </xdr:cNvSpPr>
      </xdr:nvSpPr>
      <xdr:spPr bwMode="auto">
        <a:xfrm>
          <a:off x="3901109" y="332215435"/>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727" name="Text Box 14">
          <a:extLst>
            <a:ext uri="{FF2B5EF4-FFF2-40B4-BE49-F238E27FC236}">
              <a16:creationId xmlns:a16="http://schemas.microsoft.com/office/drawing/2014/main" id="{00000000-0008-0000-0100-0000D7020000}"/>
            </a:ext>
          </a:extLst>
        </xdr:cNvPr>
        <xdr:cNvSpPr txBox="1">
          <a:spLocks noChangeArrowheads="1"/>
        </xdr:cNvSpPr>
      </xdr:nvSpPr>
      <xdr:spPr bwMode="auto">
        <a:xfrm>
          <a:off x="3901109" y="332215435"/>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728" name="Text Box 5">
          <a:extLst>
            <a:ext uri="{FF2B5EF4-FFF2-40B4-BE49-F238E27FC236}">
              <a16:creationId xmlns:a16="http://schemas.microsoft.com/office/drawing/2014/main" id="{00000000-0008-0000-0100-0000D8020000}"/>
            </a:ext>
          </a:extLst>
        </xdr:cNvPr>
        <xdr:cNvSpPr txBox="1">
          <a:spLocks noChangeArrowheads="1"/>
        </xdr:cNvSpPr>
      </xdr:nvSpPr>
      <xdr:spPr bwMode="auto">
        <a:xfrm>
          <a:off x="3901109" y="332215435"/>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729" name="Text Box 6">
          <a:extLst>
            <a:ext uri="{FF2B5EF4-FFF2-40B4-BE49-F238E27FC236}">
              <a16:creationId xmlns:a16="http://schemas.microsoft.com/office/drawing/2014/main" id="{00000000-0008-0000-0100-0000D9020000}"/>
            </a:ext>
          </a:extLst>
        </xdr:cNvPr>
        <xdr:cNvSpPr txBox="1">
          <a:spLocks noChangeArrowheads="1"/>
        </xdr:cNvSpPr>
      </xdr:nvSpPr>
      <xdr:spPr bwMode="auto">
        <a:xfrm>
          <a:off x="3901109" y="332215435"/>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730" name="Text Box 7">
          <a:extLst>
            <a:ext uri="{FF2B5EF4-FFF2-40B4-BE49-F238E27FC236}">
              <a16:creationId xmlns:a16="http://schemas.microsoft.com/office/drawing/2014/main" id="{00000000-0008-0000-0100-0000DA020000}"/>
            </a:ext>
          </a:extLst>
        </xdr:cNvPr>
        <xdr:cNvSpPr txBox="1">
          <a:spLocks noChangeArrowheads="1"/>
        </xdr:cNvSpPr>
      </xdr:nvSpPr>
      <xdr:spPr bwMode="auto">
        <a:xfrm>
          <a:off x="3901109" y="332215435"/>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731" name="Text Box 8">
          <a:extLst>
            <a:ext uri="{FF2B5EF4-FFF2-40B4-BE49-F238E27FC236}">
              <a16:creationId xmlns:a16="http://schemas.microsoft.com/office/drawing/2014/main" id="{00000000-0008-0000-0100-0000DB020000}"/>
            </a:ext>
          </a:extLst>
        </xdr:cNvPr>
        <xdr:cNvSpPr txBox="1">
          <a:spLocks noChangeArrowheads="1"/>
        </xdr:cNvSpPr>
      </xdr:nvSpPr>
      <xdr:spPr bwMode="auto">
        <a:xfrm>
          <a:off x="3901109" y="332215435"/>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732" name="Text Box 9">
          <a:extLst>
            <a:ext uri="{FF2B5EF4-FFF2-40B4-BE49-F238E27FC236}">
              <a16:creationId xmlns:a16="http://schemas.microsoft.com/office/drawing/2014/main" id="{00000000-0008-0000-0100-0000DC020000}"/>
            </a:ext>
          </a:extLst>
        </xdr:cNvPr>
        <xdr:cNvSpPr txBox="1">
          <a:spLocks noChangeArrowheads="1"/>
        </xdr:cNvSpPr>
      </xdr:nvSpPr>
      <xdr:spPr bwMode="auto">
        <a:xfrm>
          <a:off x="3901109" y="332215435"/>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733" name="Text Box 10">
          <a:extLst>
            <a:ext uri="{FF2B5EF4-FFF2-40B4-BE49-F238E27FC236}">
              <a16:creationId xmlns:a16="http://schemas.microsoft.com/office/drawing/2014/main" id="{00000000-0008-0000-0100-0000DD020000}"/>
            </a:ext>
          </a:extLst>
        </xdr:cNvPr>
        <xdr:cNvSpPr txBox="1">
          <a:spLocks noChangeArrowheads="1"/>
        </xdr:cNvSpPr>
      </xdr:nvSpPr>
      <xdr:spPr bwMode="auto">
        <a:xfrm>
          <a:off x="3901109" y="332215435"/>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734" name="Text Box 11">
          <a:extLst>
            <a:ext uri="{FF2B5EF4-FFF2-40B4-BE49-F238E27FC236}">
              <a16:creationId xmlns:a16="http://schemas.microsoft.com/office/drawing/2014/main" id="{00000000-0008-0000-0100-0000DE020000}"/>
            </a:ext>
          </a:extLst>
        </xdr:cNvPr>
        <xdr:cNvSpPr txBox="1">
          <a:spLocks noChangeArrowheads="1"/>
        </xdr:cNvSpPr>
      </xdr:nvSpPr>
      <xdr:spPr bwMode="auto">
        <a:xfrm>
          <a:off x="3901109" y="332215435"/>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735" name="Text Box 12">
          <a:extLst>
            <a:ext uri="{FF2B5EF4-FFF2-40B4-BE49-F238E27FC236}">
              <a16:creationId xmlns:a16="http://schemas.microsoft.com/office/drawing/2014/main" id="{00000000-0008-0000-0100-0000DF020000}"/>
            </a:ext>
          </a:extLst>
        </xdr:cNvPr>
        <xdr:cNvSpPr txBox="1">
          <a:spLocks noChangeArrowheads="1"/>
        </xdr:cNvSpPr>
      </xdr:nvSpPr>
      <xdr:spPr bwMode="auto">
        <a:xfrm>
          <a:off x="3901109" y="332215435"/>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736" name="Text Box 1">
          <a:extLst>
            <a:ext uri="{FF2B5EF4-FFF2-40B4-BE49-F238E27FC236}">
              <a16:creationId xmlns:a16="http://schemas.microsoft.com/office/drawing/2014/main" id="{00000000-0008-0000-0100-0000E0020000}"/>
            </a:ext>
          </a:extLst>
        </xdr:cNvPr>
        <xdr:cNvSpPr txBox="1">
          <a:spLocks noChangeArrowheads="1"/>
        </xdr:cNvSpPr>
      </xdr:nvSpPr>
      <xdr:spPr bwMode="auto">
        <a:xfrm>
          <a:off x="4580283" y="3322154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737" name="Text Box 1">
          <a:extLst>
            <a:ext uri="{FF2B5EF4-FFF2-40B4-BE49-F238E27FC236}">
              <a16:creationId xmlns:a16="http://schemas.microsoft.com/office/drawing/2014/main" id="{00000000-0008-0000-0100-0000E1020000}"/>
            </a:ext>
          </a:extLst>
        </xdr:cNvPr>
        <xdr:cNvSpPr txBox="1">
          <a:spLocks noChangeArrowheads="1"/>
        </xdr:cNvSpPr>
      </xdr:nvSpPr>
      <xdr:spPr bwMode="auto">
        <a:xfrm>
          <a:off x="4580283" y="3322154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738" name="Text Box 1">
          <a:extLst>
            <a:ext uri="{FF2B5EF4-FFF2-40B4-BE49-F238E27FC236}">
              <a16:creationId xmlns:a16="http://schemas.microsoft.com/office/drawing/2014/main" id="{00000000-0008-0000-0100-0000E2020000}"/>
            </a:ext>
          </a:extLst>
        </xdr:cNvPr>
        <xdr:cNvSpPr txBox="1">
          <a:spLocks noChangeArrowheads="1"/>
        </xdr:cNvSpPr>
      </xdr:nvSpPr>
      <xdr:spPr bwMode="auto">
        <a:xfrm>
          <a:off x="4580283" y="3322154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739" name="Text Box 1">
          <a:extLst>
            <a:ext uri="{FF2B5EF4-FFF2-40B4-BE49-F238E27FC236}">
              <a16:creationId xmlns:a16="http://schemas.microsoft.com/office/drawing/2014/main" id="{00000000-0008-0000-0100-0000E3020000}"/>
            </a:ext>
          </a:extLst>
        </xdr:cNvPr>
        <xdr:cNvSpPr txBox="1">
          <a:spLocks noChangeArrowheads="1"/>
        </xdr:cNvSpPr>
      </xdr:nvSpPr>
      <xdr:spPr bwMode="auto">
        <a:xfrm>
          <a:off x="4580283" y="3322154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40" name="Text Box 5">
          <a:extLst>
            <a:ext uri="{FF2B5EF4-FFF2-40B4-BE49-F238E27FC236}">
              <a16:creationId xmlns:a16="http://schemas.microsoft.com/office/drawing/2014/main" id="{00000000-0008-0000-0100-0000E4020000}"/>
            </a:ext>
          </a:extLst>
        </xdr:cNvPr>
        <xdr:cNvSpPr txBox="1">
          <a:spLocks noChangeArrowheads="1"/>
        </xdr:cNvSpPr>
      </xdr:nvSpPr>
      <xdr:spPr bwMode="auto">
        <a:xfrm>
          <a:off x="3901109" y="3429496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741" name="Text Box 6">
          <a:extLst>
            <a:ext uri="{FF2B5EF4-FFF2-40B4-BE49-F238E27FC236}">
              <a16:creationId xmlns:a16="http://schemas.microsoft.com/office/drawing/2014/main" id="{00000000-0008-0000-0100-0000E5020000}"/>
            </a:ext>
          </a:extLst>
        </xdr:cNvPr>
        <xdr:cNvSpPr txBox="1">
          <a:spLocks noChangeArrowheads="1"/>
        </xdr:cNvSpPr>
      </xdr:nvSpPr>
      <xdr:spPr bwMode="auto">
        <a:xfrm>
          <a:off x="3901109" y="342949696"/>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42" name="Text Box 16">
          <a:extLst>
            <a:ext uri="{FF2B5EF4-FFF2-40B4-BE49-F238E27FC236}">
              <a16:creationId xmlns:a16="http://schemas.microsoft.com/office/drawing/2014/main" id="{00000000-0008-0000-0100-0000E6020000}"/>
            </a:ext>
          </a:extLst>
        </xdr:cNvPr>
        <xdr:cNvSpPr txBox="1">
          <a:spLocks noChangeArrowheads="1"/>
        </xdr:cNvSpPr>
      </xdr:nvSpPr>
      <xdr:spPr bwMode="auto">
        <a:xfrm>
          <a:off x="3901109" y="3429496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43" name="Text Box 17">
          <a:extLst>
            <a:ext uri="{FF2B5EF4-FFF2-40B4-BE49-F238E27FC236}">
              <a16:creationId xmlns:a16="http://schemas.microsoft.com/office/drawing/2014/main" id="{00000000-0008-0000-0100-0000E7020000}"/>
            </a:ext>
          </a:extLst>
        </xdr:cNvPr>
        <xdr:cNvSpPr txBox="1">
          <a:spLocks noChangeArrowheads="1"/>
        </xdr:cNvSpPr>
      </xdr:nvSpPr>
      <xdr:spPr bwMode="auto">
        <a:xfrm>
          <a:off x="3901109" y="3429496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44" name="Text Box 18">
          <a:extLst>
            <a:ext uri="{FF2B5EF4-FFF2-40B4-BE49-F238E27FC236}">
              <a16:creationId xmlns:a16="http://schemas.microsoft.com/office/drawing/2014/main" id="{00000000-0008-0000-0100-0000E8020000}"/>
            </a:ext>
          </a:extLst>
        </xdr:cNvPr>
        <xdr:cNvSpPr txBox="1">
          <a:spLocks noChangeArrowheads="1"/>
        </xdr:cNvSpPr>
      </xdr:nvSpPr>
      <xdr:spPr bwMode="auto">
        <a:xfrm>
          <a:off x="3901109" y="3429496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45" name="Text Box 19">
          <a:extLst>
            <a:ext uri="{FF2B5EF4-FFF2-40B4-BE49-F238E27FC236}">
              <a16:creationId xmlns:a16="http://schemas.microsoft.com/office/drawing/2014/main" id="{00000000-0008-0000-0100-0000E9020000}"/>
            </a:ext>
          </a:extLst>
        </xdr:cNvPr>
        <xdr:cNvSpPr txBox="1">
          <a:spLocks noChangeArrowheads="1"/>
        </xdr:cNvSpPr>
      </xdr:nvSpPr>
      <xdr:spPr bwMode="auto">
        <a:xfrm>
          <a:off x="3901109" y="3429496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46" name="Text Box 20">
          <a:extLst>
            <a:ext uri="{FF2B5EF4-FFF2-40B4-BE49-F238E27FC236}">
              <a16:creationId xmlns:a16="http://schemas.microsoft.com/office/drawing/2014/main" id="{00000000-0008-0000-0100-0000EA020000}"/>
            </a:ext>
          </a:extLst>
        </xdr:cNvPr>
        <xdr:cNvSpPr txBox="1">
          <a:spLocks noChangeArrowheads="1"/>
        </xdr:cNvSpPr>
      </xdr:nvSpPr>
      <xdr:spPr bwMode="auto">
        <a:xfrm>
          <a:off x="3901109" y="3429496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47" name="Text Box 21">
          <a:extLst>
            <a:ext uri="{FF2B5EF4-FFF2-40B4-BE49-F238E27FC236}">
              <a16:creationId xmlns:a16="http://schemas.microsoft.com/office/drawing/2014/main" id="{00000000-0008-0000-0100-0000EB020000}"/>
            </a:ext>
          </a:extLst>
        </xdr:cNvPr>
        <xdr:cNvSpPr txBox="1">
          <a:spLocks noChangeArrowheads="1"/>
        </xdr:cNvSpPr>
      </xdr:nvSpPr>
      <xdr:spPr bwMode="auto">
        <a:xfrm>
          <a:off x="3901109" y="3429496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748" name="Text Box 22">
          <a:extLst>
            <a:ext uri="{FF2B5EF4-FFF2-40B4-BE49-F238E27FC236}">
              <a16:creationId xmlns:a16="http://schemas.microsoft.com/office/drawing/2014/main" id="{00000000-0008-0000-0100-0000EC020000}"/>
            </a:ext>
          </a:extLst>
        </xdr:cNvPr>
        <xdr:cNvSpPr txBox="1">
          <a:spLocks noChangeArrowheads="1"/>
        </xdr:cNvSpPr>
      </xdr:nvSpPr>
      <xdr:spPr bwMode="auto">
        <a:xfrm>
          <a:off x="3901109" y="342949696"/>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749" name="Text Box 1">
          <a:extLst>
            <a:ext uri="{FF2B5EF4-FFF2-40B4-BE49-F238E27FC236}">
              <a16:creationId xmlns:a16="http://schemas.microsoft.com/office/drawing/2014/main" id="{00000000-0008-0000-0100-0000ED020000}"/>
            </a:ext>
          </a:extLst>
        </xdr:cNvPr>
        <xdr:cNvSpPr txBox="1">
          <a:spLocks noChangeArrowheads="1"/>
        </xdr:cNvSpPr>
      </xdr:nvSpPr>
      <xdr:spPr bwMode="auto">
        <a:xfrm>
          <a:off x="4580283" y="34294969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750" name="Text Box 1">
          <a:extLst>
            <a:ext uri="{FF2B5EF4-FFF2-40B4-BE49-F238E27FC236}">
              <a16:creationId xmlns:a16="http://schemas.microsoft.com/office/drawing/2014/main" id="{00000000-0008-0000-0100-0000EE020000}"/>
            </a:ext>
          </a:extLst>
        </xdr:cNvPr>
        <xdr:cNvSpPr txBox="1">
          <a:spLocks noChangeArrowheads="1"/>
        </xdr:cNvSpPr>
      </xdr:nvSpPr>
      <xdr:spPr bwMode="auto">
        <a:xfrm>
          <a:off x="4580283" y="34294969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751" name="Text Box 1">
          <a:extLst>
            <a:ext uri="{FF2B5EF4-FFF2-40B4-BE49-F238E27FC236}">
              <a16:creationId xmlns:a16="http://schemas.microsoft.com/office/drawing/2014/main" id="{00000000-0008-0000-0100-0000EF020000}"/>
            </a:ext>
          </a:extLst>
        </xdr:cNvPr>
        <xdr:cNvSpPr txBox="1">
          <a:spLocks noChangeArrowheads="1"/>
        </xdr:cNvSpPr>
      </xdr:nvSpPr>
      <xdr:spPr bwMode="auto">
        <a:xfrm>
          <a:off x="4580283" y="34294969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752" name="Text Box 1">
          <a:extLst>
            <a:ext uri="{FF2B5EF4-FFF2-40B4-BE49-F238E27FC236}">
              <a16:creationId xmlns:a16="http://schemas.microsoft.com/office/drawing/2014/main" id="{00000000-0008-0000-0100-0000F0020000}"/>
            </a:ext>
          </a:extLst>
        </xdr:cNvPr>
        <xdr:cNvSpPr txBox="1">
          <a:spLocks noChangeArrowheads="1"/>
        </xdr:cNvSpPr>
      </xdr:nvSpPr>
      <xdr:spPr bwMode="auto">
        <a:xfrm>
          <a:off x="4580283" y="34294969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53" name="Text Box 5">
          <a:extLst>
            <a:ext uri="{FF2B5EF4-FFF2-40B4-BE49-F238E27FC236}">
              <a16:creationId xmlns:a16="http://schemas.microsoft.com/office/drawing/2014/main" id="{00000000-0008-0000-0100-0000F1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54" name="Text Box 6">
          <a:extLst>
            <a:ext uri="{FF2B5EF4-FFF2-40B4-BE49-F238E27FC236}">
              <a16:creationId xmlns:a16="http://schemas.microsoft.com/office/drawing/2014/main" id="{00000000-0008-0000-0100-0000F2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55" name="Text Box 7">
          <a:extLst>
            <a:ext uri="{FF2B5EF4-FFF2-40B4-BE49-F238E27FC236}">
              <a16:creationId xmlns:a16="http://schemas.microsoft.com/office/drawing/2014/main" id="{00000000-0008-0000-0100-0000F3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56" name="Text Box 8">
          <a:extLst>
            <a:ext uri="{FF2B5EF4-FFF2-40B4-BE49-F238E27FC236}">
              <a16:creationId xmlns:a16="http://schemas.microsoft.com/office/drawing/2014/main" id="{00000000-0008-0000-0100-0000F4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57" name="Text Box 9">
          <a:extLst>
            <a:ext uri="{FF2B5EF4-FFF2-40B4-BE49-F238E27FC236}">
              <a16:creationId xmlns:a16="http://schemas.microsoft.com/office/drawing/2014/main" id="{00000000-0008-0000-0100-0000F5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58" name="Text Box 10">
          <a:extLst>
            <a:ext uri="{FF2B5EF4-FFF2-40B4-BE49-F238E27FC236}">
              <a16:creationId xmlns:a16="http://schemas.microsoft.com/office/drawing/2014/main" id="{00000000-0008-0000-0100-0000F6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59" name="Text Box 11">
          <a:extLst>
            <a:ext uri="{FF2B5EF4-FFF2-40B4-BE49-F238E27FC236}">
              <a16:creationId xmlns:a16="http://schemas.microsoft.com/office/drawing/2014/main" id="{00000000-0008-0000-0100-0000F7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0" name="Text Box 12">
          <a:extLst>
            <a:ext uri="{FF2B5EF4-FFF2-40B4-BE49-F238E27FC236}">
              <a16:creationId xmlns:a16="http://schemas.microsoft.com/office/drawing/2014/main" id="{00000000-0008-0000-0100-0000F8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1" name="Text Box 13">
          <a:extLst>
            <a:ext uri="{FF2B5EF4-FFF2-40B4-BE49-F238E27FC236}">
              <a16:creationId xmlns:a16="http://schemas.microsoft.com/office/drawing/2014/main" id="{00000000-0008-0000-0100-0000F9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762" name="Text Box 14">
          <a:extLst>
            <a:ext uri="{FF2B5EF4-FFF2-40B4-BE49-F238E27FC236}">
              <a16:creationId xmlns:a16="http://schemas.microsoft.com/office/drawing/2014/main" id="{00000000-0008-0000-0100-0000FA020000}"/>
            </a:ext>
          </a:extLst>
        </xdr:cNvPr>
        <xdr:cNvSpPr txBox="1">
          <a:spLocks noChangeArrowheads="1"/>
        </xdr:cNvSpPr>
      </xdr:nvSpPr>
      <xdr:spPr bwMode="auto">
        <a:xfrm>
          <a:off x="3901109" y="353683957"/>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3" name="Text Box 15">
          <a:extLst>
            <a:ext uri="{FF2B5EF4-FFF2-40B4-BE49-F238E27FC236}">
              <a16:creationId xmlns:a16="http://schemas.microsoft.com/office/drawing/2014/main" id="{00000000-0008-0000-0100-0000FB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4" name="Text Box 16">
          <a:extLst>
            <a:ext uri="{FF2B5EF4-FFF2-40B4-BE49-F238E27FC236}">
              <a16:creationId xmlns:a16="http://schemas.microsoft.com/office/drawing/2014/main" id="{00000000-0008-0000-0100-0000FC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5" name="Text Box 17">
          <a:extLst>
            <a:ext uri="{FF2B5EF4-FFF2-40B4-BE49-F238E27FC236}">
              <a16:creationId xmlns:a16="http://schemas.microsoft.com/office/drawing/2014/main" id="{00000000-0008-0000-0100-0000FD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6" name="Text Box 18">
          <a:extLst>
            <a:ext uri="{FF2B5EF4-FFF2-40B4-BE49-F238E27FC236}">
              <a16:creationId xmlns:a16="http://schemas.microsoft.com/office/drawing/2014/main" id="{00000000-0008-0000-0100-0000FE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7" name="Text Box 19">
          <a:extLst>
            <a:ext uri="{FF2B5EF4-FFF2-40B4-BE49-F238E27FC236}">
              <a16:creationId xmlns:a16="http://schemas.microsoft.com/office/drawing/2014/main" id="{00000000-0008-0000-0100-0000FF02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8" name="Text Box 20">
          <a:extLst>
            <a:ext uri="{FF2B5EF4-FFF2-40B4-BE49-F238E27FC236}">
              <a16:creationId xmlns:a16="http://schemas.microsoft.com/office/drawing/2014/main" id="{00000000-0008-0000-0100-000000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69" name="Text Box 21">
          <a:extLst>
            <a:ext uri="{FF2B5EF4-FFF2-40B4-BE49-F238E27FC236}">
              <a16:creationId xmlns:a16="http://schemas.microsoft.com/office/drawing/2014/main" id="{00000000-0008-0000-0100-000001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0" name="Text Box 22">
          <a:extLst>
            <a:ext uri="{FF2B5EF4-FFF2-40B4-BE49-F238E27FC236}">
              <a16:creationId xmlns:a16="http://schemas.microsoft.com/office/drawing/2014/main" id="{00000000-0008-0000-0100-000002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1" name="Text Box 7">
          <a:extLst>
            <a:ext uri="{FF2B5EF4-FFF2-40B4-BE49-F238E27FC236}">
              <a16:creationId xmlns:a16="http://schemas.microsoft.com/office/drawing/2014/main" id="{00000000-0008-0000-0100-000003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2" name="Text Box 8">
          <a:extLst>
            <a:ext uri="{FF2B5EF4-FFF2-40B4-BE49-F238E27FC236}">
              <a16:creationId xmlns:a16="http://schemas.microsoft.com/office/drawing/2014/main" id="{00000000-0008-0000-0100-000004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3" name="Text Box 9">
          <a:extLst>
            <a:ext uri="{FF2B5EF4-FFF2-40B4-BE49-F238E27FC236}">
              <a16:creationId xmlns:a16="http://schemas.microsoft.com/office/drawing/2014/main" id="{00000000-0008-0000-0100-000005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4" name="Text Box 10">
          <a:extLst>
            <a:ext uri="{FF2B5EF4-FFF2-40B4-BE49-F238E27FC236}">
              <a16:creationId xmlns:a16="http://schemas.microsoft.com/office/drawing/2014/main" id="{00000000-0008-0000-0100-000006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5" name="Text Box 11">
          <a:extLst>
            <a:ext uri="{FF2B5EF4-FFF2-40B4-BE49-F238E27FC236}">
              <a16:creationId xmlns:a16="http://schemas.microsoft.com/office/drawing/2014/main" id="{00000000-0008-0000-0100-000007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6" name="Text Box 12">
          <a:extLst>
            <a:ext uri="{FF2B5EF4-FFF2-40B4-BE49-F238E27FC236}">
              <a16:creationId xmlns:a16="http://schemas.microsoft.com/office/drawing/2014/main" id="{00000000-0008-0000-0100-000008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7" name="Text Box 13">
          <a:extLst>
            <a:ext uri="{FF2B5EF4-FFF2-40B4-BE49-F238E27FC236}">
              <a16:creationId xmlns:a16="http://schemas.microsoft.com/office/drawing/2014/main" id="{00000000-0008-0000-0100-000009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778" name="Text Box 14">
          <a:extLst>
            <a:ext uri="{FF2B5EF4-FFF2-40B4-BE49-F238E27FC236}">
              <a16:creationId xmlns:a16="http://schemas.microsoft.com/office/drawing/2014/main" id="{00000000-0008-0000-0100-00000A030000}"/>
            </a:ext>
          </a:extLst>
        </xdr:cNvPr>
        <xdr:cNvSpPr txBox="1">
          <a:spLocks noChangeArrowheads="1"/>
        </xdr:cNvSpPr>
      </xdr:nvSpPr>
      <xdr:spPr bwMode="auto">
        <a:xfrm>
          <a:off x="3901109" y="353683957"/>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779" name="Text Box 15">
          <a:extLst>
            <a:ext uri="{FF2B5EF4-FFF2-40B4-BE49-F238E27FC236}">
              <a16:creationId xmlns:a16="http://schemas.microsoft.com/office/drawing/2014/main" id="{00000000-0008-0000-0100-00000B030000}"/>
            </a:ext>
          </a:extLst>
        </xdr:cNvPr>
        <xdr:cNvSpPr txBox="1">
          <a:spLocks noChangeArrowheads="1"/>
        </xdr:cNvSpPr>
      </xdr:nvSpPr>
      <xdr:spPr bwMode="auto">
        <a:xfrm>
          <a:off x="3901109" y="3536839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80" name="Text Box 5">
          <a:extLst>
            <a:ext uri="{FF2B5EF4-FFF2-40B4-BE49-F238E27FC236}">
              <a16:creationId xmlns:a16="http://schemas.microsoft.com/office/drawing/2014/main" id="{00000000-0008-0000-0100-00000C030000}"/>
            </a:ext>
          </a:extLst>
        </xdr:cNvPr>
        <xdr:cNvSpPr txBox="1">
          <a:spLocks noChangeArrowheads="1"/>
        </xdr:cNvSpPr>
      </xdr:nvSpPr>
      <xdr:spPr bwMode="auto">
        <a:xfrm>
          <a:off x="3901109" y="3536839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781" name="Text Box 6">
          <a:extLst>
            <a:ext uri="{FF2B5EF4-FFF2-40B4-BE49-F238E27FC236}">
              <a16:creationId xmlns:a16="http://schemas.microsoft.com/office/drawing/2014/main" id="{00000000-0008-0000-0100-00000D030000}"/>
            </a:ext>
          </a:extLst>
        </xdr:cNvPr>
        <xdr:cNvSpPr txBox="1">
          <a:spLocks noChangeArrowheads="1"/>
        </xdr:cNvSpPr>
      </xdr:nvSpPr>
      <xdr:spPr bwMode="auto">
        <a:xfrm>
          <a:off x="3901109" y="35368395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82" name="Text Box 7">
          <a:extLst>
            <a:ext uri="{FF2B5EF4-FFF2-40B4-BE49-F238E27FC236}">
              <a16:creationId xmlns:a16="http://schemas.microsoft.com/office/drawing/2014/main" id="{00000000-0008-0000-0100-00000E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83" name="Text Box 8">
          <a:extLst>
            <a:ext uri="{FF2B5EF4-FFF2-40B4-BE49-F238E27FC236}">
              <a16:creationId xmlns:a16="http://schemas.microsoft.com/office/drawing/2014/main" id="{00000000-0008-0000-0100-00000F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84" name="Text Box 9">
          <a:extLst>
            <a:ext uri="{FF2B5EF4-FFF2-40B4-BE49-F238E27FC236}">
              <a16:creationId xmlns:a16="http://schemas.microsoft.com/office/drawing/2014/main" id="{00000000-0008-0000-0100-000010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85" name="Text Box 10">
          <a:extLst>
            <a:ext uri="{FF2B5EF4-FFF2-40B4-BE49-F238E27FC236}">
              <a16:creationId xmlns:a16="http://schemas.microsoft.com/office/drawing/2014/main" id="{00000000-0008-0000-0100-000011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86" name="Text Box 11">
          <a:extLst>
            <a:ext uri="{FF2B5EF4-FFF2-40B4-BE49-F238E27FC236}">
              <a16:creationId xmlns:a16="http://schemas.microsoft.com/office/drawing/2014/main" id="{00000000-0008-0000-0100-000012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87" name="Text Box 12">
          <a:extLst>
            <a:ext uri="{FF2B5EF4-FFF2-40B4-BE49-F238E27FC236}">
              <a16:creationId xmlns:a16="http://schemas.microsoft.com/office/drawing/2014/main" id="{00000000-0008-0000-0100-000013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88" name="Text Box 13">
          <a:extLst>
            <a:ext uri="{FF2B5EF4-FFF2-40B4-BE49-F238E27FC236}">
              <a16:creationId xmlns:a16="http://schemas.microsoft.com/office/drawing/2014/main" id="{00000000-0008-0000-0100-000014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789" name="Text Box 14">
          <a:extLst>
            <a:ext uri="{FF2B5EF4-FFF2-40B4-BE49-F238E27FC236}">
              <a16:creationId xmlns:a16="http://schemas.microsoft.com/office/drawing/2014/main" id="{00000000-0008-0000-0100-000015030000}"/>
            </a:ext>
          </a:extLst>
        </xdr:cNvPr>
        <xdr:cNvSpPr txBox="1">
          <a:spLocks noChangeArrowheads="1"/>
        </xdr:cNvSpPr>
      </xdr:nvSpPr>
      <xdr:spPr bwMode="auto">
        <a:xfrm>
          <a:off x="3901109" y="353683957"/>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90" name="Text Box 15">
          <a:extLst>
            <a:ext uri="{FF2B5EF4-FFF2-40B4-BE49-F238E27FC236}">
              <a16:creationId xmlns:a16="http://schemas.microsoft.com/office/drawing/2014/main" id="{00000000-0008-0000-0100-000016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91" name="Text Box 16">
          <a:extLst>
            <a:ext uri="{FF2B5EF4-FFF2-40B4-BE49-F238E27FC236}">
              <a16:creationId xmlns:a16="http://schemas.microsoft.com/office/drawing/2014/main" id="{00000000-0008-0000-0100-000017030000}"/>
            </a:ext>
          </a:extLst>
        </xdr:cNvPr>
        <xdr:cNvSpPr txBox="1">
          <a:spLocks noChangeArrowheads="1"/>
        </xdr:cNvSpPr>
      </xdr:nvSpPr>
      <xdr:spPr bwMode="auto">
        <a:xfrm>
          <a:off x="3901109" y="3536839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92" name="Text Box 17">
          <a:extLst>
            <a:ext uri="{FF2B5EF4-FFF2-40B4-BE49-F238E27FC236}">
              <a16:creationId xmlns:a16="http://schemas.microsoft.com/office/drawing/2014/main" id="{00000000-0008-0000-0100-000018030000}"/>
            </a:ext>
          </a:extLst>
        </xdr:cNvPr>
        <xdr:cNvSpPr txBox="1">
          <a:spLocks noChangeArrowheads="1"/>
        </xdr:cNvSpPr>
      </xdr:nvSpPr>
      <xdr:spPr bwMode="auto">
        <a:xfrm>
          <a:off x="3901109" y="3536839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93" name="Text Box 18">
          <a:extLst>
            <a:ext uri="{FF2B5EF4-FFF2-40B4-BE49-F238E27FC236}">
              <a16:creationId xmlns:a16="http://schemas.microsoft.com/office/drawing/2014/main" id="{00000000-0008-0000-0100-000019030000}"/>
            </a:ext>
          </a:extLst>
        </xdr:cNvPr>
        <xdr:cNvSpPr txBox="1">
          <a:spLocks noChangeArrowheads="1"/>
        </xdr:cNvSpPr>
      </xdr:nvSpPr>
      <xdr:spPr bwMode="auto">
        <a:xfrm>
          <a:off x="3901109" y="3536839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94" name="Text Box 19">
          <a:extLst>
            <a:ext uri="{FF2B5EF4-FFF2-40B4-BE49-F238E27FC236}">
              <a16:creationId xmlns:a16="http://schemas.microsoft.com/office/drawing/2014/main" id="{00000000-0008-0000-0100-00001A030000}"/>
            </a:ext>
          </a:extLst>
        </xdr:cNvPr>
        <xdr:cNvSpPr txBox="1">
          <a:spLocks noChangeArrowheads="1"/>
        </xdr:cNvSpPr>
      </xdr:nvSpPr>
      <xdr:spPr bwMode="auto">
        <a:xfrm>
          <a:off x="3901109" y="3536839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95" name="Text Box 20">
          <a:extLst>
            <a:ext uri="{FF2B5EF4-FFF2-40B4-BE49-F238E27FC236}">
              <a16:creationId xmlns:a16="http://schemas.microsoft.com/office/drawing/2014/main" id="{00000000-0008-0000-0100-00001B030000}"/>
            </a:ext>
          </a:extLst>
        </xdr:cNvPr>
        <xdr:cNvSpPr txBox="1">
          <a:spLocks noChangeArrowheads="1"/>
        </xdr:cNvSpPr>
      </xdr:nvSpPr>
      <xdr:spPr bwMode="auto">
        <a:xfrm>
          <a:off x="3901109" y="3536839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796" name="Text Box 21">
          <a:extLst>
            <a:ext uri="{FF2B5EF4-FFF2-40B4-BE49-F238E27FC236}">
              <a16:creationId xmlns:a16="http://schemas.microsoft.com/office/drawing/2014/main" id="{00000000-0008-0000-0100-00001C030000}"/>
            </a:ext>
          </a:extLst>
        </xdr:cNvPr>
        <xdr:cNvSpPr txBox="1">
          <a:spLocks noChangeArrowheads="1"/>
        </xdr:cNvSpPr>
      </xdr:nvSpPr>
      <xdr:spPr bwMode="auto">
        <a:xfrm>
          <a:off x="3901109" y="3536839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797" name="Text Box 22">
          <a:extLst>
            <a:ext uri="{FF2B5EF4-FFF2-40B4-BE49-F238E27FC236}">
              <a16:creationId xmlns:a16="http://schemas.microsoft.com/office/drawing/2014/main" id="{00000000-0008-0000-0100-00001D030000}"/>
            </a:ext>
          </a:extLst>
        </xdr:cNvPr>
        <xdr:cNvSpPr txBox="1">
          <a:spLocks noChangeArrowheads="1"/>
        </xdr:cNvSpPr>
      </xdr:nvSpPr>
      <xdr:spPr bwMode="auto">
        <a:xfrm>
          <a:off x="3901109" y="35368395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98" name="Text Box 7">
          <a:extLst>
            <a:ext uri="{FF2B5EF4-FFF2-40B4-BE49-F238E27FC236}">
              <a16:creationId xmlns:a16="http://schemas.microsoft.com/office/drawing/2014/main" id="{00000000-0008-0000-0100-00001E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799" name="Text Box 8">
          <a:extLst>
            <a:ext uri="{FF2B5EF4-FFF2-40B4-BE49-F238E27FC236}">
              <a16:creationId xmlns:a16="http://schemas.microsoft.com/office/drawing/2014/main" id="{00000000-0008-0000-0100-00001F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00" name="Text Box 9">
          <a:extLst>
            <a:ext uri="{FF2B5EF4-FFF2-40B4-BE49-F238E27FC236}">
              <a16:creationId xmlns:a16="http://schemas.microsoft.com/office/drawing/2014/main" id="{00000000-0008-0000-0100-000020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01" name="Text Box 10">
          <a:extLst>
            <a:ext uri="{FF2B5EF4-FFF2-40B4-BE49-F238E27FC236}">
              <a16:creationId xmlns:a16="http://schemas.microsoft.com/office/drawing/2014/main" id="{00000000-0008-0000-0100-000021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02" name="Text Box 11">
          <a:extLst>
            <a:ext uri="{FF2B5EF4-FFF2-40B4-BE49-F238E27FC236}">
              <a16:creationId xmlns:a16="http://schemas.microsoft.com/office/drawing/2014/main" id="{00000000-0008-0000-0100-000022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03" name="Text Box 12">
          <a:extLst>
            <a:ext uri="{FF2B5EF4-FFF2-40B4-BE49-F238E27FC236}">
              <a16:creationId xmlns:a16="http://schemas.microsoft.com/office/drawing/2014/main" id="{00000000-0008-0000-0100-000023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04" name="Text Box 13">
          <a:extLst>
            <a:ext uri="{FF2B5EF4-FFF2-40B4-BE49-F238E27FC236}">
              <a16:creationId xmlns:a16="http://schemas.microsoft.com/office/drawing/2014/main" id="{00000000-0008-0000-0100-000024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805" name="Text Box 14">
          <a:extLst>
            <a:ext uri="{FF2B5EF4-FFF2-40B4-BE49-F238E27FC236}">
              <a16:creationId xmlns:a16="http://schemas.microsoft.com/office/drawing/2014/main" id="{00000000-0008-0000-0100-000025030000}"/>
            </a:ext>
          </a:extLst>
        </xdr:cNvPr>
        <xdr:cNvSpPr txBox="1">
          <a:spLocks noChangeArrowheads="1"/>
        </xdr:cNvSpPr>
      </xdr:nvSpPr>
      <xdr:spPr bwMode="auto">
        <a:xfrm>
          <a:off x="3901109" y="353683957"/>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06" name="Text Box 15">
          <a:extLst>
            <a:ext uri="{FF2B5EF4-FFF2-40B4-BE49-F238E27FC236}">
              <a16:creationId xmlns:a16="http://schemas.microsoft.com/office/drawing/2014/main" id="{00000000-0008-0000-0100-000026030000}"/>
            </a:ext>
          </a:extLst>
        </xdr:cNvPr>
        <xdr:cNvSpPr txBox="1">
          <a:spLocks noChangeArrowheads="1"/>
        </xdr:cNvSpPr>
      </xdr:nvSpPr>
      <xdr:spPr bwMode="auto">
        <a:xfrm>
          <a:off x="3901109" y="3536839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07" name="Text Box 5">
          <a:extLst>
            <a:ext uri="{FF2B5EF4-FFF2-40B4-BE49-F238E27FC236}">
              <a16:creationId xmlns:a16="http://schemas.microsoft.com/office/drawing/2014/main" id="{00000000-0008-0000-0100-000027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808" name="Text Box 6">
          <a:extLst>
            <a:ext uri="{FF2B5EF4-FFF2-40B4-BE49-F238E27FC236}">
              <a16:creationId xmlns:a16="http://schemas.microsoft.com/office/drawing/2014/main" id="{00000000-0008-0000-0100-000028030000}"/>
            </a:ext>
          </a:extLst>
        </xdr:cNvPr>
        <xdr:cNvSpPr txBox="1">
          <a:spLocks noChangeArrowheads="1"/>
        </xdr:cNvSpPr>
      </xdr:nvSpPr>
      <xdr:spPr bwMode="auto">
        <a:xfrm>
          <a:off x="3901109" y="353683957"/>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09" name="Text Box 7">
          <a:extLst>
            <a:ext uri="{FF2B5EF4-FFF2-40B4-BE49-F238E27FC236}">
              <a16:creationId xmlns:a16="http://schemas.microsoft.com/office/drawing/2014/main" id="{00000000-0008-0000-0100-000029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0" name="Text Box 8">
          <a:extLst>
            <a:ext uri="{FF2B5EF4-FFF2-40B4-BE49-F238E27FC236}">
              <a16:creationId xmlns:a16="http://schemas.microsoft.com/office/drawing/2014/main" id="{00000000-0008-0000-0100-00002A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1" name="Text Box 9">
          <a:extLst>
            <a:ext uri="{FF2B5EF4-FFF2-40B4-BE49-F238E27FC236}">
              <a16:creationId xmlns:a16="http://schemas.microsoft.com/office/drawing/2014/main" id="{00000000-0008-0000-0100-00002B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2" name="Text Box 10">
          <a:extLst>
            <a:ext uri="{FF2B5EF4-FFF2-40B4-BE49-F238E27FC236}">
              <a16:creationId xmlns:a16="http://schemas.microsoft.com/office/drawing/2014/main" id="{00000000-0008-0000-0100-00002C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3" name="Text Box 11">
          <a:extLst>
            <a:ext uri="{FF2B5EF4-FFF2-40B4-BE49-F238E27FC236}">
              <a16:creationId xmlns:a16="http://schemas.microsoft.com/office/drawing/2014/main" id="{00000000-0008-0000-0100-00002D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4" name="Text Box 12">
          <a:extLst>
            <a:ext uri="{FF2B5EF4-FFF2-40B4-BE49-F238E27FC236}">
              <a16:creationId xmlns:a16="http://schemas.microsoft.com/office/drawing/2014/main" id="{00000000-0008-0000-0100-00002E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5" name="Text Box 13">
          <a:extLst>
            <a:ext uri="{FF2B5EF4-FFF2-40B4-BE49-F238E27FC236}">
              <a16:creationId xmlns:a16="http://schemas.microsoft.com/office/drawing/2014/main" id="{00000000-0008-0000-0100-00002F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816" name="Text Box 14">
          <a:extLst>
            <a:ext uri="{FF2B5EF4-FFF2-40B4-BE49-F238E27FC236}">
              <a16:creationId xmlns:a16="http://schemas.microsoft.com/office/drawing/2014/main" id="{00000000-0008-0000-0100-000030030000}"/>
            </a:ext>
          </a:extLst>
        </xdr:cNvPr>
        <xdr:cNvSpPr txBox="1">
          <a:spLocks noChangeArrowheads="1"/>
        </xdr:cNvSpPr>
      </xdr:nvSpPr>
      <xdr:spPr bwMode="auto">
        <a:xfrm>
          <a:off x="3901109" y="353683957"/>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7" name="Text Box 15">
          <a:extLst>
            <a:ext uri="{FF2B5EF4-FFF2-40B4-BE49-F238E27FC236}">
              <a16:creationId xmlns:a16="http://schemas.microsoft.com/office/drawing/2014/main" id="{00000000-0008-0000-0100-000031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8" name="Text Box 16">
          <a:extLst>
            <a:ext uri="{FF2B5EF4-FFF2-40B4-BE49-F238E27FC236}">
              <a16:creationId xmlns:a16="http://schemas.microsoft.com/office/drawing/2014/main" id="{00000000-0008-0000-0100-000032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19" name="Text Box 17">
          <a:extLst>
            <a:ext uri="{FF2B5EF4-FFF2-40B4-BE49-F238E27FC236}">
              <a16:creationId xmlns:a16="http://schemas.microsoft.com/office/drawing/2014/main" id="{00000000-0008-0000-0100-000033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0" name="Text Box 18">
          <a:extLst>
            <a:ext uri="{FF2B5EF4-FFF2-40B4-BE49-F238E27FC236}">
              <a16:creationId xmlns:a16="http://schemas.microsoft.com/office/drawing/2014/main" id="{00000000-0008-0000-0100-000034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1" name="Text Box 19">
          <a:extLst>
            <a:ext uri="{FF2B5EF4-FFF2-40B4-BE49-F238E27FC236}">
              <a16:creationId xmlns:a16="http://schemas.microsoft.com/office/drawing/2014/main" id="{00000000-0008-0000-0100-000035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2" name="Text Box 20">
          <a:extLst>
            <a:ext uri="{FF2B5EF4-FFF2-40B4-BE49-F238E27FC236}">
              <a16:creationId xmlns:a16="http://schemas.microsoft.com/office/drawing/2014/main" id="{00000000-0008-0000-0100-000036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3" name="Text Box 21">
          <a:extLst>
            <a:ext uri="{FF2B5EF4-FFF2-40B4-BE49-F238E27FC236}">
              <a16:creationId xmlns:a16="http://schemas.microsoft.com/office/drawing/2014/main" id="{00000000-0008-0000-0100-000037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824" name="Text Box 22">
          <a:extLst>
            <a:ext uri="{FF2B5EF4-FFF2-40B4-BE49-F238E27FC236}">
              <a16:creationId xmlns:a16="http://schemas.microsoft.com/office/drawing/2014/main" id="{00000000-0008-0000-0100-000038030000}"/>
            </a:ext>
          </a:extLst>
        </xdr:cNvPr>
        <xdr:cNvSpPr txBox="1">
          <a:spLocks noChangeArrowheads="1"/>
        </xdr:cNvSpPr>
      </xdr:nvSpPr>
      <xdr:spPr bwMode="auto">
        <a:xfrm>
          <a:off x="3901109" y="353683957"/>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5" name="Text Box 7">
          <a:extLst>
            <a:ext uri="{FF2B5EF4-FFF2-40B4-BE49-F238E27FC236}">
              <a16:creationId xmlns:a16="http://schemas.microsoft.com/office/drawing/2014/main" id="{00000000-0008-0000-0100-000039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6" name="Text Box 8">
          <a:extLst>
            <a:ext uri="{FF2B5EF4-FFF2-40B4-BE49-F238E27FC236}">
              <a16:creationId xmlns:a16="http://schemas.microsoft.com/office/drawing/2014/main" id="{00000000-0008-0000-0100-00003A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7" name="Text Box 9">
          <a:extLst>
            <a:ext uri="{FF2B5EF4-FFF2-40B4-BE49-F238E27FC236}">
              <a16:creationId xmlns:a16="http://schemas.microsoft.com/office/drawing/2014/main" id="{00000000-0008-0000-0100-00003B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8" name="Text Box 10">
          <a:extLst>
            <a:ext uri="{FF2B5EF4-FFF2-40B4-BE49-F238E27FC236}">
              <a16:creationId xmlns:a16="http://schemas.microsoft.com/office/drawing/2014/main" id="{00000000-0008-0000-0100-00003C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29" name="Text Box 11">
          <a:extLst>
            <a:ext uri="{FF2B5EF4-FFF2-40B4-BE49-F238E27FC236}">
              <a16:creationId xmlns:a16="http://schemas.microsoft.com/office/drawing/2014/main" id="{00000000-0008-0000-0100-00003D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30" name="Text Box 12">
          <a:extLst>
            <a:ext uri="{FF2B5EF4-FFF2-40B4-BE49-F238E27FC236}">
              <a16:creationId xmlns:a16="http://schemas.microsoft.com/office/drawing/2014/main" id="{00000000-0008-0000-0100-00003E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831" name="Text Box 13">
          <a:extLst>
            <a:ext uri="{FF2B5EF4-FFF2-40B4-BE49-F238E27FC236}">
              <a16:creationId xmlns:a16="http://schemas.microsoft.com/office/drawing/2014/main" id="{00000000-0008-0000-0100-00003F030000}"/>
            </a:ext>
          </a:extLst>
        </xdr:cNvPr>
        <xdr:cNvSpPr txBox="1">
          <a:spLocks noChangeArrowheads="1"/>
        </xdr:cNvSpPr>
      </xdr:nvSpPr>
      <xdr:spPr bwMode="auto">
        <a:xfrm>
          <a:off x="3901109" y="3536839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832" name="Text Box 14">
          <a:extLst>
            <a:ext uri="{FF2B5EF4-FFF2-40B4-BE49-F238E27FC236}">
              <a16:creationId xmlns:a16="http://schemas.microsoft.com/office/drawing/2014/main" id="{00000000-0008-0000-0100-000040030000}"/>
            </a:ext>
          </a:extLst>
        </xdr:cNvPr>
        <xdr:cNvSpPr txBox="1">
          <a:spLocks noChangeArrowheads="1"/>
        </xdr:cNvSpPr>
      </xdr:nvSpPr>
      <xdr:spPr bwMode="auto">
        <a:xfrm>
          <a:off x="3901109" y="353683957"/>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833" name="Text Box 5">
          <a:extLst>
            <a:ext uri="{FF2B5EF4-FFF2-40B4-BE49-F238E27FC236}">
              <a16:creationId xmlns:a16="http://schemas.microsoft.com/office/drawing/2014/main" id="{00000000-0008-0000-0100-000041030000}"/>
            </a:ext>
          </a:extLst>
        </xdr:cNvPr>
        <xdr:cNvSpPr txBox="1">
          <a:spLocks noChangeArrowheads="1"/>
        </xdr:cNvSpPr>
      </xdr:nvSpPr>
      <xdr:spPr bwMode="auto">
        <a:xfrm>
          <a:off x="3901109" y="3536839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834" name="Text Box 6">
          <a:extLst>
            <a:ext uri="{FF2B5EF4-FFF2-40B4-BE49-F238E27FC236}">
              <a16:creationId xmlns:a16="http://schemas.microsoft.com/office/drawing/2014/main" id="{00000000-0008-0000-0100-000042030000}"/>
            </a:ext>
          </a:extLst>
        </xdr:cNvPr>
        <xdr:cNvSpPr txBox="1">
          <a:spLocks noChangeArrowheads="1"/>
        </xdr:cNvSpPr>
      </xdr:nvSpPr>
      <xdr:spPr bwMode="auto">
        <a:xfrm>
          <a:off x="3901109" y="3536839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835" name="Text Box 7">
          <a:extLst>
            <a:ext uri="{FF2B5EF4-FFF2-40B4-BE49-F238E27FC236}">
              <a16:creationId xmlns:a16="http://schemas.microsoft.com/office/drawing/2014/main" id="{00000000-0008-0000-0100-000043030000}"/>
            </a:ext>
          </a:extLst>
        </xdr:cNvPr>
        <xdr:cNvSpPr txBox="1">
          <a:spLocks noChangeArrowheads="1"/>
        </xdr:cNvSpPr>
      </xdr:nvSpPr>
      <xdr:spPr bwMode="auto">
        <a:xfrm>
          <a:off x="3901109" y="3536839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836" name="Text Box 8">
          <a:extLst>
            <a:ext uri="{FF2B5EF4-FFF2-40B4-BE49-F238E27FC236}">
              <a16:creationId xmlns:a16="http://schemas.microsoft.com/office/drawing/2014/main" id="{00000000-0008-0000-0100-000044030000}"/>
            </a:ext>
          </a:extLst>
        </xdr:cNvPr>
        <xdr:cNvSpPr txBox="1">
          <a:spLocks noChangeArrowheads="1"/>
        </xdr:cNvSpPr>
      </xdr:nvSpPr>
      <xdr:spPr bwMode="auto">
        <a:xfrm>
          <a:off x="3901109" y="3536839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837" name="Text Box 9">
          <a:extLst>
            <a:ext uri="{FF2B5EF4-FFF2-40B4-BE49-F238E27FC236}">
              <a16:creationId xmlns:a16="http://schemas.microsoft.com/office/drawing/2014/main" id="{00000000-0008-0000-0100-000045030000}"/>
            </a:ext>
          </a:extLst>
        </xdr:cNvPr>
        <xdr:cNvSpPr txBox="1">
          <a:spLocks noChangeArrowheads="1"/>
        </xdr:cNvSpPr>
      </xdr:nvSpPr>
      <xdr:spPr bwMode="auto">
        <a:xfrm>
          <a:off x="3901109" y="3536839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838" name="Text Box 10">
          <a:extLst>
            <a:ext uri="{FF2B5EF4-FFF2-40B4-BE49-F238E27FC236}">
              <a16:creationId xmlns:a16="http://schemas.microsoft.com/office/drawing/2014/main" id="{00000000-0008-0000-0100-000046030000}"/>
            </a:ext>
          </a:extLst>
        </xdr:cNvPr>
        <xdr:cNvSpPr txBox="1">
          <a:spLocks noChangeArrowheads="1"/>
        </xdr:cNvSpPr>
      </xdr:nvSpPr>
      <xdr:spPr bwMode="auto">
        <a:xfrm>
          <a:off x="3901109" y="3536839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839" name="Text Box 11">
          <a:extLst>
            <a:ext uri="{FF2B5EF4-FFF2-40B4-BE49-F238E27FC236}">
              <a16:creationId xmlns:a16="http://schemas.microsoft.com/office/drawing/2014/main" id="{00000000-0008-0000-0100-000047030000}"/>
            </a:ext>
          </a:extLst>
        </xdr:cNvPr>
        <xdr:cNvSpPr txBox="1">
          <a:spLocks noChangeArrowheads="1"/>
        </xdr:cNvSpPr>
      </xdr:nvSpPr>
      <xdr:spPr bwMode="auto">
        <a:xfrm>
          <a:off x="3901109" y="3536839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840" name="Text Box 12">
          <a:extLst>
            <a:ext uri="{FF2B5EF4-FFF2-40B4-BE49-F238E27FC236}">
              <a16:creationId xmlns:a16="http://schemas.microsoft.com/office/drawing/2014/main" id="{00000000-0008-0000-0100-000048030000}"/>
            </a:ext>
          </a:extLst>
        </xdr:cNvPr>
        <xdr:cNvSpPr txBox="1">
          <a:spLocks noChangeArrowheads="1"/>
        </xdr:cNvSpPr>
      </xdr:nvSpPr>
      <xdr:spPr bwMode="auto">
        <a:xfrm>
          <a:off x="3901109" y="3536839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841" name="Text Box 1">
          <a:extLst>
            <a:ext uri="{FF2B5EF4-FFF2-40B4-BE49-F238E27FC236}">
              <a16:creationId xmlns:a16="http://schemas.microsoft.com/office/drawing/2014/main" id="{00000000-0008-0000-0100-000049030000}"/>
            </a:ext>
          </a:extLst>
        </xdr:cNvPr>
        <xdr:cNvSpPr txBox="1">
          <a:spLocks noChangeArrowheads="1"/>
        </xdr:cNvSpPr>
      </xdr:nvSpPr>
      <xdr:spPr bwMode="auto">
        <a:xfrm>
          <a:off x="4580283" y="35368395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842" name="Text Box 1">
          <a:extLst>
            <a:ext uri="{FF2B5EF4-FFF2-40B4-BE49-F238E27FC236}">
              <a16:creationId xmlns:a16="http://schemas.microsoft.com/office/drawing/2014/main" id="{00000000-0008-0000-0100-00004A030000}"/>
            </a:ext>
          </a:extLst>
        </xdr:cNvPr>
        <xdr:cNvSpPr txBox="1">
          <a:spLocks noChangeArrowheads="1"/>
        </xdr:cNvSpPr>
      </xdr:nvSpPr>
      <xdr:spPr bwMode="auto">
        <a:xfrm>
          <a:off x="4580283" y="35368395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843" name="Text Box 1">
          <a:extLst>
            <a:ext uri="{FF2B5EF4-FFF2-40B4-BE49-F238E27FC236}">
              <a16:creationId xmlns:a16="http://schemas.microsoft.com/office/drawing/2014/main" id="{00000000-0008-0000-0100-00004B030000}"/>
            </a:ext>
          </a:extLst>
        </xdr:cNvPr>
        <xdr:cNvSpPr txBox="1">
          <a:spLocks noChangeArrowheads="1"/>
        </xdr:cNvSpPr>
      </xdr:nvSpPr>
      <xdr:spPr bwMode="auto">
        <a:xfrm>
          <a:off x="4580283" y="35368395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844" name="Text Box 1">
          <a:extLst>
            <a:ext uri="{FF2B5EF4-FFF2-40B4-BE49-F238E27FC236}">
              <a16:creationId xmlns:a16="http://schemas.microsoft.com/office/drawing/2014/main" id="{00000000-0008-0000-0100-00004C030000}"/>
            </a:ext>
          </a:extLst>
        </xdr:cNvPr>
        <xdr:cNvSpPr txBox="1">
          <a:spLocks noChangeArrowheads="1"/>
        </xdr:cNvSpPr>
      </xdr:nvSpPr>
      <xdr:spPr bwMode="auto">
        <a:xfrm>
          <a:off x="4580283" y="35368395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45" name="Text Box 5">
          <a:extLst>
            <a:ext uri="{FF2B5EF4-FFF2-40B4-BE49-F238E27FC236}">
              <a16:creationId xmlns:a16="http://schemas.microsoft.com/office/drawing/2014/main" id="{00000000-0008-0000-0100-00004D030000}"/>
            </a:ext>
          </a:extLst>
        </xdr:cNvPr>
        <xdr:cNvSpPr txBox="1">
          <a:spLocks noChangeArrowheads="1"/>
        </xdr:cNvSpPr>
      </xdr:nvSpPr>
      <xdr:spPr bwMode="auto">
        <a:xfrm>
          <a:off x="3901109" y="3644182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846" name="Text Box 6">
          <a:extLst>
            <a:ext uri="{FF2B5EF4-FFF2-40B4-BE49-F238E27FC236}">
              <a16:creationId xmlns:a16="http://schemas.microsoft.com/office/drawing/2014/main" id="{00000000-0008-0000-0100-00004E030000}"/>
            </a:ext>
          </a:extLst>
        </xdr:cNvPr>
        <xdr:cNvSpPr txBox="1">
          <a:spLocks noChangeArrowheads="1"/>
        </xdr:cNvSpPr>
      </xdr:nvSpPr>
      <xdr:spPr bwMode="auto">
        <a:xfrm>
          <a:off x="3901109" y="36441821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47" name="Text Box 16">
          <a:extLst>
            <a:ext uri="{FF2B5EF4-FFF2-40B4-BE49-F238E27FC236}">
              <a16:creationId xmlns:a16="http://schemas.microsoft.com/office/drawing/2014/main" id="{00000000-0008-0000-0100-00004F030000}"/>
            </a:ext>
          </a:extLst>
        </xdr:cNvPr>
        <xdr:cNvSpPr txBox="1">
          <a:spLocks noChangeArrowheads="1"/>
        </xdr:cNvSpPr>
      </xdr:nvSpPr>
      <xdr:spPr bwMode="auto">
        <a:xfrm>
          <a:off x="3901109" y="3644182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48" name="Text Box 17">
          <a:extLst>
            <a:ext uri="{FF2B5EF4-FFF2-40B4-BE49-F238E27FC236}">
              <a16:creationId xmlns:a16="http://schemas.microsoft.com/office/drawing/2014/main" id="{00000000-0008-0000-0100-000050030000}"/>
            </a:ext>
          </a:extLst>
        </xdr:cNvPr>
        <xdr:cNvSpPr txBox="1">
          <a:spLocks noChangeArrowheads="1"/>
        </xdr:cNvSpPr>
      </xdr:nvSpPr>
      <xdr:spPr bwMode="auto">
        <a:xfrm>
          <a:off x="3901109" y="3644182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49" name="Text Box 18">
          <a:extLst>
            <a:ext uri="{FF2B5EF4-FFF2-40B4-BE49-F238E27FC236}">
              <a16:creationId xmlns:a16="http://schemas.microsoft.com/office/drawing/2014/main" id="{00000000-0008-0000-0100-000051030000}"/>
            </a:ext>
          </a:extLst>
        </xdr:cNvPr>
        <xdr:cNvSpPr txBox="1">
          <a:spLocks noChangeArrowheads="1"/>
        </xdr:cNvSpPr>
      </xdr:nvSpPr>
      <xdr:spPr bwMode="auto">
        <a:xfrm>
          <a:off x="3901109" y="3644182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50" name="Text Box 19">
          <a:extLst>
            <a:ext uri="{FF2B5EF4-FFF2-40B4-BE49-F238E27FC236}">
              <a16:creationId xmlns:a16="http://schemas.microsoft.com/office/drawing/2014/main" id="{00000000-0008-0000-0100-000052030000}"/>
            </a:ext>
          </a:extLst>
        </xdr:cNvPr>
        <xdr:cNvSpPr txBox="1">
          <a:spLocks noChangeArrowheads="1"/>
        </xdr:cNvSpPr>
      </xdr:nvSpPr>
      <xdr:spPr bwMode="auto">
        <a:xfrm>
          <a:off x="3901109" y="3644182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51" name="Text Box 20">
          <a:extLst>
            <a:ext uri="{FF2B5EF4-FFF2-40B4-BE49-F238E27FC236}">
              <a16:creationId xmlns:a16="http://schemas.microsoft.com/office/drawing/2014/main" id="{00000000-0008-0000-0100-000053030000}"/>
            </a:ext>
          </a:extLst>
        </xdr:cNvPr>
        <xdr:cNvSpPr txBox="1">
          <a:spLocks noChangeArrowheads="1"/>
        </xdr:cNvSpPr>
      </xdr:nvSpPr>
      <xdr:spPr bwMode="auto">
        <a:xfrm>
          <a:off x="3901109" y="3644182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52" name="Text Box 21">
          <a:extLst>
            <a:ext uri="{FF2B5EF4-FFF2-40B4-BE49-F238E27FC236}">
              <a16:creationId xmlns:a16="http://schemas.microsoft.com/office/drawing/2014/main" id="{00000000-0008-0000-0100-000054030000}"/>
            </a:ext>
          </a:extLst>
        </xdr:cNvPr>
        <xdr:cNvSpPr txBox="1">
          <a:spLocks noChangeArrowheads="1"/>
        </xdr:cNvSpPr>
      </xdr:nvSpPr>
      <xdr:spPr bwMode="auto">
        <a:xfrm>
          <a:off x="3901109" y="3644182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853" name="Text Box 22">
          <a:extLst>
            <a:ext uri="{FF2B5EF4-FFF2-40B4-BE49-F238E27FC236}">
              <a16:creationId xmlns:a16="http://schemas.microsoft.com/office/drawing/2014/main" id="{00000000-0008-0000-0100-000055030000}"/>
            </a:ext>
          </a:extLst>
        </xdr:cNvPr>
        <xdr:cNvSpPr txBox="1">
          <a:spLocks noChangeArrowheads="1"/>
        </xdr:cNvSpPr>
      </xdr:nvSpPr>
      <xdr:spPr bwMode="auto">
        <a:xfrm>
          <a:off x="3901109" y="36441821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854" name="Text Box 1">
          <a:extLst>
            <a:ext uri="{FF2B5EF4-FFF2-40B4-BE49-F238E27FC236}">
              <a16:creationId xmlns:a16="http://schemas.microsoft.com/office/drawing/2014/main" id="{00000000-0008-0000-0100-000056030000}"/>
            </a:ext>
          </a:extLst>
        </xdr:cNvPr>
        <xdr:cNvSpPr txBox="1">
          <a:spLocks noChangeArrowheads="1"/>
        </xdr:cNvSpPr>
      </xdr:nvSpPr>
      <xdr:spPr bwMode="auto">
        <a:xfrm>
          <a:off x="4580283" y="36441821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855" name="Text Box 1">
          <a:extLst>
            <a:ext uri="{FF2B5EF4-FFF2-40B4-BE49-F238E27FC236}">
              <a16:creationId xmlns:a16="http://schemas.microsoft.com/office/drawing/2014/main" id="{00000000-0008-0000-0100-000057030000}"/>
            </a:ext>
          </a:extLst>
        </xdr:cNvPr>
        <xdr:cNvSpPr txBox="1">
          <a:spLocks noChangeArrowheads="1"/>
        </xdr:cNvSpPr>
      </xdr:nvSpPr>
      <xdr:spPr bwMode="auto">
        <a:xfrm>
          <a:off x="4580283" y="36441821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856" name="Text Box 1">
          <a:extLst>
            <a:ext uri="{FF2B5EF4-FFF2-40B4-BE49-F238E27FC236}">
              <a16:creationId xmlns:a16="http://schemas.microsoft.com/office/drawing/2014/main" id="{00000000-0008-0000-0100-000058030000}"/>
            </a:ext>
          </a:extLst>
        </xdr:cNvPr>
        <xdr:cNvSpPr txBox="1">
          <a:spLocks noChangeArrowheads="1"/>
        </xdr:cNvSpPr>
      </xdr:nvSpPr>
      <xdr:spPr bwMode="auto">
        <a:xfrm>
          <a:off x="4580283" y="36441821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857" name="Text Box 1">
          <a:extLst>
            <a:ext uri="{FF2B5EF4-FFF2-40B4-BE49-F238E27FC236}">
              <a16:creationId xmlns:a16="http://schemas.microsoft.com/office/drawing/2014/main" id="{00000000-0008-0000-0100-000059030000}"/>
            </a:ext>
          </a:extLst>
        </xdr:cNvPr>
        <xdr:cNvSpPr txBox="1">
          <a:spLocks noChangeArrowheads="1"/>
        </xdr:cNvSpPr>
      </xdr:nvSpPr>
      <xdr:spPr bwMode="auto">
        <a:xfrm>
          <a:off x="4580283" y="36441821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58" name="Text Box 5">
          <a:extLst>
            <a:ext uri="{FF2B5EF4-FFF2-40B4-BE49-F238E27FC236}">
              <a16:creationId xmlns:a16="http://schemas.microsoft.com/office/drawing/2014/main" id="{00000000-0008-0000-0100-00005A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59" name="Text Box 6">
          <a:extLst>
            <a:ext uri="{FF2B5EF4-FFF2-40B4-BE49-F238E27FC236}">
              <a16:creationId xmlns:a16="http://schemas.microsoft.com/office/drawing/2014/main" id="{00000000-0008-0000-0100-00005B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0" name="Text Box 7">
          <a:extLst>
            <a:ext uri="{FF2B5EF4-FFF2-40B4-BE49-F238E27FC236}">
              <a16:creationId xmlns:a16="http://schemas.microsoft.com/office/drawing/2014/main" id="{00000000-0008-0000-0100-00005C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1" name="Text Box 8">
          <a:extLst>
            <a:ext uri="{FF2B5EF4-FFF2-40B4-BE49-F238E27FC236}">
              <a16:creationId xmlns:a16="http://schemas.microsoft.com/office/drawing/2014/main" id="{00000000-0008-0000-0100-00005D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2" name="Text Box 9">
          <a:extLst>
            <a:ext uri="{FF2B5EF4-FFF2-40B4-BE49-F238E27FC236}">
              <a16:creationId xmlns:a16="http://schemas.microsoft.com/office/drawing/2014/main" id="{00000000-0008-0000-0100-00005E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3" name="Text Box 10">
          <a:extLst>
            <a:ext uri="{FF2B5EF4-FFF2-40B4-BE49-F238E27FC236}">
              <a16:creationId xmlns:a16="http://schemas.microsoft.com/office/drawing/2014/main" id="{00000000-0008-0000-0100-00005F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4" name="Text Box 11">
          <a:extLst>
            <a:ext uri="{FF2B5EF4-FFF2-40B4-BE49-F238E27FC236}">
              <a16:creationId xmlns:a16="http://schemas.microsoft.com/office/drawing/2014/main" id="{00000000-0008-0000-0100-000060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5" name="Text Box 12">
          <a:extLst>
            <a:ext uri="{FF2B5EF4-FFF2-40B4-BE49-F238E27FC236}">
              <a16:creationId xmlns:a16="http://schemas.microsoft.com/office/drawing/2014/main" id="{00000000-0008-0000-0100-000061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6" name="Text Box 13">
          <a:extLst>
            <a:ext uri="{FF2B5EF4-FFF2-40B4-BE49-F238E27FC236}">
              <a16:creationId xmlns:a16="http://schemas.microsoft.com/office/drawing/2014/main" id="{00000000-0008-0000-0100-000062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867" name="Text Box 14">
          <a:extLst>
            <a:ext uri="{FF2B5EF4-FFF2-40B4-BE49-F238E27FC236}">
              <a16:creationId xmlns:a16="http://schemas.microsoft.com/office/drawing/2014/main" id="{00000000-0008-0000-0100-000063030000}"/>
            </a:ext>
          </a:extLst>
        </xdr:cNvPr>
        <xdr:cNvSpPr txBox="1">
          <a:spLocks noChangeArrowheads="1"/>
        </xdr:cNvSpPr>
      </xdr:nvSpPr>
      <xdr:spPr bwMode="auto">
        <a:xfrm>
          <a:off x="3901109" y="304882826"/>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8" name="Text Box 15">
          <a:extLst>
            <a:ext uri="{FF2B5EF4-FFF2-40B4-BE49-F238E27FC236}">
              <a16:creationId xmlns:a16="http://schemas.microsoft.com/office/drawing/2014/main" id="{00000000-0008-0000-0100-000064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69" name="Text Box 16">
          <a:extLst>
            <a:ext uri="{FF2B5EF4-FFF2-40B4-BE49-F238E27FC236}">
              <a16:creationId xmlns:a16="http://schemas.microsoft.com/office/drawing/2014/main" id="{00000000-0008-0000-0100-000065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0" name="Text Box 17">
          <a:extLst>
            <a:ext uri="{FF2B5EF4-FFF2-40B4-BE49-F238E27FC236}">
              <a16:creationId xmlns:a16="http://schemas.microsoft.com/office/drawing/2014/main" id="{00000000-0008-0000-0100-000066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1" name="Text Box 18">
          <a:extLst>
            <a:ext uri="{FF2B5EF4-FFF2-40B4-BE49-F238E27FC236}">
              <a16:creationId xmlns:a16="http://schemas.microsoft.com/office/drawing/2014/main" id="{00000000-0008-0000-0100-000067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2" name="Text Box 19">
          <a:extLst>
            <a:ext uri="{FF2B5EF4-FFF2-40B4-BE49-F238E27FC236}">
              <a16:creationId xmlns:a16="http://schemas.microsoft.com/office/drawing/2014/main" id="{00000000-0008-0000-0100-000068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3" name="Text Box 20">
          <a:extLst>
            <a:ext uri="{FF2B5EF4-FFF2-40B4-BE49-F238E27FC236}">
              <a16:creationId xmlns:a16="http://schemas.microsoft.com/office/drawing/2014/main" id="{00000000-0008-0000-0100-000069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4" name="Text Box 21">
          <a:extLst>
            <a:ext uri="{FF2B5EF4-FFF2-40B4-BE49-F238E27FC236}">
              <a16:creationId xmlns:a16="http://schemas.microsoft.com/office/drawing/2014/main" id="{00000000-0008-0000-0100-00006A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5" name="Text Box 22">
          <a:extLst>
            <a:ext uri="{FF2B5EF4-FFF2-40B4-BE49-F238E27FC236}">
              <a16:creationId xmlns:a16="http://schemas.microsoft.com/office/drawing/2014/main" id="{00000000-0008-0000-0100-00006B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6" name="Text Box 7">
          <a:extLst>
            <a:ext uri="{FF2B5EF4-FFF2-40B4-BE49-F238E27FC236}">
              <a16:creationId xmlns:a16="http://schemas.microsoft.com/office/drawing/2014/main" id="{00000000-0008-0000-0100-00006C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7" name="Text Box 8">
          <a:extLst>
            <a:ext uri="{FF2B5EF4-FFF2-40B4-BE49-F238E27FC236}">
              <a16:creationId xmlns:a16="http://schemas.microsoft.com/office/drawing/2014/main" id="{00000000-0008-0000-0100-00006D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8" name="Text Box 9">
          <a:extLst>
            <a:ext uri="{FF2B5EF4-FFF2-40B4-BE49-F238E27FC236}">
              <a16:creationId xmlns:a16="http://schemas.microsoft.com/office/drawing/2014/main" id="{00000000-0008-0000-0100-00006E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79" name="Text Box 10">
          <a:extLst>
            <a:ext uri="{FF2B5EF4-FFF2-40B4-BE49-F238E27FC236}">
              <a16:creationId xmlns:a16="http://schemas.microsoft.com/office/drawing/2014/main" id="{00000000-0008-0000-0100-00006F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80" name="Text Box 11">
          <a:extLst>
            <a:ext uri="{FF2B5EF4-FFF2-40B4-BE49-F238E27FC236}">
              <a16:creationId xmlns:a16="http://schemas.microsoft.com/office/drawing/2014/main" id="{00000000-0008-0000-0100-000070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81" name="Text Box 12">
          <a:extLst>
            <a:ext uri="{FF2B5EF4-FFF2-40B4-BE49-F238E27FC236}">
              <a16:creationId xmlns:a16="http://schemas.microsoft.com/office/drawing/2014/main" id="{00000000-0008-0000-0100-000071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82" name="Text Box 13">
          <a:extLst>
            <a:ext uri="{FF2B5EF4-FFF2-40B4-BE49-F238E27FC236}">
              <a16:creationId xmlns:a16="http://schemas.microsoft.com/office/drawing/2014/main" id="{00000000-0008-0000-0100-000072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883" name="Text Box 14">
          <a:extLst>
            <a:ext uri="{FF2B5EF4-FFF2-40B4-BE49-F238E27FC236}">
              <a16:creationId xmlns:a16="http://schemas.microsoft.com/office/drawing/2014/main" id="{00000000-0008-0000-0100-000073030000}"/>
            </a:ext>
          </a:extLst>
        </xdr:cNvPr>
        <xdr:cNvSpPr txBox="1">
          <a:spLocks noChangeArrowheads="1"/>
        </xdr:cNvSpPr>
      </xdr:nvSpPr>
      <xdr:spPr bwMode="auto">
        <a:xfrm>
          <a:off x="3901109" y="304882826"/>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884" name="Text Box 15">
          <a:extLst>
            <a:ext uri="{FF2B5EF4-FFF2-40B4-BE49-F238E27FC236}">
              <a16:creationId xmlns:a16="http://schemas.microsoft.com/office/drawing/2014/main" id="{00000000-0008-0000-0100-000074030000}"/>
            </a:ext>
          </a:extLst>
        </xdr:cNvPr>
        <xdr:cNvSpPr txBox="1">
          <a:spLocks noChangeArrowheads="1"/>
        </xdr:cNvSpPr>
      </xdr:nvSpPr>
      <xdr:spPr bwMode="auto">
        <a:xfrm>
          <a:off x="3901109" y="304882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85" name="Text Box 5">
          <a:extLst>
            <a:ext uri="{FF2B5EF4-FFF2-40B4-BE49-F238E27FC236}">
              <a16:creationId xmlns:a16="http://schemas.microsoft.com/office/drawing/2014/main" id="{00000000-0008-0000-0100-000075030000}"/>
            </a:ext>
          </a:extLst>
        </xdr:cNvPr>
        <xdr:cNvSpPr txBox="1">
          <a:spLocks noChangeArrowheads="1"/>
        </xdr:cNvSpPr>
      </xdr:nvSpPr>
      <xdr:spPr bwMode="auto">
        <a:xfrm>
          <a:off x="3901109" y="304882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886" name="Text Box 6">
          <a:extLst>
            <a:ext uri="{FF2B5EF4-FFF2-40B4-BE49-F238E27FC236}">
              <a16:creationId xmlns:a16="http://schemas.microsoft.com/office/drawing/2014/main" id="{00000000-0008-0000-0100-000076030000}"/>
            </a:ext>
          </a:extLst>
        </xdr:cNvPr>
        <xdr:cNvSpPr txBox="1">
          <a:spLocks noChangeArrowheads="1"/>
        </xdr:cNvSpPr>
      </xdr:nvSpPr>
      <xdr:spPr bwMode="auto">
        <a:xfrm>
          <a:off x="3901109" y="304882826"/>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87" name="Text Box 7">
          <a:extLst>
            <a:ext uri="{FF2B5EF4-FFF2-40B4-BE49-F238E27FC236}">
              <a16:creationId xmlns:a16="http://schemas.microsoft.com/office/drawing/2014/main" id="{00000000-0008-0000-0100-000077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88" name="Text Box 8">
          <a:extLst>
            <a:ext uri="{FF2B5EF4-FFF2-40B4-BE49-F238E27FC236}">
              <a16:creationId xmlns:a16="http://schemas.microsoft.com/office/drawing/2014/main" id="{00000000-0008-0000-0100-000078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89" name="Text Box 9">
          <a:extLst>
            <a:ext uri="{FF2B5EF4-FFF2-40B4-BE49-F238E27FC236}">
              <a16:creationId xmlns:a16="http://schemas.microsoft.com/office/drawing/2014/main" id="{00000000-0008-0000-0100-000079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90" name="Text Box 10">
          <a:extLst>
            <a:ext uri="{FF2B5EF4-FFF2-40B4-BE49-F238E27FC236}">
              <a16:creationId xmlns:a16="http://schemas.microsoft.com/office/drawing/2014/main" id="{00000000-0008-0000-0100-00007A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91" name="Text Box 11">
          <a:extLst>
            <a:ext uri="{FF2B5EF4-FFF2-40B4-BE49-F238E27FC236}">
              <a16:creationId xmlns:a16="http://schemas.microsoft.com/office/drawing/2014/main" id="{00000000-0008-0000-0100-00007B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92" name="Text Box 12">
          <a:extLst>
            <a:ext uri="{FF2B5EF4-FFF2-40B4-BE49-F238E27FC236}">
              <a16:creationId xmlns:a16="http://schemas.microsoft.com/office/drawing/2014/main" id="{00000000-0008-0000-0100-00007C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93" name="Text Box 13">
          <a:extLst>
            <a:ext uri="{FF2B5EF4-FFF2-40B4-BE49-F238E27FC236}">
              <a16:creationId xmlns:a16="http://schemas.microsoft.com/office/drawing/2014/main" id="{00000000-0008-0000-0100-00007D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894" name="Text Box 14">
          <a:extLst>
            <a:ext uri="{FF2B5EF4-FFF2-40B4-BE49-F238E27FC236}">
              <a16:creationId xmlns:a16="http://schemas.microsoft.com/office/drawing/2014/main" id="{00000000-0008-0000-0100-00007E030000}"/>
            </a:ext>
          </a:extLst>
        </xdr:cNvPr>
        <xdr:cNvSpPr txBox="1">
          <a:spLocks noChangeArrowheads="1"/>
        </xdr:cNvSpPr>
      </xdr:nvSpPr>
      <xdr:spPr bwMode="auto">
        <a:xfrm>
          <a:off x="3901109" y="304882826"/>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895" name="Text Box 15">
          <a:extLst>
            <a:ext uri="{FF2B5EF4-FFF2-40B4-BE49-F238E27FC236}">
              <a16:creationId xmlns:a16="http://schemas.microsoft.com/office/drawing/2014/main" id="{00000000-0008-0000-0100-00007F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96" name="Text Box 16">
          <a:extLst>
            <a:ext uri="{FF2B5EF4-FFF2-40B4-BE49-F238E27FC236}">
              <a16:creationId xmlns:a16="http://schemas.microsoft.com/office/drawing/2014/main" id="{00000000-0008-0000-0100-000080030000}"/>
            </a:ext>
          </a:extLst>
        </xdr:cNvPr>
        <xdr:cNvSpPr txBox="1">
          <a:spLocks noChangeArrowheads="1"/>
        </xdr:cNvSpPr>
      </xdr:nvSpPr>
      <xdr:spPr bwMode="auto">
        <a:xfrm>
          <a:off x="3901109" y="304882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97" name="Text Box 17">
          <a:extLst>
            <a:ext uri="{FF2B5EF4-FFF2-40B4-BE49-F238E27FC236}">
              <a16:creationId xmlns:a16="http://schemas.microsoft.com/office/drawing/2014/main" id="{00000000-0008-0000-0100-000081030000}"/>
            </a:ext>
          </a:extLst>
        </xdr:cNvPr>
        <xdr:cNvSpPr txBox="1">
          <a:spLocks noChangeArrowheads="1"/>
        </xdr:cNvSpPr>
      </xdr:nvSpPr>
      <xdr:spPr bwMode="auto">
        <a:xfrm>
          <a:off x="3901109" y="304882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98" name="Text Box 18">
          <a:extLst>
            <a:ext uri="{FF2B5EF4-FFF2-40B4-BE49-F238E27FC236}">
              <a16:creationId xmlns:a16="http://schemas.microsoft.com/office/drawing/2014/main" id="{00000000-0008-0000-0100-000082030000}"/>
            </a:ext>
          </a:extLst>
        </xdr:cNvPr>
        <xdr:cNvSpPr txBox="1">
          <a:spLocks noChangeArrowheads="1"/>
        </xdr:cNvSpPr>
      </xdr:nvSpPr>
      <xdr:spPr bwMode="auto">
        <a:xfrm>
          <a:off x="3901109" y="304882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899" name="Text Box 19">
          <a:extLst>
            <a:ext uri="{FF2B5EF4-FFF2-40B4-BE49-F238E27FC236}">
              <a16:creationId xmlns:a16="http://schemas.microsoft.com/office/drawing/2014/main" id="{00000000-0008-0000-0100-000083030000}"/>
            </a:ext>
          </a:extLst>
        </xdr:cNvPr>
        <xdr:cNvSpPr txBox="1">
          <a:spLocks noChangeArrowheads="1"/>
        </xdr:cNvSpPr>
      </xdr:nvSpPr>
      <xdr:spPr bwMode="auto">
        <a:xfrm>
          <a:off x="3901109" y="304882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00" name="Text Box 20">
          <a:extLst>
            <a:ext uri="{FF2B5EF4-FFF2-40B4-BE49-F238E27FC236}">
              <a16:creationId xmlns:a16="http://schemas.microsoft.com/office/drawing/2014/main" id="{00000000-0008-0000-0100-000084030000}"/>
            </a:ext>
          </a:extLst>
        </xdr:cNvPr>
        <xdr:cNvSpPr txBox="1">
          <a:spLocks noChangeArrowheads="1"/>
        </xdr:cNvSpPr>
      </xdr:nvSpPr>
      <xdr:spPr bwMode="auto">
        <a:xfrm>
          <a:off x="3901109" y="304882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01" name="Text Box 21">
          <a:extLst>
            <a:ext uri="{FF2B5EF4-FFF2-40B4-BE49-F238E27FC236}">
              <a16:creationId xmlns:a16="http://schemas.microsoft.com/office/drawing/2014/main" id="{00000000-0008-0000-0100-000085030000}"/>
            </a:ext>
          </a:extLst>
        </xdr:cNvPr>
        <xdr:cNvSpPr txBox="1">
          <a:spLocks noChangeArrowheads="1"/>
        </xdr:cNvSpPr>
      </xdr:nvSpPr>
      <xdr:spPr bwMode="auto">
        <a:xfrm>
          <a:off x="3901109" y="304882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902" name="Text Box 22">
          <a:extLst>
            <a:ext uri="{FF2B5EF4-FFF2-40B4-BE49-F238E27FC236}">
              <a16:creationId xmlns:a16="http://schemas.microsoft.com/office/drawing/2014/main" id="{00000000-0008-0000-0100-000086030000}"/>
            </a:ext>
          </a:extLst>
        </xdr:cNvPr>
        <xdr:cNvSpPr txBox="1">
          <a:spLocks noChangeArrowheads="1"/>
        </xdr:cNvSpPr>
      </xdr:nvSpPr>
      <xdr:spPr bwMode="auto">
        <a:xfrm>
          <a:off x="3901109" y="304882826"/>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03" name="Text Box 7">
          <a:extLst>
            <a:ext uri="{FF2B5EF4-FFF2-40B4-BE49-F238E27FC236}">
              <a16:creationId xmlns:a16="http://schemas.microsoft.com/office/drawing/2014/main" id="{00000000-0008-0000-0100-000087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04" name="Text Box 8">
          <a:extLst>
            <a:ext uri="{FF2B5EF4-FFF2-40B4-BE49-F238E27FC236}">
              <a16:creationId xmlns:a16="http://schemas.microsoft.com/office/drawing/2014/main" id="{00000000-0008-0000-0100-000088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05" name="Text Box 9">
          <a:extLst>
            <a:ext uri="{FF2B5EF4-FFF2-40B4-BE49-F238E27FC236}">
              <a16:creationId xmlns:a16="http://schemas.microsoft.com/office/drawing/2014/main" id="{00000000-0008-0000-0100-000089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06" name="Text Box 10">
          <a:extLst>
            <a:ext uri="{FF2B5EF4-FFF2-40B4-BE49-F238E27FC236}">
              <a16:creationId xmlns:a16="http://schemas.microsoft.com/office/drawing/2014/main" id="{00000000-0008-0000-0100-00008A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07" name="Text Box 11">
          <a:extLst>
            <a:ext uri="{FF2B5EF4-FFF2-40B4-BE49-F238E27FC236}">
              <a16:creationId xmlns:a16="http://schemas.microsoft.com/office/drawing/2014/main" id="{00000000-0008-0000-0100-00008B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08" name="Text Box 12">
          <a:extLst>
            <a:ext uri="{FF2B5EF4-FFF2-40B4-BE49-F238E27FC236}">
              <a16:creationId xmlns:a16="http://schemas.microsoft.com/office/drawing/2014/main" id="{00000000-0008-0000-0100-00008C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09" name="Text Box 13">
          <a:extLst>
            <a:ext uri="{FF2B5EF4-FFF2-40B4-BE49-F238E27FC236}">
              <a16:creationId xmlns:a16="http://schemas.microsoft.com/office/drawing/2014/main" id="{00000000-0008-0000-0100-00008D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910" name="Text Box 14">
          <a:extLst>
            <a:ext uri="{FF2B5EF4-FFF2-40B4-BE49-F238E27FC236}">
              <a16:creationId xmlns:a16="http://schemas.microsoft.com/office/drawing/2014/main" id="{00000000-0008-0000-0100-00008E030000}"/>
            </a:ext>
          </a:extLst>
        </xdr:cNvPr>
        <xdr:cNvSpPr txBox="1">
          <a:spLocks noChangeArrowheads="1"/>
        </xdr:cNvSpPr>
      </xdr:nvSpPr>
      <xdr:spPr bwMode="auto">
        <a:xfrm>
          <a:off x="3901109" y="304882826"/>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11" name="Text Box 15">
          <a:extLst>
            <a:ext uri="{FF2B5EF4-FFF2-40B4-BE49-F238E27FC236}">
              <a16:creationId xmlns:a16="http://schemas.microsoft.com/office/drawing/2014/main" id="{00000000-0008-0000-0100-00008F030000}"/>
            </a:ext>
          </a:extLst>
        </xdr:cNvPr>
        <xdr:cNvSpPr txBox="1">
          <a:spLocks noChangeArrowheads="1"/>
        </xdr:cNvSpPr>
      </xdr:nvSpPr>
      <xdr:spPr bwMode="auto">
        <a:xfrm>
          <a:off x="3901109" y="304882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12" name="Text Box 5">
          <a:extLst>
            <a:ext uri="{FF2B5EF4-FFF2-40B4-BE49-F238E27FC236}">
              <a16:creationId xmlns:a16="http://schemas.microsoft.com/office/drawing/2014/main" id="{00000000-0008-0000-0100-000090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913" name="Text Box 6">
          <a:extLst>
            <a:ext uri="{FF2B5EF4-FFF2-40B4-BE49-F238E27FC236}">
              <a16:creationId xmlns:a16="http://schemas.microsoft.com/office/drawing/2014/main" id="{00000000-0008-0000-0100-000091030000}"/>
            </a:ext>
          </a:extLst>
        </xdr:cNvPr>
        <xdr:cNvSpPr txBox="1">
          <a:spLocks noChangeArrowheads="1"/>
        </xdr:cNvSpPr>
      </xdr:nvSpPr>
      <xdr:spPr bwMode="auto">
        <a:xfrm>
          <a:off x="3901109" y="304882826"/>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14" name="Text Box 7">
          <a:extLst>
            <a:ext uri="{FF2B5EF4-FFF2-40B4-BE49-F238E27FC236}">
              <a16:creationId xmlns:a16="http://schemas.microsoft.com/office/drawing/2014/main" id="{00000000-0008-0000-0100-000092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15" name="Text Box 8">
          <a:extLst>
            <a:ext uri="{FF2B5EF4-FFF2-40B4-BE49-F238E27FC236}">
              <a16:creationId xmlns:a16="http://schemas.microsoft.com/office/drawing/2014/main" id="{00000000-0008-0000-0100-000093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16" name="Text Box 9">
          <a:extLst>
            <a:ext uri="{FF2B5EF4-FFF2-40B4-BE49-F238E27FC236}">
              <a16:creationId xmlns:a16="http://schemas.microsoft.com/office/drawing/2014/main" id="{00000000-0008-0000-0100-000094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17" name="Text Box 10">
          <a:extLst>
            <a:ext uri="{FF2B5EF4-FFF2-40B4-BE49-F238E27FC236}">
              <a16:creationId xmlns:a16="http://schemas.microsoft.com/office/drawing/2014/main" id="{00000000-0008-0000-0100-000095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18" name="Text Box 11">
          <a:extLst>
            <a:ext uri="{FF2B5EF4-FFF2-40B4-BE49-F238E27FC236}">
              <a16:creationId xmlns:a16="http://schemas.microsoft.com/office/drawing/2014/main" id="{00000000-0008-0000-0100-000096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19" name="Text Box 12">
          <a:extLst>
            <a:ext uri="{FF2B5EF4-FFF2-40B4-BE49-F238E27FC236}">
              <a16:creationId xmlns:a16="http://schemas.microsoft.com/office/drawing/2014/main" id="{00000000-0008-0000-0100-000097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20" name="Text Box 13">
          <a:extLst>
            <a:ext uri="{FF2B5EF4-FFF2-40B4-BE49-F238E27FC236}">
              <a16:creationId xmlns:a16="http://schemas.microsoft.com/office/drawing/2014/main" id="{00000000-0008-0000-0100-000098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921" name="Text Box 14">
          <a:extLst>
            <a:ext uri="{FF2B5EF4-FFF2-40B4-BE49-F238E27FC236}">
              <a16:creationId xmlns:a16="http://schemas.microsoft.com/office/drawing/2014/main" id="{00000000-0008-0000-0100-000099030000}"/>
            </a:ext>
          </a:extLst>
        </xdr:cNvPr>
        <xdr:cNvSpPr txBox="1">
          <a:spLocks noChangeArrowheads="1"/>
        </xdr:cNvSpPr>
      </xdr:nvSpPr>
      <xdr:spPr bwMode="auto">
        <a:xfrm>
          <a:off x="3901109" y="304882826"/>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22" name="Text Box 15">
          <a:extLst>
            <a:ext uri="{FF2B5EF4-FFF2-40B4-BE49-F238E27FC236}">
              <a16:creationId xmlns:a16="http://schemas.microsoft.com/office/drawing/2014/main" id="{00000000-0008-0000-0100-00009A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23" name="Text Box 16">
          <a:extLst>
            <a:ext uri="{FF2B5EF4-FFF2-40B4-BE49-F238E27FC236}">
              <a16:creationId xmlns:a16="http://schemas.microsoft.com/office/drawing/2014/main" id="{00000000-0008-0000-0100-00009B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24" name="Text Box 17">
          <a:extLst>
            <a:ext uri="{FF2B5EF4-FFF2-40B4-BE49-F238E27FC236}">
              <a16:creationId xmlns:a16="http://schemas.microsoft.com/office/drawing/2014/main" id="{00000000-0008-0000-0100-00009C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25" name="Text Box 18">
          <a:extLst>
            <a:ext uri="{FF2B5EF4-FFF2-40B4-BE49-F238E27FC236}">
              <a16:creationId xmlns:a16="http://schemas.microsoft.com/office/drawing/2014/main" id="{00000000-0008-0000-0100-00009D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26" name="Text Box 19">
          <a:extLst>
            <a:ext uri="{FF2B5EF4-FFF2-40B4-BE49-F238E27FC236}">
              <a16:creationId xmlns:a16="http://schemas.microsoft.com/office/drawing/2014/main" id="{00000000-0008-0000-0100-00009E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27" name="Text Box 20">
          <a:extLst>
            <a:ext uri="{FF2B5EF4-FFF2-40B4-BE49-F238E27FC236}">
              <a16:creationId xmlns:a16="http://schemas.microsoft.com/office/drawing/2014/main" id="{00000000-0008-0000-0100-00009F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28" name="Text Box 21">
          <a:extLst>
            <a:ext uri="{FF2B5EF4-FFF2-40B4-BE49-F238E27FC236}">
              <a16:creationId xmlns:a16="http://schemas.microsoft.com/office/drawing/2014/main" id="{00000000-0008-0000-0100-0000A0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929" name="Text Box 22">
          <a:extLst>
            <a:ext uri="{FF2B5EF4-FFF2-40B4-BE49-F238E27FC236}">
              <a16:creationId xmlns:a16="http://schemas.microsoft.com/office/drawing/2014/main" id="{00000000-0008-0000-0100-0000A1030000}"/>
            </a:ext>
          </a:extLst>
        </xdr:cNvPr>
        <xdr:cNvSpPr txBox="1">
          <a:spLocks noChangeArrowheads="1"/>
        </xdr:cNvSpPr>
      </xdr:nvSpPr>
      <xdr:spPr bwMode="auto">
        <a:xfrm>
          <a:off x="3901109" y="304882826"/>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30" name="Text Box 7">
          <a:extLst>
            <a:ext uri="{FF2B5EF4-FFF2-40B4-BE49-F238E27FC236}">
              <a16:creationId xmlns:a16="http://schemas.microsoft.com/office/drawing/2014/main" id="{00000000-0008-0000-0100-0000A2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31" name="Text Box 8">
          <a:extLst>
            <a:ext uri="{FF2B5EF4-FFF2-40B4-BE49-F238E27FC236}">
              <a16:creationId xmlns:a16="http://schemas.microsoft.com/office/drawing/2014/main" id="{00000000-0008-0000-0100-0000A3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32" name="Text Box 9">
          <a:extLst>
            <a:ext uri="{FF2B5EF4-FFF2-40B4-BE49-F238E27FC236}">
              <a16:creationId xmlns:a16="http://schemas.microsoft.com/office/drawing/2014/main" id="{00000000-0008-0000-0100-0000A4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33" name="Text Box 10">
          <a:extLst>
            <a:ext uri="{FF2B5EF4-FFF2-40B4-BE49-F238E27FC236}">
              <a16:creationId xmlns:a16="http://schemas.microsoft.com/office/drawing/2014/main" id="{00000000-0008-0000-0100-0000A5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34" name="Text Box 11">
          <a:extLst>
            <a:ext uri="{FF2B5EF4-FFF2-40B4-BE49-F238E27FC236}">
              <a16:creationId xmlns:a16="http://schemas.microsoft.com/office/drawing/2014/main" id="{00000000-0008-0000-0100-0000A6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35" name="Text Box 12">
          <a:extLst>
            <a:ext uri="{FF2B5EF4-FFF2-40B4-BE49-F238E27FC236}">
              <a16:creationId xmlns:a16="http://schemas.microsoft.com/office/drawing/2014/main" id="{00000000-0008-0000-0100-0000A7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936" name="Text Box 13">
          <a:extLst>
            <a:ext uri="{FF2B5EF4-FFF2-40B4-BE49-F238E27FC236}">
              <a16:creationId xmlns:a16="http://schemas.microsoft.com/office/drawing/2014/main" id="{00000000-0008-0000-0100-0000A8030000}"/>
            </a:ext>
          </a:extLst>
        </xdr:cNvPr>
        <xdr:cNvSpPr txBox="1">
          <a:spLocks noChangeArrowheads="1"/>
        </xdr:cNvSpPr>
      </xdr:nvSpPr>
      <xdr:spPr bwMode="auto">
        <a:xfrm>
          <a:off x="3901109" y="304882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937" name="Text Box 14">
          <a:extLst>
            <a:ext uri="{FF2B5EF4-FFF2-40B4-BE49-F238E27FC236}">
              <a16:creationId xmlns:a16="http://schemas.microsoft.com/office/drawing/2014/main" id="{00000000-0008-0000-0100-0000A9030000}"/>
            </a:ext>
          </a:extLst>
        </xdr:cNvPr>
        <xdr:cNvSpPr txBox="1">
          <a:spLocks noChangeArrowheads="1"/>
        </xdr:cNvSpPr>
      </xdr:nvSpPr>
      <xdr:spPr bwMode="auto">
        <a:xfrm>
          <a:off x="3901109" y="304882826"/>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938" name="Text Box 5">
          <a:extLst>
            <a:ext uri="{FF2B5EF4-FFF2-40B4-BE49-F238E27FC236}">
              <a16:creationId xmlns:a16="http://schemas.microsoft.com/office/drawing/2014/main" id="{00000000-0008-0000-0100-0000AA030000}"/>
            </a:ext>
          </a:extLst>
        </xdr:cNvPr>
        <xdr:cNvSpPr txBox="1">
          <a:spLocks noChangeArrowheads="1"/>
        </xdr:cNvSpPr>
      </xdr:nvSpPr>
      <xdr:spPr bwMode="auto">
        <a:xfrm>
          <a:off x="3901109" y="304882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939" name="Text Box 6">
          <a:extLst>
            <a:ext uri="{FF2B5EF4-FFF2-40B4-BE49-F238E27FC236}">
              <a16:creationId xmlns:a16="http://schemas.microsoft.com/office/drawing/2014/main" id="{00000000-0008-0000-0100-0000AB030000}"/>
            </a:ext>
          </a:extLst>
        </xdr:cNvPr>
        <xdr:cNvSpPr txBox="1">
          <a:spLocks noChangeArrowheads="1"/>
        </xdr:cNvSpPr>
      </xdr:nvSpPr>
      <xdr:spPr bwMode="auto">
        <a:xfrm>
          <a:off x="3901109" y="304882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940" name="Text Box 7">
          <a:extLst>
            <a:ext uri="{FF2B5EF4-FFF2-40B4-BE49-F238E27FC236}">
              <a16:creationId xmlns:a16="http://schemas.microsoft.com/office/drawing/2014/main" id="{00000000-0008-0000-0100-0000AC030000}"/>
            </a:ext>
          </a:extLst>
        </xdr:cNvPr>
        <xdr:cNvSpPr txBox="1">
          <a:spLocks noChangeArrowheads="1"/>
        </xdr:cNvSpPr>
      </xdr:nvSpPr>
      <xdr:spPr bwMode="auto">
        <a:xfrm>
          <a:off x="3901109" y="304882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941" name="Text Box 8">
          <a:extLst>
            <a:ext uri="{FF2B5EF4-FFF2-40B4-BE49-F238E27FC236}">
              <a16:creationId xmlns:a16="http://schemas.microsoft.com/office/drawing/2014/main" id="{00000000-0008-0000-0100-0000AD030000}"/>
            </a:ext>
          </a:extLst>
        </xdr:cNvPr>
        <xdr:cNvSpPr txBox="1">
          <a:spLocks noChangeArrowheads="1"/>
        </xdr:cNvSpPr>
      </xdr:nvSpPr>
      <xdr:spPr bwMode="auto">
        <a:xfrm>
          <a:off x="3901109" y="304882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942" name="Text Box 9">
          <a:extLst>
            <a:ext uri="{FF2B5EF4-FFF2-40B4-BE49-F238E27FC236}">
              <a16:creationId xmlns:a16="http://schemas.microsoft.com/office/drawing/2014/main" id="{00000000-0008-0000-0100-0000AE030000}"/>
            </a:ext>
          </a:extLst>
        </xdr:cNvPr>
        <xdr:cNvSpPr txBox="1">
          <a:spLocks noChangeArrowheads="1"/>
        </xdr:cNvSpPr>
      </xdr:nvSpPr>
      <xdr:spPr bwMode="auto">
        <a:xfrm>
          <a:off x="3901109" y="304882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943" name="Text Box 10">
          <a:extLst>
            <a:ext uri="{FF2B5EF4-FFF2-40B4-BE49-F238E27FC236}">
              <a16:creationId xmlns:a16="http://schemas.microsoft.com/office/drawing/2014/main" id="{00000000-0008-0000-0100-0000AF030000}"/>
            </a:ext>
          </a:extLst>
        </xdr:cNvPr>
        <xdr:cNvSpPr txBox="1">
          <a:spLocks noChangeArrowheads="1"/>
        </xdr:cNvSpPr>
      </xdr:nvSpPr>
      <xdr:spPr bwMode="auto">
        <a:xfrm>
          <a:off x="3901109" y="304882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944" name="Text Box 11">
          <a:extLst>
            <a:ext uri="{FF2B5EF4-FFF2-40B4-BE49-F238E27FC236}">
              <a16:creationId xmlns:a16="http://schemas.microsoft.com/office/drawing/2014/main" id="{00000000-0008-0000-0100-0000B0030000}"/>
            </a:ext>
          </a:extLst>
        </xdr:cNvPr>
        <xdr:cNvSpPr txBox="1">
          <a:spLocks noChangeArrowheads="1"/>
        </xdr:cNvSpPr>
      </xdr:nvSpPr>
      <xdr:spPr bwMode="auto">
        <a:xfrm>
          <a:off x="3901109" y="304882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945" name="Text Box 12">
          <a:extLst>
            <a:ext uri="{FF2B5EF4-FFF2-40B4-BE49-F238E27FC236}">
              <a16:creationId xmlns:a16="http://schemas.microsoft.com/office/drawing/2014/main" id="{00000000-0008-0000-0100-0000B1030000}"/>
            </a:ext>
          </a:extLst>
        </xdr:cNvPr>
        <xdr:cNvSpPr txBox="1">
          <a:spLocks noChangeArrowheads="1"/>
        </xdr:cNvSpPr>
      </xdr:nvSpPr>
      <xdr:spPr bwMode="auto">
        <a:xfrm>
          <a:off x="3901109" y="304882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946" name="Text Box 1">
          <a:extLst>
            <a:ext uri="{FF2B5EF4-FFF2-40B4-BE49-F238E27FC236}">
              <a16:creationId xmlns:a16="http://schemas.microsoft.com/office/drawing/2014/main" id="{00000000-0008-0000-0100-0000B2030000}"/>
            </a:ext>
          </a:extLst>
        </xdr:cNvPr>
        <xdr:cNvSpPr txBox="1">
          <a:spLocks noChangeArrowheads="1"/>
        </xdr:cNvSpPr>
      </xdr:nvSpPr>
      <xdr:spPr bwMode="auto">
        <a:xfrm>
          <a:off x="4580283" y="30488282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947" name="Text Box 1">
          <a:extLst>
            <a:ext uri="{FF2B5EF4-FFF2-40B4-BE49-F238E27FC236}">
              <a16:creationId xmlns:a16="http://schemas.microsoft.com/office/drawing/2014/main" id="{00000000-0008-0000-0100-0000B3030000}"/>
            </a:ext>
          </a:extLst>
        </xdr:cNvPr>
        <xdr:cNvSpPr txBox="1">
          <a:spLocks noChangeArrowheads="1"/>
        </xdr:cNvSpPr>
      </xdr:nvSpPr>
      <xdr:spPr bwMode="auto">
        <a:xfrm>
          <a:off x="4580283" y="30488282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948" name="Text Box 1">
          <a:extLst>
            <a:ext uri="{FF2B5EF4-FFF2-40B4-BE49-F238E27FC236}">
              <a16:creationId xmlns:a16="http://schemas.microsoft.com/office/drawing/2014/main" id="{00000000-0008-0000-0100-0000B4030000}"/>
            </a:ext>
          </a:extLst>
        </xdr:cNvPr>
        <xdr:cNvSpPr txBox="1">
          <a:spLocks noChangeArrowheads="1"/>
        </xdr:cNvSpPr>
      </xdr:nvSpPr>
      <xdr:spPr bwMode="auto">
        <a:xfrm>
          <a:off x="4580283" y="30488282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949" name="Text Box 1">
          <a:extLst>
            <a:ext uri="{FF2B5EF4-FFF2-40B4-BE49-F238E27FC236}">
              <a16:creationId xmlns:a16="http://schemas.microsoft.com/office/drawing/2014/main" id="{00000000-0008-0000-0100-0000B5030000}"/>
            </a:ext>
          </a:extLst>
        </xdr:cNvPr>
        <xdr:cNvSpPr txBox="1">
          <a:spLocks noChangeArrowheads="1"/>
        </xdr:cNvSpPr>
      </xdr:nvSpPr>
      <xdr:spPr bwMode="auto">
        <a:xfrm>
          <a:off x="4580283" y="30488282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50" name="Text Box 5">
          <a:extLst>
            <a:ext uri="{FF2B5EF4-FFF2-40B4-BE49-F238E27FC236}">
              <a16:creationId xmlns:a16="http://schemas.microsoft.com/office/drawing/2014/main" id="{00000000-0008-0000-0100-0000B6030000}"/>
            </a:ext>
          </a:extLst>
        </xdr:cNvPr>
        <xdr:cNvSpPr txBox="1">
          <a:spLocks noChangeArrowheads="1"/>
        </xdr:cNvSpPr>
      </xdr:nvSpPr>
      <xdr:spPr bwMode="auto">
        <a:xfrm>
          <a:off x="3901109" y="315617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951" name="Text Box 6">
          <a:extLst>
            <a:ext uri="{FF2B5EF4-FFF2-40B4-BE49-F238E27FC236}">
              <a16:creationId xmlns:a16="http://schemas.microsoft.com/office/drawing/2014/main" id="{00000000-0008-0000-0100-0000B7030000}"/>
            </a:ext>
          </a:extLst>
        </xdr:cNvPr>
        <xdr:cNvSpPr txBox="1">
          <a:spLocks noChangeArrowheads="1"/>
        </xdr:cNvSpPr>
      </xdr:nvSpPr>
      <xdr:spPr bwMode="auto">
        <a:xfrm>
          <a:off x="3901109" y="31561708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52" name="Text Box 16">
          <a:extLst>
            <a:ext uri="{FF2B5EF4-FFF2-40B4-BE49-F238E27FC236}">
              <a16:creationId xmlns:a16="http://schemas.microsoft.com/office/drawing/2014/main" id="{00000000-0008-0000-0100-0000B8030000}"/>
            </a:ext>
          </a:extLst>
        </xdr:cNvPr>
        <xdr:cNvSpPr txBox="1">
          <a:spLocks noChangeArrowheads="1"/>
        </xdr:cNvSpPr>
      </xdr:nvSpPr>
      <xdr:spPr bwMode="auto">
        <a:xfrm>
          <a:off x="3901109" y="315617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53" name="Text Box 17">
          <a:extLst>
            <a:ext uri="{FF2B5EF4-FFF2-40B4-BE49-F238E27FC236}">
              <a16:creationId xmlns:a16="http://schemas.microsoft.com/office/drawing/2014/main" id="{00000000-0008-0000-0100-0000B9030000}"/>
            </a:ext>
          </a:extLst>
        </xdr:cNvPr>
        <xdr:cNvSpPr txBox="1">
          <a:spLocks noChangeArrowheads="1"/>
        </xdr:cNvSpPr>
      </xdr:nvSpPr>
      <xdr:spPr bwMode="auto">
        <a:xfrm>
          <a:off x="3901109" y="315617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54" name="Text Box 18">
          <a:extLst>
            <a:ext uri="{FF2B5EF4-FFF2-40B4-BE49-F238E27FC236}">
              <a16:creationId xmlns:a16="http://schemas.microsoft.com/office/drawing/2014/main" id="{00000000-0008-0000-0100-0000BA030000}"/>
            </a:ext>
          </a:extLst>
        </xdr:cNvPr>
        <xdr:cNvSpPr txBox="1">
          <a:spLocks noChangeArrowheads="1"/>
        </xdr:cNvSpPr>
      </xdr:nvSpPr>
      <xdr:spPr bwMode="auto">
        <a:xfrm>
          <a:off x="3901109" y="315617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55" name="Text Box 19">
          <a:extLst>
            <a:ext uri="{FF2B5EF4-FFF2-40B4-BE49-F238E27FC236}">
              <a16:creationId xmlns:a16="http://schemas.microsoft.com/office/drawing/2014/main" id="{00000000-0008-0000-0100-0000BB030000}"/>
            </a:ext>
          </a:extLst>
        </xdr:cNvPr>
        <xdr:cNvSpPr txBox="1">
          <a:spLocks noChangeArrowheads="1"/>
        </xdr:cNvSpPr>
      </xdr:nvSpPr>
      <xdr:spPr bwMode="auto">
        <a:xfrm>
          <a:off x="3901109" y="315617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56" name="Text Box 20">
          <a:extLst>
            <a:ext uri="{FF2B5EF4-FFF2-40B4-BE49-F238E27FC236}">
              <a16:creationId xmlns:a16="http://schemas.microsoft.com/office/drawing/2014/main" id="{00000000-0008-0000-0100-0000BC030000}"/>
            </a:ext>
          </a:extLst>
        </xdr:cNvPr>
        <xdr:cNvSpPr txBox="1">
          <a:spLocks noChangeArrowheads="1"/>
        </xdr:cNvSpPr>
      </xdr:nvSpPr>
      <xdr:spPr bwMode="auto">
        <a:xfrm>
          <a:off x="3901109" y="315617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57" name="Text Box 21">
          <a:extLst>
            <a:ext uri="{FF2B5EF4-FFF2-40B4-BE49-F238E27FC236}">
              <a16:creationId xmlns:a16="http://schemas.microsoft.com/office/drawing/2014/main" id="{00000000-0008-0000-0100-0000BD030000}"/>
            </a:ext>
          </a:extLst>
        </xdr:cNvPr>
        <xdr:cNvSpPr txBox="1">
          <a:spLocks noChangeArrowheads="1"/>
        </xdr:cNvSpPr>
      </xdr:nvSpPr>
      <xdr:spPr bwMode="auto">
        <a:xfrm>
          <a:off x="3901109" y="315617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958" name="Text Box 22">
          <a:extLst>
            <a:ext uri="{FF2B5EF4-FFF2-40B4-BE49-F238E27FC236}">
              <a16:creationId xmlns:a16="http://schemas.microsoft.com/office/drawing/2014/main" id="{00000000-0008-0000-0100-0000BE030000}"/>
            </a:ext>
          </a:extLst>
        </xdr:cNvPr>
        <xdr:cNvSpPr txBox="1">
          <a:spLocks noChangeArrowheads="1"/>
        </xdr:cNvSpPr>
      </xdr:nvSpPr>
      <xdr:spPr bwMode="auto">
        <a:xfrm>
          <a:off x="3901109" y="31561708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959" name="Text Box 1">
          <a:extLst>
            <a:ext uri="{FF2B5EF4-FFF2-40B4-BE49-F238E27FC236}">
              <a16:creationId xmlns:a16="http://schemas.microsoft.com/office/drawing/2014/main" id="{00000000-0008-0000-0100-0000BF030000}"/>
            </a:ext>
          </a:extLst>
        </xdr:cNvPr>
        <xdr:cNvSpPr txBox="1">
          <a:spLocks noChangeArrowheads="1"/>
        </xdr:cNvSpPr>
      </xdr:nvSpPr>
      <xdr:spPr bwMode="auto">
        <a:xfrm>
          <a:off x="4580283" y="31561708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960" name="Text Box 1">
          <a:extLst>
            <a:ext uri="{FF2B5EF4-FFF2-40B4-BE49-F238E27FC236}">
              <a16:creationId xmlns:a16="http://schemas.microsoft.com/office/drawing/2014/main" id="{00000000-0008-0000-0100-0000C0030000}"/>
            </a:ext>
          </a:extLst>
        </xdr:cNvPr>
        <xdr:cNvSpPr txBox="1">
          <a:spLocks noChangeArrowheads="1"/>
        </xdr:cNvSpPr>
      </xdr:nvSpPr>
      <xdr:spPr bwMode="auto">
        <a:xfrm>
          <a:off x="4580283" y="31561708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961" name="Text Box 1">
          <a:extLst>
            <a:ext uri="{FF2B5EF4-FFF2-40B4-BE49-F238E27FC236}">
              <a16:creationId xmlns:a16="http://schemas.microsoft.com/office/drawing/2014/main" id="{00000000-0008-0000-0100-0000C1030000}"/>
            </a:ext>
          </a:extLst>
        </xdr:cNvPr>
        <xdr:cNvSpPr txBox="1">
          <a:spLocks noChangeArrowheads="1"/>
        </xdr:cNvSpPr>
      </xdr:nvSpPr>
      <xdr:spPr bwMode="auto">
        <a:xfrm>
          <a:off x="4580283" y="31561708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962" name="Text Box 1">
          <a:extLst>
            <a:ext uri="{FF2B5EF4-FFF2-40B4-BE49-F238E27FC236}">
              <a16:creationId xmlns:a16="http://schemas.microsoft.com/office/drawing/2014/main" id="{00000000-0008-0000-0100-0000C2030000}"/>
            </a:ext>
          </a:extLst>
        </xdr:cNvPr>
        <xdr:cNvSpPr txBox="1">
          <a:spLocks noChangeArrowheads="1"/>
        </xdr:cNvSpPr>
      </xdr:nvSpPr>
      <xdr:spPr bwMode="auto">
        <a:xfrm>
          <a:off x="4580283" y="31561708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63" name="Text Box 5">
          <a:extLst>
            <a:ext uri="{FF2B5EF4-FFF2-40B4-BE49-F238E27FC236}">
              <a16:creationId xmlns:a16="http://schemas.microsoft.com/office/drawing/2014/main" id="{00000000-0008-0000-0100-0000C3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64" name="Text Box 6">
          <a:extLst>
            <a:ext uri="{FF2B5EF4-FFF2-40B4-BE49-F238E27FC236}">
              <a16:creationId xmlns:a16="http://schemas.microsoft.com/office/drawing/2014/main" id="{00000000-0008-0000-0100-0000C4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65" name="Text Box 7">
          <a:extLst>
            <a:ext uri="{FF2B5EF4-FFF2-40B4-BE49-F238E27FC236}">
              <a16:creationId xmlns:a16="http://schemas.microsoft.com/office/drawing/2014/main" id="{00000000-0008-0000-0100-0000C5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66" name="Text Box 8">
          <a:extLst>
            <a:ext uri="{FF2B5EF4-FFF2-40B4-BE49-F238E27FC236}">
              <a16:creationId xmlns:a16="http://schemas.microsoft.com/office/drawing/2014/main" id="{00000000-0008-0000-0100-0000C6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67" name="Text Box 9">
          <a:extLst>
            <a:ext uri="{FF2B5EF4-FFF2-40B4-BE49-F238E27FC236}">
              <a16:creationId xmlns:a16="http://schemas.microsoft.com/office/drawing/2014/main" id="{00000000-0008-0000-0100-0000C7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68" name="Text Box 10">
          <a:extLst>
            <a:ext uri="{FF2B5EF4-FFF2-40B4-BE49-F238E27FC236}">
              <a16:creationId xmlns:a16="http://schemas.microsoft.com/office/drawing/2014/main" id="{00000000-0008-0000-0100-0000C8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69" name="Text Box 11">
          <a:extLst>
            <a:ext uri="{FF2B5EF4-FFF2-40B4-BE49-F238E27FC236}">
              <a16:creationId xmlns:a16="http://schemas.microsoft.com/office/drawing/2014/main" id="{00000000-0008-0000-0100-0000C9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0" name="Text Box 12">
          <a:extLst>
            <a:ext uri="{FF2B5EF4-FFF2-40B4-BE49-F238E27FC236}">
              <a16:creationId xmlns:a16="http://schemas.microsoft.com/office/drawing/2014/main" id="{00000000-0008-0000-0100-0000CA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1" name="Text Box 13">
          <a:extLst>
            <a:ext uri="{FF2B5EF4-FFF2-40B4-BE49-F238E27FC236}">
              <a16:creationId xmlns:a16="http://schemas.microsoft.com/office/drawing/2014/main" id="{00000000-0008-0000-0100-0000CB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972" name="Text Box 14">
          <a:extLst>
            <a:ext uri="{FF2B5EF4-FFF2-40B4-BE49-F238E27FC236}">
              <a16:creationId xmlns:a16="http://schemas.microsoft.com/office/drawing/2014/main" id="{00000000-0008-0000-0100-0000CC030000}"/>
            </a:ext>
          </a:extLst>
        </xdr:cNvPr>
        <xdr:cNvSpPr txBox="1">
          <a:spLocks noChangeArrowheads="1"/>
        </xdr:cNvSpPr>
      </xdr:nvSpPr>
      <xdr:spPr bwMode="auto">
        <a:xfrm>
          <a:off x="3901109" y="32635134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3" name="Text Box 15">
          <a:extLst>
            <a:ext uri="{FF2B5EF4-FFF2-40B4-BE49-F238E27FC236}">
              <a16:creationId xmlns:a16="http://schemas.microsoft.com/office/drawing/2014/main" id="{00000000-0008-0000-0100-0000CD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4" name="Text Box 16">
          <a:extLst>
            <a:ext uri="{FF2B5EF4-FFF2-40B4-BE49-F238E27FC236}">
              <a16:creationId xmlns:a16="http://schemas.microsoft.com/office/drawing/2014/main" id="{00000000-0008-0000-0100-0000CE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5" name="Text Box 17">
          <a:extLst>
            <a:ext uri="{FF2B5EF4-FFF2-40B4-BE49-F238E27FC236}">
              <a16:creationId xmlns:a16="http://schemas.microsoft.com/office/drawing/2014/main" id="{00000000-0008-0000-0100-0000CF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6" name="Text Box 18">
          <a:extLst>
            <a:ext uri="{FF2B5EF4-FFF2-40B4-BE49-F238E27FC236}">
              <a16:creationId xmlns:a16="http://schemas.microsoft.com/office/drawing/2014/main" id="{00000000-0008-0000-0100-0000D0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7" name="Text Box 19">
          <a:extLst>
            <a:ext uri="{FF2B5EF4-FFF2-40B4-BE49-F238E27FC236}">
              <a16:creationId xmlns:a16="http://schemas.microsoft.com/office/drawing/2014/main" id="{00000000-0008-0000-0100-0000D1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8" name="Text Box 20">
          <a:extLst>
            <a:ext uri="{FF2B5EF4-FFF2-40B4-BE49-F238E27FC236}">
              <a16:creationId xmlns:a16="http://schemas.microsoft.com/office/drawing/2014/main" id="{00000000-0008-0000-0100-0000D2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79" name="Text Box 21">
          <a:extLst>
            <a:ext uri="{FF2B5EF4-FFF2-40B4-BE49-F238E27FC236}">
              <a16:creationId xmlns:a16="http://schemas.microsoft.com/office/drawing/2014/main" id="{00000000-0008-0000-0100-0000D3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0" name="Text Box 22">
          <a:extLst>
            <a:ext uri="{FF2B5EF4-FFF2-40B4-BE49-F238E27FC236}">
              <a16:creationId xmlns:a16="http://schemas.microsoft.com/office/drawing/2014/main" id="{00000000-0008-0000-0100-0000D4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1" name="Text Box 7">
          <a:extLst>
            <a:ext uri="{FF2B5EF4-FFF2-40B4-BE49-F238E27FC236}">
              <a16:creationId xmlns:a16="http://schemas.microsoft.com/office/drawing/2014/main" id="{00000000-0008-0000-0100-0000D5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2" name="Text Box 8">
          <a:extLst>
            <a:ext uri="{FF2B5EF4-FFF2-40B4-BE49-F238E27FC236}">
              <a16:creationId xmlns:a16="http://schemas.microsoft.com/office/drawing/2014/main" id="{00000000-0008-0000-0100-0000D6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3" name="Text Box 9">
          <a:extLst>
            <a:ext uri="{FF2B5EF4-FFF2-40B4-BE49-F238E27FC236}">
              <a16:creationId xmlns:a16="http://schemas.microsoft.com/office/drawing/2014/main" id="{00000000-0008-0000-0100-0000D7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4" name="Text Box 10">
          <a:extLst>
            <a:ext uri="{FF2B5EF4-FFF2-40B4-BE49-F238E27FC236}">
              <a16:creationId xmlns:a16="http://schemas.microsoft.com/office/drawing/2014/main" id="{00000000-0008-0000-0100-0000D8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5" name="Text Box 11">
          <a:extLst>
            <a:ext uri="{FF2B5EF4-FFF2-40B4-BE49-F238E27FC236}">
              <a16:creationId xmlns:a16="http://schemas.microsoft.com/office/drawing/2014/main" id="{00000000-0008-0000-0100-0000D9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6" name="Text Box 12">
          <a:extLst>
            <a:ext uri="{FF2B5EF4-FFF2-40B4-BE49-F238E27FC236}">
              <a16:creationId xmlns:a16="http://schemas.microsoft.com/office/drawing/2014/main" id="{00000000-0008-0000-0100-0000DA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7" name="Text Box 13">
          <a:extLst>
            <a:ext uri="{FF2B5EF4-FFF2-40B4-BE49-F238E27FC236}">
              <a16:creationId xmlns:a16="http://schemas.microsoft.com/office/drawing/2014/main" id="{00000000-0008-0000-0100-0000DB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988" name="Text Box 14">
          <a:extLst>
            <a:ext uri="{FF2B5EF4-FFF2-40B4-BE49-F238E27FC236}">
              <a16:creationId xmlns:a16="http://schemas.microsoft.com/office/drawing/2014/main" id="{00000000-0008-0000-0100-0000DC030000}"/>
            </a:ext>
          </a:extLst>
        </xdr:cNvPr>
        <xdr:cNvSpPr txBox="1">
          <a:spLocks noChangeArrowheads="1"/>
        </xdr:cNvSpPr>
      </xdr:nvSpPr>
      <xdr:spPr bwMode="auto">
        <a:xfrm>
          <a:off x="3901109" y="32635134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989" name="Text Box 15">
          <a:extLst>
            <a:ext uri="{FF2B5EF4-FFF2-40B4-BE49-F238E27FC236}">
              <a16:creationId xmlns:a16="http://schemas.microsoft.com/office/drawing/2014/main" id="{00000000-0008-0000-0100-0000DD030000}"/>
            </a:ext>
          </a:extLst>
        </xdr:cNvPr>
        <xdr:cNvSpPr txBox="1">
          <a:spLocks noChangeArrowheads="1"/>
        </xdr:cNvSpPr>
      </xdr:nvSpPr>
      <xdr:spPr bwMode="auto">
        <a:xfrm>
          <a:off x="3901109" y="3263513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990" name="Text Box 5">
          <a:extLst>
            <a:ext uri="{FF2B5EF4-FFF2-40B4-BE49-F238E27FC236}">
              <a16:creationId xmlns:a16="http://schemas.microsoft.com/office/drawing/2014/main" id="{00000000-0008-0000-0100-0000DE030000}"/>
            </a:ext>
          </a:extLst>
        </xdr:cNvPr>
        <xdr:cNvSpPr txBox="1">
          <a:spLocks noChangeArrowheads="1"/>
        </xdr:cNvSpPr>
      </xdr:nvSpPr>
      <xdr:spPr bwMode="auto">
        <a:xfrm>
          <a:off x="3901109" y="326351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991" name="Text Box 6">
          <a:extLst>
            <a:ext uri="{FF2B5EF4-FFF2-40B4-BE49-F238E27FC236}">
              <a16:creationId xmlns:a16="http://schemas.microsoft.com/office/drawing/2014/main" id="{00000000-0008-0000-0100-0000DF030000}"/>
            </a:ext>
          </a:extLst>
        </xdr:cNvPr>
        <xdr:cNvSpPr txBox="1">
          <a:spLocks noChangeArrowheads="1"/>
        </xdr:cNvSpPr>
      </xdr:nvSpPr>
      <xdr:spPr bwMode="auto">
        <a:xfrm>
          <a:off x="3901109" y="3263513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92" name="Text Box 7">
          <a:extLst>
            <a:ext uri="{FF2B5EF4-FFF2-40B4-BE49-F238E27FC236}">
              <a16:creationId xmlns:a16="http://schemas.microsoft.com/office/drawing/2014/main" id="{00000000-0008-0000-0100-0000E0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93" name="Text Box 8">
          <a:extLst>
            <a:ext uri="{FF2B5EF4-FFF2-40B4-BE49-F238E27FC236}">
              <a16:creationId xmlns:a16="http://schemas.microsoft.com/office/drawing/2014/main" id="{00000000-0008-0000-0100-0000E1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94" name="Text Box 9">
          <a:extLst>
            <a:ext uri="{FF2B5EF4-FFF2-40B4-BE49-F238E27FC236}">
              <a16:creationId xmlns:a16="http://schemas.microsoft.com/office/drawing/2014/main" id="{00000000-0008-0000-0100-0000E2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95" name="Text Box 10">
          <a:extLst>
            <a:ext uri="{FF2B5EF4-FFF2-40B4-BE49-F238E27FC236}">
              <a16:creationId xmlns:a16="http://schemas.microsoft.com/office/drawing/2014/main" id="{00000000-0008-0000-0100-0000E3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96" name="Text Box 11">
          <a:extLst>
            <a:ext uri="{FF2B5EF4-FFF2-40B4-BE49-F238E27FC236}">
              <a16:creationId xmlns:a16="http://schemas.microsoft.com/office/drawing/2014/main" id="{00000000-0008-0000-0100-0000E4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97" name="Text Box 12">
          <a:extLst>
            <a:ext uri="{FF2B5EF4-FFF2-40B4-BE49-F238E27FC236}">
              <a16:creationId xmlns:a16="http://schemas.microsoft.com/office/drawing/2014/main" id="{00000000-0008-0000-0100-0000E5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998" name="Text Box 13">
          <a:extLst>
            <a:ext uri="{FF2B5EF4-FFF2-40B4-BE49-F238E27FC236}">
              <a16:creationId xmlns:a16="http://schemas.microsoft.com/office/drawing/2014/main" id="{00000000-0008-0000-0100-0000E6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999" name="Text Box 14">
          <a:extLst>
            <a:ext uri="{FF2B5EF4-FFF2-40B4-BE49-F238E27FC236}">
              <a16:creationId xmlns:a16="http://schemas.microsoft.com/office/drawing/2014/main" id="{00000000-0008-0000-0100-0000E7030000}"/>
            </a:ext>
          </a:extLst>
        </xdr:cNvPr>
        <xdr:cNvSpPr txBox="1">
          <a:spLocks noChangeArrowheads="1"/>
        </xdr:cNvSpPr>
      </xdr:nvSpPr>
      <xdr:spPr bwMode="auto">
        <a:xfrm>
          <a:off x="3901109" y="32635134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00" name="Text Box 15">
          <a:extLst>
            <a:ext uri="{FF2B5EF4-FFF2-40B4-BE49-F238E27FC236}">
              <a16:creationId xmlns:a16="http://schemas.microsoft.com/office/drawing/2014/main" id="{00000000-0008-0000-0100-0000E8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01" name="Text Box 16">
          <a:extLst>
            <a:ext uri="{FF2B5EF4-FFF2-40B4-BE49-F238E27FC236}">
              <a16:creationId xmlns:a16="http://schemas.microsoft.com/office/drawing/2014/main" id="{00000000-0008-0000-0100-0000E9030000}"/>
            </a:ext>
          </a:extLst>
        </xdr:cNvPr>
        <xdr:cNvSpPr txBox="1">
          <a:spLocks noChangeArrowheads="1"/>
        </xdr:cNvSpPr>
      </xdr:nvSpPr>
      <xdr:spPr bwMode="auto">
        <a:xfrm>
          <a:off x="3901109" y="326351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02" name="Text Box 17">
          <a:extLst>
            <a:ext uri="{FF2B5EF4-FFF2-40B4-BE49-F238E27FC236}">
              <a16:creationId xmlns:a16="http://schemas.microsoft.com/office/drawing/2014/main" id="{00000000-0008-0000-0100-0000EA030000}"/>
            </a:ext>
          </a:extLst>
        </xdr:cNvPr>
        <xdr:cNvSpPr txBox="1">
          <a:spLocks noChangeArrowheads="1"/>
        </xdr:cNvSpPr>
      </xdr:nvSpPr>
      <xdr:spPr bwMode="auto">
        <a:xfrm>
          <a:off x="3901109" y="326351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03" name="Text Box 18">
          <a:extLst>
            <a:ext uri="{FF2B5EF4-FFF2-40B4-BE49-F238E27FC236}">
              <a16:creationId xmlns:a16="http://schemas.microsoft.com/office/drawing/2014/main" id="{00000000-0008-0000-0100-0000EB030000}"/>
            </a:ext>
          </a:extLst>
        </xdr:cNvPr>
        <xdr:cNvSpPr txBox="1">
          <a:spLocks noChangeArrowheads="1"/>
        </xdr:cNvSpPr>
      </xdr:nvSpPr>
      <xdr:spPr bwMode="auto">
        <a:xfrm>
          <a:off x="3901109" y="326351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04" name="Text Box 19">
          <a:extLst>
            <a:ext uri="{FF2B5EF4-FFF2-40B4-BE49-F238E27FC236}">
              <a16:creationId xmlns:a16="http://schemas.microsoft.com/office/drawing/2014/main" id="{00000000-0008-0000-0100-0000EC030000}"/>
            </a:ext>
          </a:extLst>
        </xdr:cNvPr>
        <xdr:cNvSpPr txBox="1">
          <a:spLocks noChangeArrowheads="1"/>
        </xdr:cNvSpPr>
      </xdr:nvSpPr>
      <xdr:spPr bwMode="auto">
        <a:xfrm>
          <a:off x="3901109" y="326351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05" name="Text Box 20">
          <a:extLst>
            <a:ext uri="{FF2B5EF4-FFF2-40B4-BE49-F238E27FC236}">
              <a16:creationId xmlns:a16="http://schemas.microsoft.com/office/drawing/2014/main" id="{00000000-0008-0000-0100-0000ED030000}"/>
            </a:ext>
          </a:extLst>
        </xdr:cNvPr>
        <xdr:cNvSpPr txBox="1">
          <a:spLocks noChangeArrowheads="1"/>
        </xdr:cNvSpPr>
      </xdr:nvSpPr>
      <xdr:spPr bwMode="auto">
        <a:xfrm>
          <a:off x="3901109" y="326351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06" name="Text Box 21">
          <a:extLst>
            <a:ext uri="{FF2B5EF4-FFF2-40B4-BE49-F238E27FC236}">
              <a16:creationId xmlns:a16="http://schemas.microsoft.com/office/drawing/2014/main" id="{00000000-0008-0000-0100-0000EE030000}"/>
            </a:ext>
          </a:extLst>
        </xdr:cNvPr>
        <xdr:cNvSpPr txBox="1">
          <a:spLocks noChangeArrowheads="1"/>
        </xdr:cNvSpPr>
      </xdr:nvSpPr>
      <xdr:spPr bwMode="auto">
        <a:xfrm>
          <a:off x="3901109" y="3263513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007" name="Text Box 22">
          <a:extLst>
            <a:ext uri="{FF2B5EF4-FFF2-40B4-BE49-F238E27FC236}">
              <a16:creationId xmlns:a16="http://schemas.microsoft.com/office/drawing/2014/main" id="{00000000-0008-0000-0100-0000EF030000}"/>
            </a:ext>
          </a:extLst>
        </xdr:cNvPr>
        <xdr:cNvSpPr txBox="1">
          <a:spLocks noChangeArrowheads="1"/>
        </xdr:cNvSpPr>
      </xdr:nvSpPr>
      <xdr:spPr bwMode="auto">
        <a:xfrm>
          <a:off x="3901109" y="3263513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08" name="Text Box 7">
          <a:extLst>
            <a:ext uri="{FF2B5EF4-FFF2-40B4-BE49-F238E27FC236}">
              <a16:creationId xmlns:a16="http://schemas.microsoft.com/office/drawing/2014/main" id="{00000000-0008-0000-0100-0000F0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09" name="Text Box 8">
          <a:extLst>
            <a:ext uri="{FF2B5EF4-FFF2-40B4-BE49-F238E27FC236}">
              <a16:creationId xmlns:a16="http://schemas.microsoft.com/office/drawing/2014/main" id="{00000000-0008-0000-0100-0000F1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10" name="Text Box 9">
          <a:extLst>
            <a:ext uri="{FF2B5EF4-FFF2-40B4-BE49-F238E27FC236}">
              <a16:creationId xmlns:a16="http://schemas.microsoft.com/office/drawing/2014/main" id="{00000000-0008-0000-0100-0000F2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11" name="Text Box 10">
          <a:extLst>
            <a:ext uri="{FF2B5EF4-FFF2-40B4-BE49-F238E27FC236}">
              <a16:creationId xmlns:a16="http://schemas.microsoft.com/office/drawing/2014/main" id="{00000000-0008-0000-0100-0000F3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12" name="Text Box 11">
          <a:extLst>
            <a:ext uri="{FF2B5EF4-FFF2-40B4-BE49-F238E27FC236}">
              <a16:creationId xmlns:a16="http://schemas.microsoft.com/office/drawing/2014/main" id="{00000000-0008-0000-0100-0000F4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13" name="Text Box 12">
          <a:extLst>
            <a:ext uri="{FF2B5EF4-FFF2-40B4-BE49-F238E27FC236}">
              <a16:creationId xmlns:a16="http://schemas.microsoft.com/office/drawing/2014/main" id="{00000000-0008-0000-0100-0000F5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14" name="Text Box 13">
          <a:extLst>
            <a:ext uri="{FF2B5EF4-FFF2-40B4-BE49-F238E27FC236}">
              <a16:creationId xmlns:a16="http://schemas.microsoft.com/office/drawing/2014/main" id="{00000000-0008-0000-0100-0000F6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015" name="Text Box 14">
          <a:extLst>
            <a:ext uri="{FF2B5EF4-FFF2-40B4-BE49-F238E27FC236}">
              <a16:creationId xmlns:a16="http://schemas.microsoft.com/office/drawing/2014/main" id="{00000000-0008-0000-0100-0000F7030000}"/>
            </a:ext>
          </a:extLst>
        </xdr:cNvPr>
        <xdr:cNvSpPr txBox="1">
          <a:spLocks noChangeArrowheads="1"/>
        </xdr:cNvSpPr>
      </xdr:nvSpPr>
      <xdr:spPr bwMode="auto">
        <a:xfrm>
          <a:off x="3901109" y="32635134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16" name="Text Box 15">
          <a:extLst>
            <a:ext uri="{FF2B5EF4-FFF2-40B4-BE49-F238E27FC236}">
              <a16:creationId xmlns:a16="http://schemas.microsoft.com/office/drawing/2014/main" id="{00000000-0008-0000-0100-0000F8030000}"/>
            </a:ext>
          </a:extLst>
        </xdr:cNvPr>
        <xdr:cNvSpPr txBox="1">
          <a:spLocks noChangeArrowheads="1"/>
        </xdr:cNvSpPr>
      </xdr:nvSpPr>
      <xdr:spPr bwMode="auto">
        <a:xfrm>
          <a:off x="3901109" y="3263513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17" name="Text Box 5">
          <a:extLst>
            <a:ext uri="{FF2B5EF4-FFF2-40B4-BE49-F238E27FC236}">
              <a16:creationId xmlns:a16="http://schemas.microsoft.com/office/drawing/2014/main" id="{00000000-0008-0000-0100-0000F903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018" name="Text Box 6">
          <a:extLst>
            <a:ext uri="{FF2B5EF4-FFF2-40B4-BE49-F238E27FC236}">
              <a16:creationId xmlns:a16="http://schemas.microsoft.com/office/drawing/2014/main" id="{00000000-0008-0000-0100-0000FA030000}"/>
            </a:ext>
          </a:extLst>
        </xdr:cNvPr>
        <xdr:cNvSpPr txBox="1">
          <a:spLocks noChangeArrowheads="1"/>
        </xdr:cNvSpPr>
      </xdr:nvSpPr>
      <xdr:spPr bwMode="auto">
        <a:xfrm>
          <a:off x="3901109" y="32635134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19" name="Text Box 7">
          <a:extLst>
            <a:ext uri="{FF2B5EF4-FFF2-40B4-BE49-F238E27FC236}">
              <a16:creationId xmlns:a16="http://schemas.microsoft.com/office/drawing/2014/main" id="{00000000-0008-0000-0100-0000FB03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0" name="Text Box 8">
          <a:extLst>
            <a:ext uri="{FF2B5EF4-FFF2-40B4-BE49-F238E27FC236}">
              <a16:creationId xmlns:a16="http://schemas.microsoft.com/office/drawing/2014/main" id="{00000000-0008-0000-0100-0000FC03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1" name="Text Box 9">
          <a:extLst>
            <a:ext uri="{FF2B5EF4-FFF2-40B4-BE49-F238E27FC236}">
              <a16:creationId xmlns:a16="http://schemas.microsoft.com/office/drawing/2014/main" id="{00000000-0008-0000-0100-0000FD03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2" name="Text Box 10">
          <a:extLst>
            <a:ext uri="{FF2B5EF4-FFF2-40B4-BE49-F238E27FC236}">
              <a16:creationId xmlns:a16="http://schemas.microsoft.com/office/drawing/2014/main" id="{00000000-0008-0000-0100-0000FE03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3" name="Text Box 11">
          <a:extLst>
            <a:ext uri="{FF2B5EF4-FFF2-40B4-BE49-F238E27FC236}">
              <a16:creationId xmlns:a16="http://schemas.microsoft.com/office/drawing/2014/main" id="{00000000-0008-0000-0100-0000FF03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4" name="Text Box 12">
          <a:extLst>
            <a:ext uri="{FF2B5EF4-FFF2-40B4-BE49-F238E27FC236}">
              <a16:creationId xmlns:a16="http://schemas.microsoft.com/office/drawing/2014/main" id="{00000000-0008-0000-0100-000000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5" name="Text Box 13">
          <a:extLst>
            <a:ext uri="{FF2B5EF4-FFF2-40B4-BE49-F238E27FC236}">
              <a16:creationId xmlns:a16="http://schemas.microsoft.com/office/drawing/2014/main" id="{00000000-0008-0000-0100-000001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026" name="Text Box 14">
          <a:extLst>
            <a:ext uri="{FF2B5EF4-FFF2-40B4-BE49-F238E27FC236}">
              <a16:creationId xmlns:a16="http://schemas.microsoft.com/office/drawing/2014/main" id="{00000000-0008-0000-0100-000002040000}"/>
            </a:ext>
          </a:extLst>
        </xdr:cNvPr>
        <xdr:cNvSpPr txBox="1">
          <a:spLocks noChangeArrowheads="1"/>
        </xdr:cNvSpPr>
      </xdr:nvSpPr>
      <xdr:spPr bwMode="auto">
        <a:xfrm>
          <a:off x="3901109" y="32635134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7" name="Text Box 15">
          <a:extLst>
            <a:ext uri="{FF2B5EF4-FFF2-40B4-BE49-F238E27FC236}">
              <a16:creationId xmlns:a16="http://schemas.microsoft.com/office/drawing/2014/main" id="{00000000-0008-0000-0100-000003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8" name="Text Box 16">
          <a:extLst>
            <a:ext uri="{FF2B5EF4-FFF2-40B4-BE49-F238E27FC236}">
              <a16:creationId xmlns:a16="http://schemas.microsoft.com/office/drawing/2014/main" id="{00000000-0008-0000-0100-000004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29" name="Text Box 17">
          <a:extLst>
            <a:ext uri="{FF2B5EF4-FFF2-40B4-BE49-F238E27FC236}">
              <a16:creationId xmlns:a16="http://schemas.microsoft.com/office/drawing/2014/main" id="{00000000-0008-0000-0100-000005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0" name="Text Box 18">
          <a:extLst>
            <a:ext uri="{FF2B5EF4-FFF2-40B4-BE49-F238E27FC236}">
              <a16:creationId xmlns:a16="http://schemas.microsoft.com/office/drawing/2014/main" id="{00000000-0008-0000-0100-000006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1" name="Text Box 19">
          <a:extLst>
            <a:ext uri="{FF2B5EF4-FFF2-40B4-BE49-F238E27FC236}">
              <a16:creationId xmlns:a16="http://schemas.microsoft.com/office/drawing/2014/main" id="{00000000-0008-0000-0100-000007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2" name="Text Box 20">
          <a:extLst>
            <a:ext uri="{FF2B5EF4-FFF2-40B4-BE49-F238E27FC236}">
              <a16:creationId xmlns:a16="http://schemas.microsoft.com/office/drawing/2014/main" id="{00000000-0008-0000-0100-000008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3" name="Text Box 21">
          <a:extLst>
            <a:ext uri="{FF2B5EF4-FFF2-40B4-BE49-F238E27FC236}">
              <a16:creationId xmlns:a16="http://schemas.microsoft.com/office/drawing/2014/main" id="{00000000-0008-0000-0100-000009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034" name="Text Box 22">
          <a:extLst>
            <a:ext uri="{FF2B5EF4-FFF2-40B4-BE49-F238E27FC236}">
              <a16:creationId xmlns:a16="http://schemas.microsoft.com/office/drawing/2014/main" id="{00000000-0008-0000-0100-00000A040000}"/>
            </a:ext>
          </a:extLst>
        </xdr:cNvPr>
        <xdr:cNvSpPr txBox="1">
          <a:spLocks noChangeArrowheads="1"/>
        </xdr:cNvSpPr>
      </xdr:nvSpPr>
      <xdr:spPr bwMode="auto">
        <a:xfrm>
          <a:off x="3901109" y="32635134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5" name="Text Box 7">
          <a:extLst>
            <a:ext uri="{FF2B5EF4-FFF2-40B4-BE49-F238E27FC236}">
              <a16:creationId xmlns:a16="http://schemas.microsoft.com/office/drawing/2014/main" id="{00000000-0008-0000-0100-00000B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6" name="Text Box 8">
          <a:extLst>
            <a:ext uri="{FF2B5EF4-FFF2-40B4-BE49-F238E27FC236}">
              <a16:creationId xmlns:a16="http://schemas.microsoft.com/office/drawing/2014/main" id="{00000000-0008-0000-0100-00000C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7" name="Text Box 9">
          <a:extLst>
            <a:ext uri="{FF2B5EF4-FFF2-40B4-BE49-F238E27FC236}">
              <a16:creationId xmlns:a16="http://schemas.microsoft.com/office/drawing/2014/main" id="{00000000-0008-0000-0100-00000D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8" name="Text Box 10">
          <a:extLst>
            <a:ext uri="{FF2B5EF4-FFF2-40B4-BE49-F238E27FC236}">
              <a16:creationId xmlns:a16="http://schemas.microsoft.com/office/drawing/2014/main" id="{00000000-0008-0000-0100-00000E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39" name="Text Box 11">
          <a:extLst>
            <a:ext uri="{FF2B5EF4-FFF2-40B4-BE49-F238E27FC236}">
              <a16:creationId xmlns:a16="http://schemas.microsoft.com/office/drawing/2014/main" id="{00000000-0008-0000-0100-00000F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40" name="Text Box 12">
          <a:extLst>
            <a:ext uri="{FF2B5EF4-FFF2-40B4-BE49-F238E27FC236}">
              <a16:creationId xmlns:a16="http://schemas.microsoft.com/office/drawing/2014/main" id="{00000000-0008-0000-0100-000010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041" name="Text Box 13">
          <a:extLst>
            <a:ext uri="{FF2B5EF4-FFF2-40B4-BE49-F238E27FC236}">
              <a16:creationId xmlns:a16="http://schemas.microsoft.com/office/drawing/2014/main" id="{00000000-0008-0000-0100-000011040000}"/>
            </a:ext>
          </a:extLst>
        </xdr:cNvPr>
        <xdr:cNvSpPr txBox="1">
          <a:spLocks noChangeArrowheads="1"/>
        </xdr:cNvSpPr>
      </xdr:nvSpPr>
      <xdr:spPr bwMode="auto">
        <a:xfrm>
          <a:off x="3901109" y="32635134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042" name="Text Box 14">
          <a:extLst>
            <a:ext uri="{FF2B5EF4-FFF2-40B4-BE49-F238E27FC236}">
              <a16:creationId xmlns:a16="http://schemas.microsoft.com/office/drawing/2014/main" id="{00000000-0008-0000-0100-000012040000}"/>
            </a:ext>
          </a:extLst>
        </xdr:cNvPr>
        <xdr:cNvSpPr txBox="1">
          <a:spLocks noChangeArrowheads="1"/>
        </xdr:cNvSpPr>
      </xdr:nvSpPr>
      <xdr:spPr bwMode="auto">
        <a:xfrm>
          <a:off x="3901109" y="32635134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043" name="Text Box 5">
          <a:extLst>
            <a:ext uri="{FF2B5EF4-FFF2-40B4-BE49-F238E27FC236}">
              <a16:creationId xmlns:a16="http://schemas.microsoft.com/office/drawing/2014/main" id="{00000000-0008-0000-0100-000013040000}"/>
            </a:ext>
          </a:extLst>
        </xdr:cNvPr>
        <xdr:cNvSpPr txBox="1">
          <a:spLocks noChangeArrowheads="1"/>
        </xdr:cNvSpPr>
      </xdr:nvSpPr>
      <xdr:spPr bwMode="auto">
        <a:xfrm>
          <a:off x="3901109" y="326351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044" name="Text Box 6">
          <a:extLst>
            <a:ext uri="{FF2B5EF4-FFF2-40B4-BE49-F238E27FC236}">
              <a16:creationId xmlns:a16="http://schemas.microsoft.com/office/drawing/2014/main" id="{00000000-0008-0000-0100-000014040000}"/>
            </a:ext>
          </a:extLst>
        </xdr:cNvPr>
        <xdr:cNvSpPr txBox="1">
          <a:spLocks noChangeArrowheads="1"/>
        </xdr:cNvSpPr>
      </xdr:nvSpPr>
      <xdr:spPr bwMode="auto">
        <a:xfrm>
          <a:off x="3901109" y="326351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045" name="Text Box 7">
          <a:extLst>
            <a:ext uri="{FF2B5EF4-FFF2-40B4-BE49-F238E27FC236}">
              <a16:creationId xmlns:a16="http://schemas.microsoft.com/office/drawing/2014/main" id="{00000000-0008-0000-0100-000015040000}"/>
            </a:ext>
          </a:extLst>
        </xdr:cNvPr>
        <xdr:cNvSpPr txBox="1">
          <a:spLocks noChangeArrowheads="1"/>
        </xdr:cNvSpPr>
      </xdr:nvSpPr>
      <xdr:spPr bwMode="auto">
        <a:xfrm>
          <a:off x="3901109" y="326351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046" name="Text Box 8">
          <a:extLst>
            <a:ext uri="{FF2B5EF4-FFF2-40B4-BE49-F238E27FC236}">
              <a16:creationId xmlns:a16="http://schemas.microsoft.com/office/drawing/2014/main" id="{00000000-0008-0000-0100-000016040000}"/>
            </a:ext>
          </a:extLst>
        </xdr:cNvPr>
        <xdr:cNvSpPr txBox="1">
          <a:spLocks noChangeArrowheads="1"/>
        </xdr:cNvSpPr>
      </xdr:nvSpPr>
      <xdr:spPr bwMode="auto">
        <a:xfrm>
          <a:off x="3901109" y="326351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047" name="Text Box 9">
          <a:extLst>
            <a:ext uri="{FF2B5EF4-FFF2-40B4-BE49-F238E27FC236}">
              <a16:creationId xmlns:a16="http://schemas.microsoft.com/office/drawing/2014/main" id="{00000000-0008-0000-0100-000017040000}"/>
            </a:ext>
          </a:extLst>
        </xdr:cNvPr>
        <xdr:cNvSpPr txBox="1">
          <a:spLocks noChangeArrowheads="1"/>
        </xdr:cNvSpPr>
      </xdr:nvSpPr>
      <xdr:spPr bwMode="auto">
        <a:xfrm>
          <a:off x="3901109" y="326351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048" name="Text Box 10">
          <a:extLst>
            <a:ext uri="{FF2B5EF4-FFF2-40B4-BE49-F238E27FC236}">
              <a16:creationId xmlns:a16="http://schemas.microsoft.com/office/drawing/2014/main" id="{00000000-0008-0000-0100-000018040000}"/>
            </a:ext>
          </a:extLst>
        </xdr:cNvPr>
        <xdr:cNvSpPr txBox="1">
          <a:spLocks noChangeArrowheads="1"/>
        </xdr:cNvSpPr>
      </xdr:nvSpPr>
      <xdr:spPr bwMode="auto">
        <a:xfrm>
          <a:off x="3901109" y="326351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049" name="Text Box 11">
          <a:extLst>
            <a:ext uri="{FF2B5EF4-FFF2-40B4-BE49-F238E27FC236}">
              <a16:creationId xmlns:a16="http://schemas.microsoft.com/office/drawing/2014/main" id="{00000000-0008-0000-0100-000019040000}"/>
            </a:ext>
          </a:extLst>
        </xdr:cNvPr>
        <xdr:cNvSpPr txBox="1">
          <a:spLocks noChangeArrowheads="1"/>
        </xdr:cNvSpPr>
      </xdr:nvSpPr>
      <xdr:spPr bwMode="auto">
        <a:xfrm>
          <a:off x="3901109" y="326351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050" name="Text Box 12">
          <a:extLst>
            <a:ext uri="{FF2B5EF4-FFF2-40B4-BE49-F238E27FC236}">
              <a16:creationId xmlns:a16="http://schemas.microsoft.com/office/drawing/2014/main" id="{00000000-0008-0000-0100-00001A040000}"/>
            </a:ext>
          </a:extLst>
        </xdr:cNvPr>
        <xdr:cNvSpPr txBox="1">
          <a:spLocks noChangeArrowheads="1"/>
        </xdr:cNvSpPr>
      </xdr:nvSpPr>
      <xdr:spPr bwMode="auto">
        <a:xfrm>
          <a:off x="3901109" y="3263513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051" name="Text Box 1">
          <a:extLst>
            <a:ext uri="{FF2B5EF4-FFF2-40B4-BE49-F238E27FC236}">
              <a16:creationId xmlns:a16="http://schemas.microsoft.com/office/drawing/2014/main" id="{00000000-0008-0000-0100-00001B040000}"/>
            </a:ext>
          </a:extLst>
        </xdr:cNvPr>
        <xdr:cNvSpPr txBox="1">
          <a:spLocks noChangeArrowheads="1"/>
        </xdr:cNvSpPr>
      </xdr:nvSpPr>
      <xdr:spPr bwMode="auto">
        <a:xfrm>
          <a:off x="4580283" y="326351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052" name="Text Box 1">
          <a:extLst>
            <a:ext uri="{FF2B5EF4-FFF2-40B4-BE49-F238E27FC236}">
              <a16:creationId xmlns:a16="http://schemas.microsoft.com/office/drawing/2014/main" id="{00000000-0008-0000-0100-00001C040000}"/>
            </a:ext>
          </a:extLst>
        </xdr:cNvPr>
        <xdr:cNvSpPr txBox="1">
          <a:spLocks noChangeArrowheads="1"/>
        </xdr:cNvSpPr>
      </xdr:nvSpPr>
      <xdr:spPr bwMode="auto">
        <a:xfrm>
          <a:off x="4580283" y="326351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053" name="Text Box 1">
          <a:extLst>
            <a:ext uri="{FF2B5EF4-FFF2-40B4-BE49-F238E27FC236}">
              <a16:creationId xmlns:a16="http://schemas.microsoft.com/office/drawing/2014/main" id="{00000000-0008-0000-0100-00001D040000}"/>
            </a:ext>
          </a:extLst>
        </xdr:cNvPr>
        <xdr:cNvSpPr txBox="1">
          <a:spLocks noChangeArrowheads="1"/>
        </xdr:cNvSpPr>
      </xdr:nvSpPr>
      <xdr:spPr bwMode="auto">
        <a:xfrm>
          <a:off x="4580283" y="326351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054" name="Text Box 1">
          <a:extLst>
            <a:ext uri="{FF2B5EF4-FFF2-40B4-BE49-F238E27FC236}">
              <a16:creationId xmlns:a16="http://schemas.microsoft.com/office/drawing/2014/main" id="{00000000-0008-0000-0100-00001E040000}"/>
            </a:ext>
          </a:extLst>
        </xdr:cNvPr>
        <xdr:cNvSpPr txBox="1">
          <a:spLocks noChangeArrowheads="1"/>
        </xdr:cNvSpPr>
      </xdr:nvSpPr>
      <xdr:spPr bwMode="auto">
        <a:xfrm>
          <a:off x="4580283" y="32635134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55" name="Text Box 5">
          <a:extLst>
            <a:ext uri="{FF2B5EF4-FFF2-40B4-BE49-F238E27FC236}">
              <a16:creationId xmlns:a16="http://schemas.microsoft.com/office/drawing/2014/main" id="{00000000-0008-0000-0100-00001F040000}"/>
            </a:ext>
          </a:extLst>
        </xdr:cNvPr>
        <xdr:cNvSpPr txBox="1">
          <a:spLocks noChangeArrowheads="1"/>
        </xdr:cNvSpPr>
      </xdr:nvSpPr>
      <xdr:spPr bwMode="auto">
        <a:xfrm>
          <a:off x="3901109" y="337085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056" name="Text Box 6">
          <a:extLst>
            <a:ext uri="{FF2B5EF4-FFF2-40B4-BE49-F238E27FC236}">
              <a16:creationId xmlns:a16="http://schemas.microsoft.com/office/drawing/2014/main" id="{00000000-0008-0000-0100-000020040000}"/>
            </a:ext>
          </a:extLst>
        </xdr:cNvPr>
        <xdr:cNvSpPr txBox="1">
          <a:spLocks noChangeArrowheads="1"/>
        </xdr:cNvSpPr>
      </xdr:nvSpPr>
      <xdr:spPr bwMode="auto">
        <a:xfrm>
          <a:off x="3901109" y="3370856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57" name="Text Box 16">
          <a:extLst>
            <a:ext uri="{FF2B5EF4-FFF2-40B4-BE49-F238E27FC236}">
              <a16:creationId xmlns:a16="http://schemas.microsoft.com/office/drawing/2014/main" id="{00000000-0008-0000-0100-000021040000}"/>
            </a:ext>
          </a:extLst>
        </xdr:cNvPr>
        <xdr:cNvSpPr txBox="1">
          <a:spLocks noChangeArrowheads="1"/>
        </xdr:cNvSpPr>
      </xdr:nvSpPr>
      <xdr:spPr bwMode="auto">
        <a:xfrm>
          <a:off x="3901109" y="337085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58" name="Text Box 17">
          <a:extLst>
            <a:ext uri="{FF2B5EF4-FFF2-40B4-BE49-F238E27FC236}">
              <a16:creationId xmlns:a16="http://schemas.microsoft.com/office/drawing/2014/main" id="{00000000-0008-0000-0100-000022040000}"/>
            </a:ext>
          </a:extLst>
        </xdr:cNvPr>
        <xdr:cNvSpPr txBox="1">
          <a:spLocks noChangeArrowheads="1"/>
        </xdr:cNvSpPr>
      </xdr:nvSpPr>
      <xdr:spPr bwMode="auto">
        <a:xfrm>
          <a:off x="3901109" y="337085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59" name="Text Box 18">
          <a:extLst>
            <a:ext uri="{FF2B5EF4-FFF2-40B4-BE49-F238E27FC236}">
              <a16:creationId xmlns:a16="http://schemas.microsoft.com/office/drawing/2014/main" id="{00000000-0008-0000-0100-000023040000}"/>
            </a:ext>
          </a:extLst>
        </xdr:cNvPr>
        <xdr:cNvSpPr txBox="1">
          <a:spLocks noChangeArrowheads="1"/>
        </xdr:cNvSpPr>
      </xdr:nvSpPr>
      <xdr:spPr bwMode="auto">
        <a:xfrm>
          <a:off x="3901109" y="337085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60" name="Text Box 19">
          <a:extLst>
            <a:ext uri="{FF2B5EF4-FFF2-40B4-BE49-F238E27FC236}">
              <a16:creationId xmlns:a16="http://schemas.microsoft.com/office/drawing/2014/main" id="{00000000-0008-0000-0100-000024040000}"/>
            </a:ext>
          </a:extLst>
        </xdr:cNvPr>
        <xdr:cNvSpPr txBox="1">
          <a:spLocks noChangeArrowheads="1"/>
        </xdr:cNvSpPr>
      </xdr:nvSpPr>
      <xdr:spPr bwMode="auto">
        <a:xfrm>
          <a:off x="3901109" y="337085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61" name="Text Box 20">
          <a:extLst>
            <a:ext uri="{FF2B5EF4-FFF2-40B4-BE49-F238E27FC236}">
              <a16:creationId xmlns:a16="http://schemas.microsoft.com/office/drawing/2014/main" id="{00000000-0008-0000-0100-000025040000}"/>
            </a:ext>
          </a:extLst>
        </xdr:cNvPr>
        <xdr:cNvSpPr txBox="1">
          <a:spLocks noChangeArrowheads="1"/>
        </xdr:cNvSpPr>
      </xdr:nvSpPr>
      <xdr:spPr bwMode="auto">
        <a:xfrm>
          <a:off x="3901109" y="337085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62" name="Text Box 21">
          <a:extLst>
            <a:ext uri="{FF2B5EF4-FFF2-40B4-BE49-F238E27FC236}">
              <a16:creationId xmlns:a16="http://schemas.microsoft.com/office/drawing/2014/main" id="{00000000-0008-0000-0100-000026040000}"/>
            </a:ext>
          </a:extLst>
        </xdr:cNvPr>
        <xdr:cNvSpPr txBox="1">
          <a:spLocks noChangeArrowheads="1"/>
        </xdr:cNvSpPr>
      </xdr:nvSpPr>
      <xdr:spPr bwMode="auto">
        <a:xfrm>
          <a:off x="3901109" y="337085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063" name="Text Box 22">
          <a:extLst>
            <a:ext uri="{FF2B5EF4-FFF2-40B4-BE49-F238E27FC236}">
              <a16:creationId xmlns:a16="http://schemas.microsoft.com/office/drawing/2014/main" id="{00000000-0008-0000-0100-000027040000}"/>
            </a:ext>
          </a:extLst>
        </xdr:cNvPr>
        <xdr:cNvSpPr txBox="1">
          <a:spLocks noChangeArrowheads="1"/>
        </xdr:cNvSpPr>
      </xdr:nvSpPr>
      <xdr:spPr bwMode="auto">
        <a:xfrm>
          <a:off x="3901109" y="3370856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064" name="Text Box 1">
          <a:extLst>
            <a:ext uri="{FF2B5EF4-FFF2-40B4-BE49-F238E27FC236}">
              <a16:creationId xmlns:a16="http://schemas.microsoft.com/office/drawing/2014/main" id="{00000000-0008-0000-0100-000028040000}"/>
            </a:ext>
          </a:extLst>
        </xdr:cNvPr>
        <xdr:cNvSpPr txBox="1">
          <a:spLocks noChangeArrowheads="1"/>
        </xdr:cNvSpPr>
      </xdr:nvSpPr>
      <xdr:spPr bwMode="auto">
        <a:xfrm>
          <a:off x="4580283" y="337085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065" name="Text Box 1">
          <a:extLst>
            <a:ext uri="{FF2B5EF4-FFF2-40B4-BE49-F238E27FC236}">
              <a16:creationId xmlns:a16="http://schemas.microsoft.com/office/drawing/2014/main" id="{00000000-0008-0000-0100-000029040000}"/>
            </a:ext>
          </a:extLst>
        </xdr:cNvPr>
        <xdr:cNvSpPr txBox="1">
          <a:spLocks noChangeArrowheads="1"/>
        </xdr:cNvSpPr>
      </xdr:nvSpPr>
      <xdr:spPr bwMode="auto">
        <a:xfrm>
          <a:off x="4580283" y="337085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066" name="Text Box 1">
          <a:extLst>
            <a:ext uri="{FF2B5EF4-FFF2-40B4-BE49-F238E27FC236}">
              <a16:creationId xmlns:a16="http://schemas.microsoft.com/office/drawing/2014/main" id="{00000000-0008-0000-0100-00002A040000}"/>
            </a:ext>
          </a:extLst>
        </xdr:cNvPr>
        <xdr:cNvSpPr txBox="1">
          <a:spLocks noChangeArrowheads="1"/>
        </xdr:cNvSpPr>
      </xdr:nvSpPr>
      <xdr:spPr bwMode="auto">
        <a:xfrm>
          <a:off x="4580283" y="337085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067" name="Text Box 1">
          <a:extLst>
            <a:ext uri="{FF2B5EF4-FFF2-40B4-BE49-F238E27FC236}">
              <a16:creationId xmlns:a16="http://schemas.microsoft.com/office/drawing/2014/main" id="{00000000-0008-0000-0100-00002B040000}"/>
            </a:ext>
          </a:extLst>
        </xdr:cNvPr>
        <xdr:cNvSpPr txBox="1">
          <a:spLocks noChangeArrowheads="1"/>
        </xdr:cNvSpPr>
      </xdr:nvSpPr>
      <xdr:spPr bwMode="auto">
        <a:xfrm>
          <a:off x="4580283" y="337085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68" name="Text Box 5">
          <a:extLst>
            <a:ext uri="{FF2B5EF4-FFF2-40B4-BE49-F238E27FC236}">
              <a16:creationId xmlns:a16="http://schemas.microsoft.com/office/drawing/2014/main" id="{00000000-0008-0000-0100-00002C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69" name="Text Box 6">
          <a:extLst>
            <a:ext uri="{FF2B5EF4-FFF2-40B4-BE49-F238E27FC236}">
              <a16:creationId xmlns:a16="http://schemas.microsoft.com/office/drawing/2014/main" id="{00000000-0008-0000-0100-00002D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0" name="Text Box 7">
          <a:extLst>
            <a:ext uri="{FF2B5EF4-FFF2-40B4-BE49-F238E27FC236}">
              <a16:creationId xmlns:a16="http://schemas.microsoft.com/office/drawing/2014/main" id="{00000000-0008-0000-0100-00002E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1" name="Text Box 8">
          <a:extLst>
            <a:ext uri="{FF2B5EF4-FFF2-40B4-BE49-F238E27FC236}">
              <a16:creationId xmlns:a16="http://schemas.microsoft.com/office/drawing/2014/main" id="{00000000-0008-0000-0100-00002F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2" name="Text Box 9">
          <a:extLst>
            <a:ext uri="{FF2B5EF4-FFF2-40B4-BE49-F238E27FC236}">
              <a16:creationId xmlns:a16="http://schemas.microsoft.com/office/drawing/2014/main" id="{00000000-0008-0000-0100-000030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3" name="Text Box 10">
          <a:extLst>
            <a:ext uri="{FF2B5EF4-FFF2-40B4-BE49-F238E27FC236}">
              <a16:creationId xmlns:a16="http://schemas.microsoft.com/office/drawing/2014/main" id="{00000000-0008-0000-0100-000031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4" name="Text Box 11">
          <a:extLst>
            <a:ext uri="{FF2B5EF4-FFF2-40B4-BE49-F238E27FC236}">
              <a16:creationId xmlns:a16="http://schemas.microsoft.com/office/drawing/2014/main" id="{00000000-0008-0000-0100-000032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5" name="Text Box 12">
          <a:extLst>
            <a:ext uri="{FF2B5EF4-FFF2-40B4-BE49-F238E27FC236}">
              <a16:creationId xmlns:a16="http://schemas.microsoft.com/office/drawing/2014/main" id="{00000000-0008-0000-0100-000033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6" name="Text Box 13">
          <a:extLst>
            <a:ext uri="{FF2B5EF4-FFF2-40B4-BE49-F238E27FC236}">
              <a16:creationId xmlns:a16="http://schemas.microsoft.com/office/drawing/2014/main" id="{00000000-0008-0000-0100-000034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077" name="Text Box 14">
          <a:extLst>
            <a:ext uri="{FF2B5EF4-FFF2-40B4-BE49-F238E27FC236}">
              <a16:creationId xmlns:a16="http://schemas.microsoft.com/office/drawing/2014/main" id="{00000000-0008-0000-0100-000035040000}"/>
            </a:ext>
          </a:extLst>
        </xdr:cNvPr>
        <xdr:cNvSpPr txBox="1">
          <a:spLocks noChangeArrowheads="1"/>
        </xdr:cNvSpPr>
      </xdr:nvSpPr>
      <xdr:spPr bwMode="auto">
        <a:xfrm>
          <a:off x="3901109" y="31927800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8" name="Text Box 15">
          <a:extLst>
            <a:ext uri="{FF2B5EF4-FFF2-40B4-BE49-F238E27FC236}">
              <a16:creationId xmlns:a16="http://schemas.microsoft.com/office/drawing/2014/main" id="{00000000-0008-0000-0100-000036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79" name="Text Box 16">
          <a:extLst>
            <a:ext uri="{FF2B5EF4-FFF2-40B4-BE49-F238E27FC236}">
              <a16:creationId xmlns:a16="http://schemas.microsoft.com/office/drawing/2014/main" id="{00000000-0008-0000-0100-000037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0" name="Text Box 17">
          <a:extLst>
            <a:ext uri="{FF2B5EF4-FFF2-40B4-BE49-F238E27FC236}">
              <a16:creationId xmlns:a16="http://schemas.microsoft.com/office/drawing/2014/main" id="{00000000-0008-0000-0100-000038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1" name="Text Box 18">
          <a:extLst>
            <a:ext uri="{FF2B5EF4-FFF2-40B4-BE49-F238E27FC236}">
              <a16:creationId xmlns:a16="http://schemas.microsoft.com/office/drawing/2014/main" id="{00000000-0008-0000-0100-000039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2" name="Text Box 19">
          <a:extLst>
            <a:ext uri="{FF2B5EF4-FFF2-40B4-BE49-F238E27FC236}">
              <a16:creationId xmlns:a16="http://schemas.microsoft.com/office/drawing/2014/main" id="{00000000-0008-0000-0100-00003A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3" name="Text Box 20">
          <a:extLst>
            <a:ext uri="{FF2B5EF4-FFF2-40B4-BE49-F238E27FC236}">
              <a16:creationId xmlns:a16="http://schemas.microsoft.com/office/drawing/2014/main" id="{00000000-0008-0000-0100-00003B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4" name="Text Box 21">
          <a:extLst>
            <a:ext uri="{FF2B5EF4-FFF2-40B4-BE49-F238E27FC236}">
              <a16:creationId xmlns:a16="http://schemas.microsoft.com/office/drawing/2014/main" id="{00000000-0008-0000-0100-00003C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5" name="Text Box 22">
          <a:extLst>
            <a:ext uri="{FF2B5EF4-FFF2-40B4-BE49-F238E27FC236}">
              <a16:creationId xmlns:a16="http://schemas.microsoft.com/office/drawing/2014/main" id="{00000000-0008-0000-0100-00003D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6" name="Text Box 7">
          <a:extLst>
            <a:ext uri="{FF2B5EF4-FFF2-40B4-BE49-F238E27FC236}">
              <a16:creationId xmlns:a16="http://schemas.microsoft.com/office/drawing/2014/main" id="{00000000-0008-0000-0100-00003E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7" name="Text Box 8">
          <a:extLst>
            <a:ext uri="{FF2B5EF4-FFF2-40B4-BE49-F238E27FC236}">
              <a16:creationId xmlns:a16="http://schemas.microsoft.com/office/drawing/2014/main" id="{00000000-0008-0000-0100-00003F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8" name="Text Box 9">
          <a:extLst>
            <a:ext uri="{FF2B5EF4-FFF2-40B4-BE49-F238E27FC236}">
              <a16:creationId xmlns:a16="http://schemas.microsoft.com/office/drawing/2014/main" id="{00000000-0008-0000-0100-000040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89" name="Text Box 10">
          <a:extLst>
            <a:ext uri="{FF2B5EF4-FFF2-40B4-BE49-F238E27FC236}">
              <a16:creationId xmlns:a16="http://schemas.microsoft.com/office/drawing/2014/main" id="{00000000-0008-0000-0100-000041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90" name="Text Box 11">
          <a:extLst>
            <a:ext uri="{FF2B5EF4-FFF2-40B4-BE49-F238E27FC236}">
              <a16:creationId xmlns:a16="http://schemas.microsoft.com/office/drawing/2014/main" id="{00000000-0008-0000-0100-000042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91" name="Text Box 12">
          <a:extLst>
            <a:ext uri="{FF2B5EF4-FFF2-40B4-BE49-F238E27FC236}">
              <a16:creationId xmlns:a16="http://schemas.microsoft.com/office/drawing/2014/main" id="{00000000-0008-0000-0100-000043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92" name="Text Box 13">
          <a:extLst>
            <a:ext uri="{FF2B5EF4-FFF2-40B4-BE49-F238E27FC236}">
              <a16:creationId xmlns:a16="http://schemas.microsoft.com/office/drawing/2014/main" id="{00000000-0008-0000-0100-000044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093" name="Text Box 14">
          <a:extLst>
            <a:ext uri="{FF2B5EF4-FFF2-40B4-BE49-F238E27FC236}">
              <a16:creationId xmlns:a16="http://schemas.microsoft.com/office/drawing/2014/main" id="{00000000-0008-0000-0100-000045040000}"/>
            </a:ext>
          </a:extLst>
        </xdr:cNvPr>
        <xdr:cNvSpPr txBox="1">
          <a:spLocks noChangeArrowheads="1"/>
        </xdr:cNvSpPr>
      </xdr:nvSpPr>
      <xdr:spPr bwMode="auto">
        <a:xfrm>
          <a:off x="3901109" y="31927800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094" name="Text Box 15">
          <a:extLst>
            <a:ext uri="{FF2B5EF4-FFF2-40B4-BE49-F238E27FC236}">
              <a16:creationId xmlns:a16="http://schemas.microsoft.com/office/drawing/2014/main" id="{00000000-0008-0000-0100-000046040000}"/>
            </a:ext>
          </a:extLst>
        </xdr:cNvPr>
        <xdr:cNvSpPr txBox="1">
          <a:spLocks noChangeArrowheads="1"/>
        </xdr:cNvSpPr>
      </xdr:nvSpPr>
      <xdr:spPr bwMode="auto">
        <a:xfrm>
          <a:off x="3901109" y="3192780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095" name="Text Box 5">
          <a:extLst>
            <a:ext uri="{FF2B5EF4-FFF2-40B4-BE49-F238E27FC236}">
              <a16:creationId xmlns:a16="http://schemas.microsoft.com/office/drawing/2014/main" id="{00000000-0008-0000-0100-000047040000}"/>
            </a:ext>
          </a:extLst>
        </xdr:cNvPr>
        <xdr:cNvSpPr txBox="1">
          <a:spLocks noChangeArrowheads="1"/>
        </xdr:cNvSpPr>
      </xdr:nvSpPr>
      <xdr:spPr bwMode="auto">
        <a:xfrm>
          <a:off x="3901109" y="3192780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096" name="Text Box 6">
          <a:extLst>
            <a:ext uri="{FF2B5EF4-FFF2-40B4-BE49-F238E27FC236}">
              <a16:creationId xmlns:a16="http://schemas.microsoft.com/office/drawing/2014/main" id="{00000000-0008-0000-0100-000048040000}"/>
            </a:ext>
          </a:extLst>
        </xdr:cNvPr>
        <xdr:cNvSpPr txBox="1">
          <a:spLocks noChangeArrowheads="1"/>
        </xdr:cNvSpPr>
      </xdr:nvSpPr>
      <xdr:spPr bwMode="auto">
        <a:xfrm>
          <a:off x="3901109" y="31927800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97" name="Text Box 7">
          <a:extLst>
            <a:ext uri="{FF2B5EF4-FFF2-40B4-BE49-F238E27FC236}">
              <a16:creationId xmlns:a16="http://schemas.microsoft.com/office/drawing/2014/main" id="{00000000-0008-0000-0100-000049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98" name="Text Box 8">
          <a:extLst>
            <a:ext uri="{FF2B5EF4-FFF2-40B4-BE49-F238E27FC236}">
              <a16:creationId xmlns:a16="http://schemas.microsoft.com/office/drawing/2014/main" id="{00000000-0008-0000-0100-00004A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099" name="Text Box 9">
          <a:extLst>
            <a:ext uri="{FF2B5EF4-FFF2-40B4-BE49-F238E27FC236}">
              <a16:creationId xmlns:a16="http://schemas.microsoft.com/office/drawing/2014/main" id="{00000000-0008-0000-0100-00004B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00" name="Text Box 10">
          <a:extLst>
            <a:ext uri="{FF2B5EF4-FFF2-40B4-BE49-F238E27FC236}">
              <a16:creationId xmlns:a16="http://schemas.microsoft.com/office/drawing/2014/main" id="{00000000-0008-0000-0100-00004C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01" name="Text Box 11">
          <a:extLst>
            <a:ext uri="{FF2B5EF4-FFF2-40B4-BE49-F238E27FC236}">
              <a16:creationId xmlns:a16="http://schemas.microsoft.com/office/drawing/2014/main" id="{00000000-0008-0000-0100-00004D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02" name="Text Box 12">
          <a:extLst>
            <a:ext uri="{FF2B5EF4-FFF2-40B4-BE49-F238E27FC236}">
              <a16:creationId xmlns:a16="http://schemas.microsoft.com/office/drawing/2014/main" id="{00000000-0008-0000-0100-00004E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03" name="Text Box 13">
          <a:extLst>
            <a:ext uri="{FF2B5EF4-FFF2-40B4-BE49-F238E27FC236}">
              <a16:creationId xmlns:a16="http://schemas.microsoft.com/office/drawing/2014/main" id="{00000000-0008-0000-0100-00004F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104" name="Text Box 14">
          <a:extLst>
            <a:ext uri="{FF2B5EF4-FFF2-40B4-BE49-F238E27FC236}">
              <a16:creationId xmlns:a16="http://schemas.microsoft.com/office/drawing/2014/main" id="{00000000-0008-0000-0100-000050040000}"/>
            </a:ext>
          </a:extLst>
        </xdr:cNvPr>
        <xdr:cNvSpPr txBox="1">
          <a:spLocks noChangeArrowheads="1"/>
        </xdr:cNvSpPr>
      </xdr:nvSpPr>
      <xdr:spPr bwMode="auto">
        <a:xfrm>
          <a:off x="3901109" y="31927800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05" name="Text Box 15">
          <a:extLst>
            <a:ext uri="{FF2B5EF4-FFF2-40B4-BE49-F238E27FC236}">
              <a16:creationId xmlns:a16="http://schemas.microsoft.com/office/drawing/2014/main" id="{00000000-0008-0000-0100-000051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06" name="Text Box 16">
          <a:extLst>
            <a:ext uri="{FF2B5EF4-FFF2-40B4-BE49-F238E27FC236}">
              <a16:creationId xmlns:a16="http://schemas.microsoft.com/office/drawing/2014/main" id="{00000000-0008-0000-0100-000052040000}"/>
            </a:ext>
          </a:extLst>
        </xdr:cNvPr>
        <xdr:cNvSpPr txBox="1">
          <a:spLocks noChangeArrowheads="1"/>
        </xdr:cNvSpPr>
      </xdr:nvSpPr>
      <xdr:spPr bwMode="auto">
        <a:xfrm>
          <a:off x="3901109" y="3192780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07" name="Text Box 17">
          <a:extLst>
            <a:ext uri="{FF2B5EF4-FFF2-40B4-BE49-F238E27FC236}">
              <a16:creationId xmlns:a16="http://schemas.microsoft.com/office/drawing/2014/main" id="{00000000-0008-0000-0100-000053040000}"/>
            </a:ext>
          </a:extLst>
        </xdr:cNvPr>
        <xdr:cNvSpPr txBox="1">
          <a:spLocks noChangeArrowheads="1"/>
        </xdr:cNvSpPr>
      </xdr:nvSpPr>
      <xdr:spPr bwMode="auto">
        <a:xfrm>
          <a:off x="3901109" y="3192780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08" name="Text Box 18">
          <a:extLst>
            <a:ext uri="{FF2B5EF4-FFF2-40B4-BE49-F238E27FC236}">
              <a16:creationId xmlns:a16="http://schemas.microsoft.com/office/drawing/2014/main" id="{00000000-0008-0000-0100-000054040000}"/>
            </a:ext>
          </a:extLst>
        </xdr:cNvPr>
        <xdr:cNvSpPr txBox="1">
          <a:spLocks noChangeArrowheads="1"/>
        </xdr:cNvSpPr>
      </xdr:nvSpPr>
      <xdr:spPr bwMode="auto">
        <a:xfrm>
          <a:off x="3901109" y="3192780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09" name="Text Box 19">
          <a:extLst>
            <a:ext uri="{FF2B5EF4-FFF2-40B4-BE49-F238E27FC236}">
              <a16:creationId xmlns:a16="http://schemas.microsoft.com/office/drawing/2014/main" id="{00000000-0008-0000-0100-000055040000}"/>
            </a:ext>
          </a:extLst>
        </xdr:cNvPr>
        <xdr:cNvSpPr txBox="1">
          <a:spLocks noChangeArrowheads="1"/>
        </xdr:cNvSpPr>
      </xdr:nvSpPr>
      <xdr:spPr bwMode="auto">
        <a:xfrm>
          <a:off x="3901109" y="3192780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10" name="Text Box 20">
          <a:extLst>
            <a:ext uri="{FF2B5EF4-FFF2-40B4-BE49-F238E27FC236}">
              <a16:creationId xmlns:a16="http://schemas.microsoft.com/office/drawing/2014/main" id="{00000000-0008-0000-0100-000056040000}"/>
            </a:ext>
          </a:extLst>
        </xdr:cNvPr>
        <xdr:cNvSpPr txBox="1">
          <a:spLocks noChangeArrowheads="1"/>
        </xdr:cNvSpPr>
      </xdr:nvSpPr>
      <xdr:spPr bwMode="auto">
        <a:xfrm>
          <a:off x="3901109" y="3192780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11" name="Text Box 21">
          <a:extLst>
            <a:ext uri="{FF2B5EF4-FFF2-40B4-BE49-F238E27FC236}">
              <a16:creationId xmlns:a16="http://schemas.microsoft.com/office/drawing/2014/main" id="{00000000-0008-0000-0100-000057040000}"/>
            </a:ext>
          </a:extLst>
        </xdr:cNvPr>
        <xdr:cNvSpPr txBox="1">
          <a:spLocks noChangeArrowheads="1"/>
        </xdr:cNvSpPr>
      </xdr:nvSpPr>
      <xdr:spPr bwMode="auto">
        <a:xfrm>
          <a:off x="3901109" y="3192780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112" name="Text Box 22">
          <a:extLst>
            <a:ext uri="{FF2B5EF4-FFF2-40B4-BE49-F238E27FC236}">
              <a16:creationId xmlns:a16="http://schemas.microsoft.com/office/drawing/2014/main" id="{00000000-0008-0000-0100-000058040000}"/>
            </a:ext>
          </a:extLst>
        </xdr:cNvPr>
        <xdr:cNvSpPr txBox="1">
          <a:spLocks noChangeArrowheads="1"/>
        </xdr:cNvSpPr>
      </xdr:nvSpPr>
      <xdr:spPr bwMode="auto">
        <a:xfrm>
          <a:off x="3901109" y="31927800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13" name="Text Box 7">
          <a:extLst>
            <a:ext uri="{FF2B5EF4-FFF2-40B4-BE49-F238E27FC236}">
              <a16:creationId xmlns:a16="http://schemas.microsoft.com/office/drawing/2014/main" id="{00000000-0008-0000-0100-000059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14" name="Text Box 8">
          <a:extLst>
            <a:ext uri="{FF2B5EF4-FFF2-40B4-BE49-F238E27FC236}">
              <a16:creationId xmlns:a16="http://schemas.microsoft.com/office/drawing/2014/main" id="{00000000-0008-0000-0100-00005A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15" name="Text Box 9">
          <a:extLst>
            <a:ext uri="{FF2B5EF4-FFF2-40B4-BE49-F238E27FC236}">
              <a16:creationId xmlns:a16="http://schemas.microsoft.com/office/drawing/2014/main" id="{00000000-0008-0000-0100-00005B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16" name="Text Box 10">
          <a:extLst>
            <a:ext uri="{FF2B5EF4-FFF2-40B4-BE49-F238E27FC236}">
              <a16:creationId xmlns:a16="http://schemas.microsoft.com/office/drawing/2014/main" id="{00000000-0008-0000-0100-00005C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17" name="Text Box 11">
          <a:extLst>
            <a:ext uri="{FF2B5EF4-FFF2-40B4-BE49-F238E27FC236}">
              <a16:creationId xmlns:a16="http://schemas.microsoft.com/office/drawing/2014/main" id="{00000000-0008-0000-0100-00005D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18" name="Text Box 12">
          <a:extLst>
            <a:ext uri="{FF2B5EF4-FFF2-40B4-BE49-F238E27FC236}">
              <a16:creationId xmlns:a16="http://schemas.microsoft.com/office/drawing/2014/main" id="{00000000-0008-0000-0100-00005E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19" name="Text Box 13">
          <a:extLst>
            <a:ext uri="{FF2B5EF4-FFF2-40B4-BE49-F238E27FC236}">
              <a16:creationId xmlns:a16="http://schemas.microsoft.com/office/drawing/2014/main" id="{00000000-0008-0000-0100-00005F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120" name="Text Box 14">
          <a:extLst>
            <a:ext uri="{FF2B5EF4-FFF2-40B4-BE49-F238E27FC236}">
              <a16:creationId xmlns:a16="http://schemas.microsoft.com/office/drawing/2014/main" id="{00000000-0008-0000-0100-000060040000}"/>
            </a:ext>
          </a:extLst>
        </xdr:cNvPr>
        <xdr:cNvSpPr txBox="1">
          <a:spLocks noChangeArrowheads="1"/>
        </xdr:cNvSpPr>
      </xdr:nvSpPr>
      <xdr:spPr bwMode="auto">
        <a:xfrm>
          <a:off x="3901109" y="31927800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121" name="Text Box 15">
          <a:extLst>
            <a:ext uri="{FF2B5EF4-FFF2-40B4-BE49-F238E27FC236}">
              <a16:creationId xmlns:a16="http://schemas.microsoft.com/office/drawing/2014/main" id="{00000000-0008-0000-0100-000061040000}"/>
            </a:ext>
          </a:extLst>
        </xdr:cNvPr>
        <xdr:cNvSpPr txBox="1">
          <a:spLocks noChangeArrowheads="1"/>
        </xdr:cNvSpPr>
      </xdr:nvSpPr>
      <xdr:spPr bwMode="auto">
        <a:xfrm>
          <a:off x="3901109" y="3192780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22" name="Text Box 5">
          <a:extLst>
            <a:ext uri="{FF2B5EF4-FFF2-40B4-BE49-F238E27FC236}">
              <a16:creationId xmlns:a16="http://schemas.microsoft.com/office/drawing/2014/main" id="{00000000-0008-0000-0100-000062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123" name="Text Box 6">
          <a:extLst>
            <a:ext uri="{FF2B5EF4-FFF2-40B4-BE49-F238E27FC236}">
              <a16:creationId xmlns:a16="http://schemas.microsoft.com/office/drawing/2014/main" id="{00000000-0008-0000-0100-000063040000}"/>
            </a:ext>
          </a:extLst>
        </xdr:cNvPr>
        <xdr:cNvSpPr txBox="1">
          <a:spLocks noChangeArrowheads="1"/>
        </xdr:cNvSpPr>
      </xdr:nvSpPr>
      <xdr:spPr bwMode="auto">
        <a:xfrm>
          <a:off x="3901109" y="31927800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24" name="Text Box 7">
          <a:extLst>
            <a:ext uri="{FF2B5EF4-FFF2-40B4-BE49-F238E27FC236}">
              <a16:creationId xmlns:a16="http://schemas.microsoft.com/office/drawing/2014/main" id="{00000000-0008-0000-0100-000064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25" name="Text Box 8">
          <a:extLst>
            <a:ext uri="{FF2B5EF4-FFF2-40B4-BE49-F238E27FC236}">
              <a16:creationId xmlns:a16="http://schemas.microsoft.com/office/drawing/2014/main" id="{00000000-0008-0000-0100-000065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26" name="Text Box 9">
          <a:extLst>
            <a:ext uri="{FF2B5EF4-FFF2-40B4-BE49-F238E27FC236}">
              <a16:creationId xmlns:a16="http://schemas.microsoft.com/office/drawing/2014/main" id="{00000000-0008-0000-0100-000066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27" name="Text Box 10">
          <a:extLst>
            <a:ext uri="{FF2B5EF4-FFF2-40B4-BE49-F238E27FC236}">
              <a16:creationId xmlns:a16="http://schemas.microsoft.com/office/drawing/2014/main" id="{00000000-0008-0000-0100-000067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28" name="Text Box 11">
          <a:extLst>
            <a:ext uri="{FF2B5EF4-FFF2-40B4-BE49-F238E27FC236}">
              <a16:creationId xmlns:a16="http://schemas.microsoft.com/office/drawing/2014/main" id="{00000000-0008-0000-0100-000068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29" name="Text Box 12">
          <a:extLst>
            <a:ext uri="{FF2B5EF4-FFF2-40B4-BE49-F238E27FC236}">
              <a16:creationId xmlns:a16="http://schemas.microsoft.com/office/drawing/2014/main" id="{00000000-0008-0000-0100-000069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30" name="Text Box 13">
          <a:extLst>
            <a:ext uri="{FF2B5EF4-FFF2-40B4-BE49-F238E27FC236}">
              <a16:creationId xmlns:a16="http://schemas.microsoft.com/office/drawing/2014/main" id="{00000000-0008-0000-0100-00006A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131" name="Text Box 14">
          <a:extLst>
            <a:ext uri="{FF2B5EF4-FFF2-40B4-BE49-F238E27FC236}">
              <a16:creationId xmlns:a16="http://schemas.microsoft.com/office/drawing/2014/main" id="{00000000-0008-0000-0100-00006B040000}"/>
            </a:ext>
          </a:extLst>
        </xdr:cNvPr>
        <xdr:cNvSpPr txBox="1">
          <a:spLocks noChangeArrowheads="1"/>
        </xdr:cNvSpPr>
      </xdr:nvSpPr>
      <xdr:spPr bwMode="auto">
        <a:xfrm>
          <a:off x="3901109" y="31927800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32" name="Text Box 15">
          <a:extLst>
            <a:ext uri="{FF2B5EF4-FFF2-40B4-BE49-F238E27FC236}">
              <a16:creationId xmlns:a16="http://schemas.microsoft.com/office/drawing/2014/main" id="{00000000-0008-0000-0100-00006C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33" name="Text Box 16">
          <a:extLst>
            <a:ext uri="{FF2B5EF4-FFF2-40B4-BE49-F238E27FC236}">
              <a16:creationId xmlns:a16="http://schemas.microsoft.com/office/drawing/2014/main" id="{00000000-0008-0000-0100-00006D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34" name="Text Box 17">
          <a:extLst>
            <a:ext uri="{FF2B5EF4-FFF2-40B4-BE49-F238E27FC236}">
              <a16:creationId xmlns:a16="http://schemas.microsoft.com/office/drawing/2014/main" id="{00000000-0008-0000-0100-00006E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35" name="Text Box 18">
          <a:extLst>
            <a:ext uri="{FF2B5EF4-FFF2-40B4-BE49-F238E27FC236}">
              <a16:creationId xmlns:a16="http://schemas.microsoft.com/office/drawing/2014/main" id="{00000000-0008-0000-0100-00006F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36" name="Text Box 19">
          <a:extLst>
            <a:ext uri="{FF2B5EF4-FFF2-40B4-BE49-F238E27FC236}">
              <a16:creationId xmlns:a16="http://schemas.microsoft.com/office/drawing/2014/main" id="{00000000-0008-0000-0100-000070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37" name="Text Box 20">
          <a:extLst>
            <a:ext uri="{FF2B5EF4-FFF2-40B4-BE49-F238E27FC236}">
              <a16:creationId xmlns:a16="http://schemas.microsoft.com/office/drawing/2014/main" id="{00000000-0008-0000-0100-000071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38" name="Text Box 21">
          <a:extLst>
            <a:ext uri="{FF2B5EF4-FFF2-40B4-BE49-F238E27FC236}">
              <a16:creationId xmlns:a16="http://schemas.microsoft.com/office/drawing/2014/main" id="{00000000-0008-0000-0100-000072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139" name="Text Box 22">
          <a:extLst>
            <a:ext uri="{FF2B5EF4-FFF2-40B4-BE49-F238E27FC236}">
              <a16:creationId xmlns:a16="http://schemas.microsoft.com/office/drawing/2014/main" id="{00000000-0008-0000-0100-000073040000}"/>
            </a:ext>
          </a:extLst>
        </xdr:cNvPr>
        <xdr:cNvSpPr txBox="1">
          <a:spLocks noChangeArrowheads="1"/>
        </xdr:cNvSpPr>
      </xdr:nvSpPr>
      <xdr:spPr bwMode="auto">
        <a:xfrm>
          <a:off x="3901109" y="31927800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40" name="Text Box 7">
          <a:extLst>
            <a:ext uri="{FF2B5EF4-FFF2-40B4-BE49-F238E27FC236}">
              <a16:creationId xmlns:a16="http://schemas.microsoft.com/office/drawing/2014/main" id="{00000000-0008-0000-0100-000074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41" name="Text Box 8">
          <a:extLst>
            <a:ext uri="{FF2B5EF4-FFF2-40B4-BE49-F238E27FC236}">
              <a16:creationId xmlns:a16="http://schemas.microsoft.com/office/drawing/2014/main" id="{00000000-0008-0000-0100-000075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42" name="Text Box 9">
          <a:extLst>
            <a:ext uri="{FF2B5EF4-FFF2-40B4-BE49-F238E27FC236}">
              <a16:creationId xmlns:a16="http://schemas.microsoft.com/office/drawing/2014/main" id="{00000000-0008-0000-0100-000076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43" name="Text Box 10">
          <a:extLst>
            <a:ext uri="{FF2B5EF4-FFF2-40B4-BE49-F238E27FC236}">
              <a16:creationId xmlns:a16="http://schemas.microsoft.com/office/drawing/2014/main" id="{00000000-0008-0000-0100-000077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44" name="Text Box 11">
          <a:extLst>
            <a:ext uri="{FF2B5EF4-FFF2-40B4-BE49-F238E27FC236}">
              <a16:creationId xmlns:a16="http://schemas.microsoft.com/office/drawing/2014/main" id="{00000000-0008-0000-0100-000078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45" name="Text Box 12">
          <a:extLst>
            <a:ext uri="{FF2B5EF4-FFF2-40B4-BE49-F238E27FC236}">
              <a16:creationId xmlns:a16="http://schemas.microsoft.com/office/drawing/2014/main" id="{00000000-0008-0000-0100-000079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146" name="Text Box 13">
          <a:extLst>
            <a:ext uri="{FF2B5EF4-FFF2-40B4-BE49-F238E27FC236}">
              <a16:creationId xmlns:a16="http://schemas.microsoft.com/office/drawing/2014/main" id="{00000000-0008-0000-0100-00007A040000}"/>
            </a:ext>
          </a:extLst>
        </xdr:cNvPr>
        <xdr:cNvSpPr txBox="1">
          <a:spLocks noChangeArrowheads="1"/>
        </xdr:cNvSpPr>
      </xdr:nvSpPr>
      <xdr:spPr bwMode="auto">
        <a:xfrm>
          <a:off x="3901109" y="3192780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147" name="Text Box 14">
          <a:extLst>
            <a:ext uri="{FF2B5EF4-FFF2-40B4-BE49-F238E27FC236}">
              <a16:creationId xmlns:a16="http://schemas.microsoft.com/office/drawing/2014/main" id="{00000000-0008-0000-0100-00007B040000}"/>
            </a:ext>
          </a:extLst>
        </xdr:cNvPr>
        <xdr:cNvSpPr txBox="1">
          <a:spLocks noChangeArrowheads="1"/>
        </xdr:cNvSpPr>
      </xdr:nvSpPr>
      <xdr:spPr bwMode="auto">
        <a:xfrm>
          <a:off x="3901109" y="31927800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148" name="Text Box 5">
          <a:extLst>
            <a:ext uri="{FF2B5EF4-FFF2-40B4-BE49-F238E27FC236}">
              <a16:creationId xmlns:a16="http://schemas.microsoft.com/office/drawing/2014/main" id="{00000000-0008-0000-0100-00007C040000}"/>
            </a:ext>
          </a:extLst>
        </xdr:cNvPr>
        <xdr:cNvSpPr txBox="1">
          <a:spLocks noChangeArrowheads="1"/>
        </xdr:cNvSpPr>
      </xdr:nvSpPr>
      <xdr:spPr bwMode="auto">
        <a:xfrm>
          <a:off x="3901109" y="3192780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149" name="Text Box 6">
          <a:extLst>
            <a:ext uri="{FF2B5EF4-FFF2-40B4-BE49-F238E27FC236}">
              <a16:creationId xmlns:a16="http://schemas.microsoft.com/office/drawing/2014/main" id="{00000000-0008-0000-0100-00007D040000}"/>
            </a:ext>
          </a:extLst>
        </xdr:cNvPr>
        <xdr:cNvSpPr txBox="1">
          <a:spLocks noChangeArrowheads="1"/>
        </xdr:cNvSpPr>
      </xdr:nvSpPr>
      <xdr:spPr bwMode="auto">
        <a:xfrm>
          <a:off x="3901109" y="3192780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150" name="Text Box 7">
          <a:extLst>
            <a:ext uri="{FF2B5EF4-FFF2-40B4-BE49-F238E27FC236}">
              <a16:creationId xmlns:a16="http://schemas.microsoft.com/office/drawing/2014/main" id="{00000000-0008-0000-0100-00007E040000}"/>
            </a:ext>
          </a:extLst>
        </xdr:cNvPr>
        <xdr:cNvSpPr txBox="1">
          <a:spLocks noChangeArrowheads="1"/>
        </xdr:cNvSpPr>
      </xdr:nvSpPr>
      <xdr:spPr bwMode="auto">
        <a:xfrm>
          <a:off x="3901109" y="3192780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151" name="Text Box 8">
          <a:extLst>
            <a:ext uri="{FF2B5EF4-FFF2-40B4-BE49-F238E27FC236}">
              <a16:creationId xmlns:a16="http://schemas.microsoft.com/office/drawing/2014/main" id="{00000000-0008-0000-0100-00007F040000}"/>
            </a:ext>
          </a:extLst>
        </xdr:cNvPr>
        <xdr:cNvSpPr txBox="1">
          <a:spLocks noChangeArrowheads="1"/>
        </xdr:cNvSpPr>
      </xdr:nvSpPr>
      <xdr:spPr bwMode="auto">
        <a:xfrm>
          <a:off x="3901109" y="3192780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152" name="Text Box 9">
          <a:extLst>
            <a:ext uri="{FF2B5EF4-FFF2-40B4-BE49-F238E27FC236}">
              <a16:creationId xmlns:a16="http://schemas.microsoft.com/office/drawing/2014/main" id="{00000000-0008-0000-0100-000080040000}"/>
            </a:ext>
          </a:extLst>
        </xdr:cNvPr>
        <xdr:cNvSpPr txBox="1">
          <a:spLocks noChangeArrowheads="1"/>
        </xdr:cNvSpPr>
      </xdr:nvSpPr>
      <xdr:spPr bwMode="auto">
        <a:xfrm>
          <a:off x="3901109" y="3192780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153" name="Text Box 10">
          <a:extLst>
            <a:ext uri="{FF2B5EF4-FFF2-40B4-BE49-F238E27FC236}">
              <a16:creationId xmlns:a16="http://schemas.microsoft.com/office/drawing/2014/main" id="{00000000-0008-0000-0100-000081040000}"/>
            </a:ext>
          </a:extLst>
        </xdr:cNvPr>
        <xdr:cNvSpPr txBox="1">
          <a:spLocks noChangeArrowheads="1"/>
        </xdr:cNvSpPr>
      </xdr:nvSpPr>
      <xdr:spPr bwMode="auto">
        <a:xfrm>
          <a:off x="3901109" y="3192780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154" name="Text Box 11">
          <a:extLst>
            <a:ext uri="{FF2B5EF4-FFF2-40B4-BE49-F238E27FC236}">
              <a16:creationId xmlns:a16="http://schemas.microsoft.com/office/drawing/2014/main" id="{00000000-0008-0000-0100-000082040000}"/>
            </a:ext>
          </a:extLst>
        </xdr:cNvPr>
        <xdr:cNvSpPr txBox="1">
          <a:spLocks noChangeArrowheads="1"/>
        </xdr:cNvSpPr>
      </xdr:nvSpPr>
      <xdr:spPr bwMode="auto">
        <a:xfrm>
          <a:off x="3901109" y="3192780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155" name="Text Box 12">
          <a:extLst>
            <a:ext uri="{FF2B5EF4-FFF2-40B4-BE49-F238E27FC236}">
              <a16:creationId xmlns:a16="http://schemas.microsoft.com/office/drawing/2014/main" id="{00000000-0008-0000-0100-000083040000}"/>
            </a:ext>
          </a:extLst>
        </xdr:cNvPr>
        <xdr:cNvSpPr txBox="1">
          <a:spLocks noChangeArrowheads="1"/>
        </xdr:cNvSpPr>
      </xdr:nvSpPr>
      <xdr:spPr bwMode="auto">
        <a:xfrm>
          <a:off x="3901109" y="3192780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156" name="Text Box 1">
          <a:extLst>
            <a:ext uri="{FF2B5EF4-FFF2-40B4-BE49-F238E27FC236}">
              <a16:creationId xmlns:a16="http://schemas.microsoft.com/office/drawing/2014/main" id="{00000000-0008-0000-0100-000084040000}"/>
            </a:ext>
          </a:extLst>
        </xdr:cNvPr>
        <xdr:cNvSpPr txBox="1">
          <a:spLocks noChangeArrowheads="1"/>
        </xdr:cNvSpPr>
      </xdr:nvSpPr>
      <xdr:spPr bwMode="auto">
        <a:xfrm>
          <a:off x="4580283" y="319278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157" name="Text Box 1">
          <a:extLst>
            <a:ext uri="{FF2B5EF4-FFF2-40B4-BE49-F238E27FC236}">
              <a16:creationId xmlns:a16="http://schemas.microsoft.com/office/drawing/2014/main" id="{00000000-0008-0000-0100-000085040000}"/>
            </a:ext>
          </a:extLst>
        </xdr:cNvPr>
        <xdr:cNvSpPr txBox="1">
          <a:spLocks noChangeArrowheads="1"/>
        </xdr:cNvSpPr>
      </xdr:nvSpPr>
      <xdr:spPr bwMode="auto">
        <a:xfrm>
          <a:off x="4580283" y="319278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158" name="Text Box 1">
          <a:extLst>
            <a:ext uri="{FF2B5EF4-FFF2-40B4-BE49-F238E27FC236}">
              <a16:creationId xmlns:a16="http://schemas.microsoft.com/office/drawing/2014/main" id="{00000000-0008-0000-0100-000086040000}"/>
            </a:ext>
          </a:extLst>
        </xdr:cNvPr>
        <xdr:cNvSpPr txBox="1">
          <a:spLocks noChangeArrowheads="1"/>
        </xdr:cNvSpPr>
      </xdr:nvSpPr>
      <xdr:spPr bwMode="auto">
        <a:xfrm>
          <a:off x="4580283" y="319278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159" name="Text Box 1">
          <a:extLst>
            <a:ext uri="{FF2B5EF4-FFF2-40B4-BE49-F238E27FC236}">
              <a16:creationId xmlns:a16="http://schemas.microsoft.com/office/drawing/2014/main" id="{00000000-0008-0000-0100-000087040000}"/>
            </a:ext>
          </a:extLst>
        </xdr:cNvPr>
        <xdr:cNvSpPr txBox="1">
          <a:spLocks noChangeArrowheads="1"/>
        </xdr:cNvSpPr>
      </xdr:nvSpPr>
      <xdr:spPr bwMode="auto">
        <a:xfrm>
          <a:off x="4580283" y="3192780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60" name="Text Box 5">
          <a:extLst>
            <a:ext uri="{FF2B5EF4-FFF2-40B4-BE49-F238E27FC236}">
              <a16:creationId xmlns:a16="http://schemas.microsoft.com/office/drawing/2014/main" id="{00000000-0008-0000-0100-000088040000}"/>
            </a:ext>
          </a:extLst>
        </xdr:cNvPr>
        <xdr:cNvSpPr txBox="1">
          <a:spLocks noChangeArrowheads="1"/>
        </xdr:cNvSpPr>
      </xdr:nvSpPr>
      <xdr:spPr bwMode="auto">
        <a:xfrm>
          <a:off x="3901109" y="3300122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161" name="Text Box 6">
          <a:extLst>
            <a:ext uri="{FF2B5EF4-FFF2-40B4-BE49-F238E27FC236}">
              <a16:creationId xmlns:a16="http://schemas.microsoft.com/office/drawing/2014/main" id="{00000000-0008-0000-0100-000089040000}"/>
            </a:ext>
          </a:extLst>
        </xdr:cNvPr>
        <xdr:cNvSpPr txBox="1">
          <a:spLocks noChangeArrowheads="1"/>
        </xdr:cNvSpPr>
      </xdr:nvSpPr>
      <xdr:spPr bwMode="auto">
        <a:xfrm>
          <a:off x="3901109" y="330012261"/>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62" name="Text Box 16">
          <a:extLst>
            <a:ext uri="{FF2B5EF4-FFF2-40B4-BE49-F238E27FC236}">
              <a16:creationId xmlns:a16="http://schemas.microsoft.com/office/drawing/2014/main" id="{00000000-0008-0000-0100-00008A040000}"/>
            </a:ext>
          </a:extLst>
        </xdr:cNvPr>
        <xdr:cNvSpPr txBox="1">
          <a:spLocks noChangeArrowheads="1"/>
        </xdr:cNvSpPr>
      </xdr:nvSpPr>
      <xdr:spPr bwMode="auto">
        <a:xfrm>
          <a:off x="3901109" y="3300122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63" name="Text Box 17">
          <a:extLst>
            <a:ext uri="{FF2B5EF4-FFF2-40B4-BE49-F238E27FC236}">
              <a16:creationId xmlns:a16="http://schemas.microsoft.com/office/drawing/2014/main" id="{00000000-0008-0000-0100-00008B040000}"/>
            </a:ext>
          </a:extLst>
        </xdr:cNvPr>
        <xdr:cNvSpPr txBox="1">
          <a:spLocks noChangeArrowheads="1"/>
        </xdr:cNvSpPr>
      </xdr:nvSpPr>
      <xdr:spPr bwMode="auto">
        <a:xfrm>
          <a:off x="3901109" y="3300122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64" name="Text Box 18">
          <a:extLst>
            <a:ext uri="{FF2B5EF4-FFF2-40B4-BE49-F238E27FC236}">
              <a16:creationId xmlns:a16="http://schemas.microsoft.com/office/drawing/2014/main" id="{00000000-0008-0000-0100-00008C040000}"/>
            </a:ext>
          </a:extLst>
        </xdr:cNvPr>
        <xdr:cNvSpPr txBox="1">
          <a:spLocks noChangeArrowheads="1"/>
        </xdr:cNvSpPr>
      </xdr:nvSpPr>
      <xdr:spPr bwMode="auto">
        <a:xfrm>
          <a:off x="3901109" y="3300122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65" name="Text Box 19">
          <a:extLst>
            <a:ext uri="{FF2B5EF4-FFF2-40B4-BE49-F238E27FC236}">
              <a16:creationId xmlns:a16="http://schemas.microsoft.com/office/drawing/2014/main" id="{00000000-0008-0000-0100-00008D040000}"/>
            </a:ext>
          </a:extLst>
        </xdr:cNvPr>
        <xdr:cNvSpPr txBox="1">
          <a:spLocks noChangeArrowheads="1"/>
        </xdr:cNvSpPr>
      </xdr:nvSpPr>
      <xdr:spPr bwMode="auto">
        <a:xfrm>
          <a:off x="3901109" y="3300122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66" name="Text Box 20">
          <a:extLst>
            <a:ext uri="{FF2B5EF4-FFF2-40B4-BE49-F238E27FC236}">
              <a16:creationId xmlns:a16="http://schemas.microsoft.com/office/drawing/2014/main" id="{00000000-0008-0000-0100-00008E040000}"/>
            </a:ext>
          </a:extLst>
        </xdr:cNvPr>
        <xdr:cNvSpPr txBox="1">
          <a:spLocks noChangeArrowheads="1"/>
        </xdr:cNvSpPr>
      </xdr:nvSpPr>
      <xdr:spPr bwMode="auto">
        <a:xfrm>
          <a:off x="3901109" y="3300122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167" name="Text Box 21">
          <a:extLst>
            <a:ext uri="{FF2B5EF4-FFF2-40B4-BE49-F238E27FC236}">
              <a16:creationId xmlns:a16="http://schemas.microsoft.com/office/drawing/2014/main" id="{00000000-0008-0000-0100-00008F040000}"/>
            </a:ext>
          </a:extLst>
        </xdr:cNvPr>
        <xdr:cNvSpPr txBox="1">
          <a:spLocks noChangeArrowheads="1"/>
        </xdr:cNvSpPr>
      </xdr:nvSpPr>
      <xdr:spPr bwMode="auto">
        <a:xfrm>
          <a:off x="3901109" y="3300122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168" name="Text Box 22">
          <a:extLst>
            <a:ext uri="{FF2B5EF4-FFF2-40B4-BE49-F238E27FC236}">
              <a16:creationId xmlns:a16="http://schemas.microsoft.com/office/drawing/2014/main" id="{00000000-0008-0000-0100-000090040000}"/>
            </a:ext>
          </a:extLst>
        </xdr:cNvPr>
        <xdr:cNvSpPr txBox="1">
          <a:spLocks noChangeArrowheads="1"/>
        </xdr:cNvSpPr>
      </xdr:nvSpPr>
      <xdr:spPr bwMode="auto">
        <a:xfrm>
          <a:off x="3901109" y="330012261"/>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169" name="Text Box 1">
          <a:extLst>
            <a:ext uri="{FF2B5EF4-FFF2-40B4-BE49-F238E27FC236}">
              <a16:creationId xmlns:a16="http://schemas.microsoft.com/office/drawing/2014/main" id="{00000000-0008-0000-0100-000091040000}"/>
            </a:ext>
          </a:extLst>
        </xdr:cNvPr>
        <xdr:cNvSpPr txBox="1">
          <a:spLocks noChangeArrowheads="1"/>
        </xdr:cNvSpPr>
      </xdr:nvSpPr>
      <xdr:spPr bwMode="auto">
        <a:xfrm>
          <a:off x="4580283" y="33001226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170" name="Text Box 1">
          <a:extLst>
            <a:ext uri="{FF2B5EF4-FFF2-40B4-BE49-F238E27FC236}">
              <a16:creationId xmlns:a16="http://schemas.microsoft.com/office/drawing/2014/main" id="{00000000-0008-0000-0100-000092040000}"/>
            </a:ext>
          </a:extLst>
        </xdr:cNvPr>
        <xdr:cNvSpPr txBox="1">
          <a:spLocks noChangeArrowheads="1"/>
        </xdr:cNvSpPr>
      </xdr:nvSpPr>
      <xdr:spPr bwMode="auto">
        <a:xfrm>
          <a:off x="4580283" y="33001226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171" name="Text Box 1">
          <a:extLst>
            <a:ext uri="{FF2B5EF4-FFF2-40B4-BE49-F238E27FC236}">
              <a16:creationId xmlns:a16="http://schemas.microsoft.com/office/drawing/2014/main" id="{00000000-0008-0000-0100-000093040000}"/>
            </a:ext>
          </a:extLst>
        </xdr:cNvPr>
        <xdr:cNvSpPr txBox="1">
          <a:spLocks noChangeArrowheads="1"/>
        </xdr:cNvSpPr>
      </xdr:nvSpPr>
      <xdr:spPr bwMode="auto">
        <a:xfrm>
          <a:off x="4580283" y="33001226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172" name="Text Box 1">
          <a:extLst>
            <a:ext uri="{FF2B5EF4-FFF2-40B4-BE49-F238E27FC236}">
              <a16:creationId xmlns:a16="http://schemas.microsoft.com/office/drawing/2014/main" id="{00000000-0008-0000-0100-000094040000}"/>
            </a:ext>
          </a:extLst>
        </xdr:cNvPr>
        <xdr:cNvSpPr txBox="1">
          <a:spLocks noChangeArrowheads="1"/>
        </xdr:cNvSpPr>
      </xdr:nvSpPr>
      <xdr:spPr bwMode="auto">
        <a:xfrm>
          <a:off x="4580283" y="33001226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73" name="Text Box 5">
          <a:extLst>
            <a:ext uri="{FF2B5EF4-FFF2-40B4-BE49-F238E27FC236}">
              <a16:creationId xmlns:a16="http://schemas.microsoft.com/office/drawing/2014/main" id="{00000000-0008-0000-0100-000095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74" name="Text Box 6">
          <a:extLst>
            <a:ext uri="{FF2B5EF4-FFF2-40B4-BE49-F238E27FC236}">
              <a16:creationId xmlns:a16="http://schemas.microsoft.com/office/drawing/2014/main" id="{00000000-0008-0000-0100-000096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75" name="Text Box 7">
          <a:extLst>
            <a:ext uri="{FF2B5EF4-FFF2-40B4-BE49-F238E27FC236}">
              <a16:creationId xmlns:a16="http://schemas.microsoft.com/office/drawing/2014/main" id="{00000000-0008-0000-0100-000097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76" name="Text Box 8">
          <a:extLst>
            <a:ext uri="{FF2B5EF4-FFF2-40B4-BE49-F238E27FC236}">
              <a16:creationId xmlns:a16="http://schemas.microsoft.com/office/drawing/2014/main" id="{00000000-0008-0000-0100-000098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77" name="Text Box 9">
          <a:extLst>
            <a:ext uri="{FF2B5EF4-FFF2-40B4-BE49-F238E27FC236}">
              <a16:creationId xmlns:a16="http://schemas.microsoft.com/office/drawing/2014/main" id="{00000000-0008-0000-0100-000099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78" name="Text Box 10">
          <a:extLst>
            <a:ext uri="{FF2B5EF4-FFF2-40B4-BE49-F238E27FC236}">
              <a16:creationId xmlns:a16="http://schemas.microsoft.com/office/drawing/2014/main" id="{00000000-0008-0000-0100-00009A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79" name="Text Box 11">
          <a:extLst>
            <a:ext uri="{FF2B5EF4-FFF2-40B4-BE49-F238E27FC236}">
              <a16:creationId xmlns:a16="http://schemas.microsoft.com/office/drawing/2014/main" id="{00000000-0008-0000-0100-00009B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0" name="Text Box 12">
          <a:extLst>
            <a:ext uri="{FF2B5EF4-FFF2-40B4-BE49-F238E27FC236}">
              <a16:creationId xmlns:a16="http://schemas.microsoft.com/office/drawing/2014/main" id="{00000000-0008-0000-0100-00009C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1" name="Text Box 13">
          <a:extLst>
            <a:ext uri="{FF2B5EF4-FFF2-40B4-BE49-F238E27FC236}">
              <a16:creationId xmlns:a16="http://schemas.microsoft.com/office/drawing/2014/main" id="{00000000-0008-0000-0100-00009D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182" name="Text Box 14">
          <a:extLst>
            <a:ext uri="{FF2B5EF4-FFF2-40B4-BE49-F238E27FC236}">
              <a16:creationId xmlns:a16="http://schemas.microsoft.com/office/drawing/2014/main" id="{00000000-0008-0000-0100-00009E040000}"/>
            </a:ext>
          </a:extLst>
        </xdr:cNvPr>
        <xdr:cNvSpPr txBox="1">
          <a:spLocks noChangeArrowheads="1"/>
        </xdr:cNvSpPr>
      </xdr:nvSpPr>
      <xdr:spPr bwMode="auto">
        <a:xfrm>
          <a:off x="3901109" y="340746522"/>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3" name="Text Box 15">
          <a:extLst>
            <a:ext uri="{FF2B5EF4-FFF2-40B4-BE49-F238E27FC236}">
              <a16:creationId xmlns:a16="http://schemas.microsoft.com/office/drawing/2014/main" id="{00000000-0008-0000-0100-00009F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4" name="Text Box 16">
          <a:extLst>
            <a:ext uri="{FF2B5EF4-FFF2-40B4-BE49-F238E27FC236}">
              <a16:creationId xmlns:a16="http://schemas.microsoft.com/office/drawing/2014/main" id="{00000000-0008-0000-0100-0000A0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5" name="Text Box 17">
          <a:extLst>
            <a:ext uri="{FF2B5EF4-FFF2-40B4-BE49-F238E27FC236}">
              <a16:creationId xmlns:a16="http://schemas.microsoft.com/office/drawing/2014/main" id="{00000000-0008-0000-0100-0000A1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6" name="Text Box 18">
          <a:extLst>
            <a:ext uri="{FF2B5EF4-FFF2-40B4-BE49-F238E27FC236}">
              <a16:creationId xmlns:a16="http://schemas.microsoft.com/office/drawing/2014/main" id="{00000000-0008-0000-0100-0000A2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7" name="Text Box 19">
          <a:extLst>
            <a:ext uri="{FF2B5EF4-FFF2-40B4-BE49-F238E27FC236}">
              <a16:creationId xmlns:a16="http://schemas.microsoft.com/office/drawing/2014/main" id="{00000000-0008-0000-0100-0000A3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8" name="Text Box 20">
          <a:extLst>
            <a:ext uri="{FF2B5EF4-FFF2-40B4-BE49-F238E27FC236}">
              <a16:creationId xmlns:a16="http://schemas.microsoft.com/office/drawing/2014/main" id="{00000000-0008-0000-0100-0000A4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89" name="Text Box 21">
          <a:extLst>
            <a:ext uri="{FF2B5EF4-FFF2-40B4-BE49-F238E27FC236}">
              <a16:creationId xmlns:a16="http://schemas.microsoft.com/office/drawing/2014/main" id="{00000000-0008-0000-0100-0000A5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0" name="Text Box 22">
          <a:extLst>
            <a:ext uri="{FF2B5EF4-FFF2-40B4-BE49-F238E27FC236}">
              <a16:creationId xmlns:a16="http://schemas.microsoft.com/office/drawing/2014/main" id="{00000000-0008-0000-0100-0000A6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1" name="Text Box 7">
          <a:extLst>
            <a:ext uri="{FF2B5EF4-FFF2-40B4-BE49-F238E27FC236}">
              <a16:creationId xmlns:a16="http://schemas.microsoft.com/office/drawing/2014/main" id="{00000000-0008-0000-0100-0000A7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2" name="Text Box 8">
          <a:extLst>
            <a:ext uri="{FF2B5EF4-FFF2-40B4-BE49-F238E27FC236}">
              <a16:creationId xmlns:a16="http://schemas.microsoft.com/office/drawing/2014/main" id="{00000000-0008-0000-0100-0000A8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3" name="Text Box 9">
          <a:extLst>
            <a:ext uri="{FF2B5EF4-FFF2-40B4-BE49-F238E27FC236}">
              <a16:creationId xmlns:a16="http://schemas.microsoft.com/office/drawing/2014/main" id="{00000000-0008-0000-0100-0000A9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4" name="Text Box 10">
          <a:extLst>
            <a:ext uri="{FF2B5EF4-FFF2-40B4-BE49-F238E27FC236}">
              <a16:creationId xmlns:a16="http://schemas.microsoft.com/office/drawing/2014/main" id="{00000000-0008-0000-0100-0000AA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5" name="Text Box 11">
          <a:extLst>
            <a:ext uri="{FF2B5EF4-FFF2-40B4-BE49-F238E27FC236}">
              <a16:creationId xmlns:a16="http://schemas.microsoft.com/office/drawing/2014/main" id="{00000000-0008-0000-0100-0000AB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6" name="Text Box 12">
          <a:extLst>
            <a:ext uri="{FF2B5EF4-FFF2-40B4-BE49-F238E27FC236}">
              <a16:creationId xmlns:a16="http://schemas.microsoft.com/office/drawing/2014/main" id="{00000000-0008-0000-0100-0000AC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7" name="Text Box 13">
          <a:extLst>
            <a:ext uri="{FF2B5EF4-FFF2-40B4-BE49-F238E27FC236}">
              <a16:creationId xmlns:a16="http://schemas.microsoft.com/office/drawing/2014/main" id="{00000000-0008-0000-0100-0000AD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198" name="Text Box 14">
          <a:extLst>
            <a:ext uri="{FF2B5EF4-FFF2-40B4-BE49-F238E27FC236}">
              <a16:creationId xmlns:a16="http://schemas.microsoft.com/office/drawing/2014/main" id="{00000000-0008-0000-0100-0000AE040000}"/>
            </a:ext>
          </a:extLst>
        </xdr:cNvPr>
        <xdr:cNvSpPr txBox="1">
          <a:spLocks noChangeArrowheads="1"/>
        </xdr:cNvSpPr>
      </xdr:nvSpPr>
      <xdr:spPr bwMode="auto">
        <a:xfrm>
          <a:off x="3901109" y="340746522"/>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199" name="Text Box 15">
          <a:extLst>
            <a:ext uri="{FF2B5EF4-FFF2-40B4-BE49-F238E27FC236}">
              <a16:creationId xmlns:a16="http://schemas.microsoft.com/office/drawing/2014/main" id="{00000000-0008-0000-0100-0000AF040000}"/>
            </a:ext>
          </a:extLst>
        </xdr:cNvPr>
        <xdr:cNvSpPr txBox="1">
          <a:spLocks noChangeArrowheads="1"/>
        </xdr:cNvSpPr>
      </xdr:nvSpPr>
      <xdr:spPr bwMode="auto">
        <a:xfrm>
          <a:off x="3901109" y="34074652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00" name="Text Box 5">
          <a:extLst>
            <a:ext uri="{FF2B5EF4-FFF2-40B4-BE49-F238E27FC236}">
              <a16:creationId xmlns:a16="http://schemas.microsoft.com/office/drawing/2014/main" id="{00000000-0008-0000-0100-0000B0040000}"/>
            </a:ext>
          </a:extLst>
        </xdr:cNvPr>
        <xdr:cNvSpPr txBox="1">
          <a:spLocks noChangeArrowheads="1"/>
        </xdr:cNvSpPr>
      </xdr:nvSpPr>
      <xdr:spPr bwMode="auto">
        <a:xfrm>
          <a:off x="3901109" y="34074652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201" name="Text Box 6">
          <a:extLst>
            <a:ext uri="{FF2B5EF4-FFF2-40B4-BE49-F238E27FC236}">
              <a16:creationId xmlns:a16="http://schemas.microsoft.com/office/drawing/2014/main" id="{00000000-0008-0000-0100-0000B1040000}"/>
            </a:ext>
          </a:extLst>
        </xdr:cNvPr>
        <xdr:cNvSpPr txBox="1">
          <a:spLocks noChangeArrowheads="1"/>
        </xdr:cNvSpPr>
      </xdr:nvSpPr>
      <xdr:spPr bwMode="auto">
        <a:xfrm>
          <a:off x="3901109" y="34074652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02" name="Text Box 7">
          <a:extLst>
            <a:ext uri="{FF2B5EF4-FFF2-40B4-BE49-F238E27FC236}">
              <a16:creationId xmlns:a16="http://schemas.microsoft.com/office/drawing/2014/main" id="{00000000-0008-0000-0100-0000B2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03" name="Text Box 8">
          <a:extLst>
            <a:ext uri="{FF2B5EF4-FFF2-40B4-BE49-F238E27FC236}">
              <a16:creationId xmlns:a16="http://schemas.microsoft.com/office/drawing/2014/main" id="{00000000-0008-0000-0100-0000B3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04" name="Text Box 9">
          <a:extLst>
            <a:ext uri="{FF2B5EF4-FFF2-40B4-BE49-F238E27FC236}">
              <a16:creationId xmlns:a16="http://schemas.microsoft.com/office/drawing/2014/main" id="{00000000-0008-0000-0100-0000B4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05" name="Text Box 10">
          <a:extLst>
            <a:ext uri="{FF2B5EF4-FFF2-40B4-BE49-F238E27FC236}">
              <a16:creationId xmlns:a16="http://schemas.microsoft.com/office/drawing/2014/main" id="{00000000-0008-0000-0100-0000B5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06" name="Text Box 11">
          <a:extLst>
            <a:ext uri="{FF2B5EF4-FFF2-40B4-BE49-F238E27FC236}">
              <a16:creationId xmlns:a16="http://schemas.microsoft.com/office/drawing/2014/main" id="{00000000-0008-0000-0100-0000B6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07" name="Text Box 12">
          <a:extLst>
            <a:ext uri="{FF2B5EF4-FFF2-40B4-BE49-F238E27FC236}">
              <a16:creationId xmlns:a16="http://schemas.microsoft.com/office/drawing/2014/main" id="{00000000-0008-0000-0100-0000B7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08" name="Text Box 13">
          <a:extLst>
            <a:ext uri="{FF2B5EF4-FFF2-40B4-BE49-F238E27FC236}">
              <a16:creationId xmlns:a16="http://schemas.microsoft.com/office/drawing/2014/main" id="{00000000-0008-0000-0100-0000B8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209" name="Text Box 14">
          <a:extLst>
            <a:ext uri="{FF2B5EF4-FFF2-40B4-BE49-F238E27FC236}">
              <a16:creationId xmlns:a16="http://schemas.microsoft.com/office/drawing/2014/main" id="{00000000-0008-0000-0100-0000B9040000}"/>
            </a:ext>
          </a:extLst>
        </xdr:cNvPr>
        <xdr:cNvSpPr txBox="1">
          <a:spLocks noChangeArrowheads="1"/>
        </xdr:cNvSpPr>
      </xdr:nvSpPr>
      <xdr:spPr bwMode="auto">
        <a:xfrm>
          <a:off x="3901109" y="340746522"/>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10" name="Text Box 15">
          <a:extLst>
            <a:ext uri="{FF2B5EF4-FFF2-40B4-BE49-F238E27FC236}">
              <a16:creationId xmlns:a16="http://schemas.microsoft.com/office/drawing/2014/main" id="{00000000-0008-0000-0100-0000BA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11" name="Text Box 16">
          <a:extLst>
            <a:ext uri="{FF2B5EF4-FFF2-40B4-BE49-F238E27FC236}">
              <a16:creationId xmlns:a16="http://schemas.microsoft.com/office/drawing/2014/main" id="{00000000-0008-0000-0100-0000BB040000}"/>
            </a:ext>
          </a:extLst>
        </xdr:cNvPr>
        <xdr:cNvSpPr txBox="1">
          <a:spLocks noChangeArrowheads="1"/>
        </xdr:cNvSpPr>
      </xdr:nvSpPr>
      <xdr:spPr bwMode="auto">
        <a:xfrm>
          <a:off x="3901109" y="34074652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12" name="Text Box 17">
          <a:extLst>
            <a:ext uri="{FF2B5EF4-FFF2-40B4-BE49-F238E27FC236}">
              <a16:creationId xmlns:a16="http://schemas.microsoft.com/office/drawing/2014/main" id="{00000000-0008-0000-0100-0000BC040000}"/>
            </a:ext>
          </a:extLst>
        </xdr:cNvPr>
        <xdr:cNvSpPr txBox="1">
          <a:spLocks noChangeArrowheads="1"/>
        </xdr:cNvSpPr>
      </xdr:nvSpPr>
      <xdr:spPr bwMode="auto">
        <a:xfrm>
          <a:off x="3901109" y="34074652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13" name="Text Box 18">
          <a:extLst>
            <a:ext uri="{FF2B5EF4-FFF2-40B4-BE49-F238E27FC236}">
              <a16:creationId xmlns:a16="http://schemas.microsoft.com/office/drawing/2014/main" id="{00000000-0008-0000-0100-0000BD040000}"/>
            </a:ext>
          </a:extLst>
        </xdr:cNvPr>
        <xdr:cNvSpPr txBox="1">
          <a:spLocks noChangeArrowheads="1"/>
        </xdr:cNvSpPr>
      </xdr:nvSpPr>
      <xdr:spPr bwMode="auto">
        <a:xfrm>
          <a:off x="3901109" y="34074652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14" name="Text Box 19">
          <a:extLst>
            <a:ext uri="{FF2B5EF4-FFF2-40B4-BE49-F238E27FC236}">
              <a16:creationId xmlns:a16="http://schemas.microsoft.com/office/drawing/2014/main" id="{00000000-0008-0000-0100-0000BE040000}"/>
            </a:ext>
          </a:extLst>
        </xdr:cNvPr>
        <xdr:cNvSpPr txBox="1">
          <a:spLocks noChangeArrowheads="1"/>
        </xdr:cNvSpPr>
      </xdr:nvSpPr>
      <xdr:spPr bwMode="auto">
        <a:xfrm>
          <a:off x="3901109" y="34074652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15" name="Text Box 20">
          <a:extLst>
            <a:ext uri="{FF2B5EF4-FFF2-40B4-BE49-F238E27FC236}">
              <a16:creationId xmlns:a16="http://schemas.microsoft.com/office/drawing/2014/main" id="{00000000-0008-0000-0100-0000BF040000}"/>
            </a:ext>
          </a:extLst>
        </xdr:cNvPr>
        <xdr:cNvSpPr txBox="1">
          <a:spLocks noChangeArrowheads="1"/>
        </xdr:cNvSpPr>
      </xdr:nvSpPr>
      <xdr:spPr bwMode="auto">
        <a:xfrm>
          <a:off x="3901109" y="34074652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16" name="Text Box 21">
          <a:extLst>
            <a:ext uri="{FF2B5EF4-FFF2-40B4-BE49-F238E27FC236}">
              <a16:creationId xmlns:a16="http://schemas.microsoft.com/office/drawing/2014/main" id="{00000000-0008-0000-0100-0000C0040000}"/>
            </a:ext>
          </a:extLst>
        </xdr:cNvPr>
        <xdr:cNvSpPr txBox="1">
          <a:spLocks noChangeArrowheads="1"/>
        </xdr:cNvSpPr>
      </xdr:nvSpPr>
      <xdr:spPr bwMode="auto">
        <a:xfrm>
          <a:off x="3901109" y="34074652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217" name="Text Box 22">
          <a:extLst>
            <a:ext uri="{FF2B5EF4-FFF2-40B4-BE49-F238E27FC236}">
              <a16:creationId xmlns:a16="http://schemas.microsoft.com/office/drawing/2014/main" id="{00000000-0008-0000-0100-0000C1040000}"/>
            </a:ext>
          </a:extLst>
        </xdr:cNvPr>
        <xdr:cNvSpPr txBox="1">
          <a:spLocks noChangeArrowheads="1"/>
        </xdr:cNvSpPr>
      </xdr:nvSpPr>
      <xdr:spPr bwMode="auto">
        <a:xfrm>
          <a:off x="3901109" y="34074652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18" name="Text Box 7">
          <a:extLst>
            <a:ext uri="{FF2B5EF4-FFF2-40B4-BE49-F238E27FC236}">
              <a16:creationId xmlns:a16="http://schemas.microsoft.com/office/drawing/2014/main" id="{00000000-0008-0000-0100-0000C2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19" name="Text Box 8">
          <a:extLst>
            <a:ext uri="{FF2B5EF4-FFF2-40B4-BE49-F238E27FC236}">
              <a16:creationId xmlns:a16="http://schemas.microsoft.com/office/drawing/2014/main" id="{00000000-0008-0000-0100-0000C3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20" name="Text Box 9">
          <a:extLst>
            <a:ext uri="{FF2B5EF4-FFF2-40B4-BE49-F238E27FC236}">
              <a16:creationId xmlns:a16="http://schemas.microsoft.com/office/drawing/2014/main" id="{00000000-0008-0000-0100-0000C4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21" name="Text Box 10">
          <a:extLst>
            <a:ext uri="{FF2B5EF4-FFF2-40B4-BE49-F238E27FC236}">
              <a16:creationId xmlns:a16="http://schemas.microsoft.com/office/drawing/2014/main" id="{00000000-0008-0000-0100-0000C5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22" name="Text Box 11">
          <a:extLst>
            <a:ext uri="{FF2B5EF4-FFF2-40B4-BE49-F238E27FC236}">
              <a16:creationId xmlns:a16="http://schemas.microsoft.com/office/drawing/2014/main" id="{00000000-0008-0000-0100-0000C6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23" name="Text Box 12">
          <a:extLst>
            <a:ext uri="{FF2B5EF4-FFF2-40B4-BE49-F238E27FC236}">
              <a16:creationId xmlns:a16="http://schemas.microsoft.com/office/drawing/2014/main" id="{00000000-0008-0000-0100-0000C7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24" name="Text Box 13">
          <a:extLst>
            <a:ext uri="{FF2B5EF4-FFF2-40B4-BE49-F238E27FC236}">
              <a16:creationId xmlns:a16="http://schemas.microsoft.com/office/drawing/2014/main" id="{00000000-0008-0000-0100-0000C8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225" name="Text Box 14">
          <a:extLst>
            <a:ext uri="{FF2B5EF4-FFF2-40B4-BE49-F238E27FC236}">
              <a16:creationId xmlns:a16="http://schemas.microsoft.com/office/drawing/2014/main" id="{00000000-0008-0000-0100-0000C9040000}"/>
            </a:ext>
          </a:extLst>
        </xdr:cNvPr>
        <xdr:cNvSpPr txBox="1">
          <a:spLocks noChangeArrowheads="1"/>
        </xdr:cNvSpPr>
      </xdr:nvSpPr>
      <xdr:spPr bwMode="auto">
        <a:xfrm>
          <a:off x="3901109" y="340746522"/>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226" name="Text Box 15">
          <a:extLst>
            <a:ext uri="{FF2B5EF4-FFF2-40B4-BE49-F238E27FC236}">
              <a16:creationId xmlns:a16="http://schemas.microsoft.com/office/drawing/2014/main" id="{00000000-0008-0000-0100-0000CA040000}"/>
            </a:ext>
          </a:extLst>
        </xdr:cNvPr>
        <xdr:cNvSpPr txBox="1">
          <a:spLocks noChangeArrowheads="1"/>
        </xdr:cNvSpPr>
      </xdr:nvSpPr>
      <xdr:spPr bwMode="auto">
        <a:xfrm>
          <a:off x="3901109" y="34074652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27" name="Text Box 5">
          <a:extLst>
            <a:ext uri="{FF2B5EF4-FFF2-40B4-BE49-F238E27FC236}">
              <a16:creationId xmlns:a16="http://schemas.microsoft.com/office/drawing/2014/main" id="{00000000-0008-0000-0100-0000CB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228" name="Text Box 6">
          <a:extLst>
            <a:ext uri="{FF2B5EF4-FFF2-40B4-BE49-F238E27FC236}">
              <a16:creationId xmlns:a16="http://schemas.microsoft.com/office/drawing/2014/main" id="{00000000-0008-0000-0100-0000CC040000}"/>
            </a:ext>
          </a:extLst>
        </xdr:cNvPr>
        <xdr:cNvSpPr txBox="1">
          <a:spLocks noChangeArrowheads="1"/>
        </xdr:cNvSpPr>
      </xdr:nvSpPr>
      <xdr:spPr bwMode="auto">
        <a:xfrm>
          <a:off x="3901109" y="340746522"/>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29" name="Text Box 7">
          <a:extLst>
            <a:ext uri="{FF2B5EF4-FFF2-40B4-BE49-F238E27FC236}">
              <a16:creationId xmlns:a16="http://schemas.microsoft.com/office/drawing/2014/main" id="{00000000-0008-0000-0100-0000CD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0" name="Text Box 8">
          <a:extLst>
            <a:ext uri="{FF2B5EF4-FFF2-40B4-BE49-F238E27FC236}">
              <a16:creationId xmlns:a16="http://schemas.microsoft.com/office/drawing/2014/main" id="{00000000-0008-0000-0100-0000CE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1" name="Text Box 9">
          <a:extLst>
            <a:ext uri="{FF2B5EF4-FFF2-40B4-BE49-F238E27FC236}">
              <a16:creationId xmlns:a16="http://schemas.microsoft.com/office/drawing/2014/main" id="{00000000-0008-0000-0100-0000CF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2" name="Text Box 10">
          <a:extLst>
            <a:ext uri="{FF2B5EF4-FFF2-40B4-BE49-F238E27FC236}">
              <a16:creationId xmlns:a16="http://schemas.microsoft.com/office/drawing/2014/main" id="{00000000-0008-0000-0100-0000D0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3" name="Text Box 11">
          <a:extLst>
            <a:ext uri="{FF2B5EF4-FFF2-40B4-BE49-F238E27FC236}">
              <a16:creationId xmlns:a16="http://schemas.microsoft.com/office/drawing/2014/main" id="{00000000-0008-0000-0100-0000D1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4" name="Text Box 12">
          <a:extLst>
            <a:ext uri="{FF2B5EF4-FFF2-40B4-BE49-F238E27FC236}">
              <a16:creationId xmlns:a16="http://schemas.microsoft.com/office/drawing/2014/main" id="{00000000-0008-0000-0100-0000D2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5" name="Text Box 13">
          <a:extLst>
            <a:ext uri="{FF2B5EF4-FFF2-40B4-BE49-F238E27FC236}">
              <a16:creationId xmlns:a16="http://schemas.microsoft.com/office/drawing/2014/main" id="{00000000-0008-0000-0100-0000D3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236" name="Text Box 14">
          <a:extLst>
            <a:ext uri="{FF2B5EF4-FFF2-40B4-BE49-F238E27FC236}">
              <a16:creationId xmlns:a16="http://schemas.microsoft.com/office/drawing/2014/main" id="{00000000-0008-0000-0100-0000D4040000}"/>
            </a:ext>
          </a:extLst>
        </xdr:cNvPr>
        <xdr:cNvSpPr txBox="1">
          <a:spLocks noChangeArrowheads="1"/>
        </xdr:cNvSpPr>
      </xdr:nvSpPr>
      <xdr:spPr bwMode="auto">
        <a:xfrm>
          <a:off x="3901109" y="340746522"/>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7" name="Text Box 15">
          <a:extLst>
            <a:ext uri="{FF2B5EF4-FFF2-40B4-BE49-F238E27FC236}">
              <a16:creationId xmlns:a16="http://schemas.microsoft.com/office/drawing/2014/main" id="{00000000-0008-0000-0100-0000D5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8" name="Text Box 16">
          <a:extLst>
            <a:ext uri="{FF2B5EF4-FFF2-40B4-BE49-F238E27FC236}">
              <a16:creationId xmlns:a16="http://schemas.microsoft.com/office/drawing/2014/main" id="{00000000-0008-0000-0100-0000D6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39" name="Text Box 17">
          <a:extLst>
            <a:ext uri="{FF2B5EF4-FFF2-40B4-BE49-F238E27FC236}">
              <a16:creationId xmlns:a16="http://schemas.microsoft.com/office/drawing/2014/main" id="{00000000-0008-0000-0100-0000D7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0" name="Text Box 18">
          <a:extLst>
            <a:ext uri="{FF2B5EF4-FFF2-40B4-BE49-F238E27FC236}">
              <a16:creationId xmlns:a16="http://schemas.microsoft.com/office/drawing/2014/main" id="{00000000-0008-0000-0100-0000D8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1" name="Text Box 19">
          <a:extLst>
            <a:ext uri="{FF2B5EF4-FFF2-40B4-BE49-F238E27FC236}">
              <a16:creationId xmlns:a16="http://schemas.microsoft.com/office/drawing/2014/main" id="{00000000-0008-0000-0100-0000D9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2" name="Text Box 20">
          <a:extLst>
            <a:ext uri="{FF2B5EF4-FFF2-40B4-BE49-F238E27FC236}">
              <a16:creationId xmlns:a16="http://schemas.microsoft.com/office/drawing/2014/main" id="{00000000-0008-0000-0100-0000DA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3" name="Text Box 21">
          <a:extLst>
            <a:ext uri="{FF2B5EF4-FFF2-40B4-BE49-F238E27FC236}">
              <a16:creationId xmlns:a16="http://schemas.microsoft.com/office/drawing/2014/main" id="{00000000-0008-0000-0100-0000DB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244" name="Text Box 22">
          <a:extLst>
            <a:ext uri="{FF2B5EF4-FFF2-40B4-BE49-F238E27FC236}">
              <a16:creationId xmlns:a16="http://schemas.microsoft.com/office/drawing/2014/main" id="{00000000-0008-0000-0100-0000DC040000}"/>
            </a:ext>
          </a:extLst>
        </xdr:cNvPr>
        <xdr:cNvSpPr txBox="1">
          <a:spLocks noChangeArrowheads="1"/>
        </xdr:cNvSpPr>
      </xdr:nvSpPr>
      <xdr:spPr bwMode="auto">
        <a:xfrm>
          <a:off x="3901109" y="340746522"/>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5" name="Text Box 7">
          <a:extLst>
            <a:ext uri="{FF2B5EF4-FFF2-40B4-BE49-F238E27FC236}">
              <a16:creationId xmlns:a16="http://schemas.microsoft.com/office/drawing/2014/main" id="{00000000-0008-0000-0100-0000DD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6" name="Text Box 8">
          <a:extLst>
            <a:ext uri="{FF2B5EF4-FFF2-40B4-BE49-F238E27FC236}">
              <a16:creationId xmlns:a16="http://schemas.microsoft.com/office/drawing/2014/main" id="{00000000-0008-0000-0100-0000DE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7" name="Text Box 9">
          <a:extLst>
            <a:ext uri="{FF2B5EF4-FFF2-40B4-BE49-F238E27FC236}">
              <a16:creationId xmlns:a16="http://schemas.microsoft.com/office/drawing/2014/main" id="{00000000-0008-0000-0100-0000DF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8" name="Text Box 10">
          <a:extLst>
            <a:ext uri="{FF2B5EF4-FFF2-40B4-BE49-F238E27FC236}">
              <a16:creationId xmlns:a16="http://schemas.microsoft.com/office/drawing/2014/main" id="{00000000-0008-0000-0100-0000E0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49" name="Text Box 11">
          <a:extLst>
            <a:ext uri="{FF2B5EF4-FFF2-40B4-BE49-F238E27FC236}">
              <a16:creationId xmlns:a16="http://schemas.microsoft.com/office/drawing/2014/main" id="{00000000-0008-0000-0100-0000E1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50" name="Text Box 12">
          <a:extLst>
            <a:ext uri="{FF2B5EF4-FFF2-40B4-BE49-F238E27FC236}">
              <a16:creationId xmlns:a16="http://schemas.microsoft.com/office/drawing/2014/main" id="{00000000-0008-0000-0100-0000E2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251" name="Text Box 13">
          <a:extLst>
            <a:ext uri="{FF2B5EF4-FFF2-40B4-BE49-F238E27FC236}">
              <a16:creationId xmlns:a16="http://schemas.microsoft.com/office/drawing/2014/main" id="{00000000-0008-0000-0100-0000E3040000}"/>
            </a:ext>
          </a:extLst>
        </xdr:cNvPr>
        <xdr:cNvSpPr txBox="1">
          <a:spLocks noChangeArrowheads="1"/>
        </xdr:cNvSpPr>
      </xdr:nvSpPr>
      <xdr:spPr bwMode="auto">
        <a:xfrm>
          <a:off x="3901109" y="34074652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252" name="Text Box 14">
          <a:extLst>
            <a:ext uri="{FF2B5EF4-FFF2-40B4-BE49-F238E27FC236}">
              <a16:creationId xmlns:a16="http://schemas.microsoft.com/office/drawing/2014/main" id="{00000000-0008-0000-0100-0000E4040000}"/>
            </a:ext>
          </a:extLst>
        </xdr:cNvPr>
        <xdr:cNvSpPr txBox="1">
          <a:spLocks noChangeArrowheads="1"/>
        </xdr:cNvSpPr>
      </xdr:nvSpPr>
      <xdr:spPr bwMode="auto">
        <a:xfrm>
          <a:off x="3901109" y="340746522"/>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253" name="Text Box 5">
          <a:extLst>
            <a:ext uri="{FF2B5EF4-FFF2-40B4-BE49-F238E27FC236}">
              <a16:creationId xmlns:a16="http://schemas.microsoft.com/office/drawing/2014/main" id="{00000000-0008-0000-0100-0000E5040000}"/>
            </a:ext>
          </a:extLst>
        </xdr:cNvPr>
        <xdr:cNvSpPr txBox="1">
          <a:spLocks noChangeArrowheads="1"/>
        </xdr:cNvSpPr>
      </xdr:nvSpPr>
      <xdr:spPr bwMode="auto">
        <a:xfrm>
          <a:off x="3901109" y="34074652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254" name="Text Box 6">
          <a:extLst>
            <a:ext uri="{FF2B5EF4-FFF2-40B4-BE49-F238E27FC236}">
              <a16:creationId xmlns:a16="http://schemas.microsoft.com/office/drawing/2014/main" id="{00000000-0008-0000-0100-0000E6040000}"/>
            </a:ext>
          </a:extLst>
        </xdr:cNvPr>
        <xdr:cNvSpPr txBox="1">
          <a:spLocks noChangeArrowheads="1"/>
        </xdr:cNvSpPr>
      </xdr:nvSpPr>
      <xdr:spPr bwMode="auto">
        <a:xfrm>
          <a:off x="3901109" y="34074652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255" name="Text Box 7">
          <a:extLst>
            <a:ext uri="{FF2B5EF4-FFF2-40B4-BE49-F238E27FC236}">
              <a16:creationId xmlns:a16="http://schemas.microsoft.com/office/drawing/2014/main" id="{00000000-0008-0000-0100-0000E7040000}"/>
            </a:ext>
          </a:extLst>
        </xdr:cNvPr>
        <xdr:cNvSpPr txBox="1">
          <a:spLocks noChangeArrowheads="1"/>
        </xdr:cNvSpPr>
      </xdr:nvSpPr>
      <xdr:spPr bwMode="auto">
        <a:xfrm>
          <a:off x="3901109" y="34074652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256" name="Text Box 8">
          <a:extLst>
            <a:ext uri="{FF2B5EF4-FFF2-40B4-BE49-F238E27FC236}">
              <a16:creationId xmlns:a16="http://schemas.microsoft.com/office/drawing/2014/main" id="{00000000-0008-0000-0100-0000E8040000}"/>
            </a:ext>
          </a:extLst>
        </xdr:cNvPr>
        <xdr:cNvSpPr txBox="1">
          <a:spLocks noChangeArrowheads="1"/>
        </xdr:cNvSpPr>
      </xdr:nvSpPr>
      <xdr:spPr bwMode="auto">
        <a:xfrm>
          <a:off x="3901109" y="34074652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257" name="Text Box 9">
          <a:extLst>
            <a:ext uri="{FF2B5EF4-FFF2-40B4-BE49-F238E27FC236}">
              <a16:creationId xmlns:a16="http://schemas.microsoft.com/office/drawing/2014/main" id="{00000000-0008-0000-0100-0000E9040000}"/>
            </a:ext>
          </a:extLst>
        </xdr:cNvPr>
        <xdr:cNvSpPr txBox="1">
          <a:spLocks noChangeArrowheads="1"/>
        </xdr:cNvSpPr>
      </xdr:nvSpPr>
      <xdr:spPr bwMode="auto">
        <a:xfrm>
          <a:off x="3901109" y="34074652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258" name="Text Box 10">
          <a:extLst>
            <a:ext uri="{FF2B5EF4-FFF2-40B4-BE49-F238E27FC236}">
              <a16:creationId xmlns:a16="http://schemas.microsoft.com/office/drawing/2014/main" id="{00000000-0008-0000-0100-0000EA040000}"/>
            </a:ext>
          </a:extLst>
        </xdr:cNvPr>
        <xdr:cNvSpPr txBox="1">
          <a:spLocks noChangeArrowheads="1"/>
        </xdr:cNvSpPr>
      </xdr:nvSpPr>
      <xdr:spPr bwMode="auto">
        <a:xfrm>
          <a:off x="3901109" y="34074652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259" name="Text Box 11">
          <a:extLst>
            <a:ext uri="{FF2B5EF4-FFF2-40B4-BE49-F238E27FC236}">
              <a16:creationId xmlns:a16="http://schemas.microsoft.com/office/drawing/2014/main" id="{00000000-0008-0000-0100-0000EB040000}"/>
            </a:ext>
          </a:extLst>
        </xdr:cNvPr>
        <xdr:cNvSpPr txBox="1">
          <a:spLocks noChangeArrowheads="1"/>
        </xdr:cNvSpPr>
      </xdr:nvSpPr>
      <xdr:spPr bwMode="auto">
        <a:xfrm>
          <a:off x="3901109" y="34074652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260" name="Text Box 12">
          <a:extLst>
            <a:ext uri="{FF2B5EF4-FFF2-40B4-BE49-F238E27FC236}">
              <a16:creationId xmlns:a16="http://schemas.microsoft.com/office/drawing/2014/main" id="{00000000-0008-0000-0100-0000EC040000}"/>
            </a:ext>
          </a:extLst>
        </xdr:cNvPr>
        <xdr:cNvSpPr txBox="1">
          <a:spLocks noChangeArrowheads="1"/>
        </xdr:cNvSpPr>
      </xdr:nvSpPr>
      <xdr:spPr bwMode="auto">
        <a:xfrm>
          <a:off x="3901109" y="34074652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261" name="Text Box 1">
          <a:extLst>
            <a:ext uri="{FF2B5EF4-FFF2-40B4-BE49-F238E27FC236}">
              <a16:creationId xmlns:a16="http://schemas.microsoft.com/office/drawing/2014/main" id="{00000000-0008-0000-0100-0000ED040000}"/>
            </a:ext>
          </a:extLst>
        </xdr:cNvPr>
        <xdr:cNvSpPr txBox="1">
          <a:spLocks noChangeArrowheads="1"/>
        </xdr:cNvSpPr>
      </xdr:nvSpPr>
      <xdr:spPr bwMode="auto">
        <a:xfrm>
          <a:off x="4580283" y="340746522"/>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262" name="Text Box 1">
          <a:extLst>
            <a:ext uri="{FF2B5EF4-FFF2-40B4-BE49-F238E27FC236}">
              <a16:creationId xmlns:a16="http://schemas.microsoft.com/office/drawing/2014/main" id="{00000000-0008-0000-0100-0000EE040000}"/>
            </a:ext>
          </a:extLst>
        </xdr:cNvPr>
        <xdr:cNvSpPr txBox="1">
          <a:spLocks noChangeArrowheads="1"/>
        </xdr:cNvSpPr>
      </xdr:nvSpPr>
      <xdr:spPr bwMode="auto">
        <a:xfrm>
          <a:off x="4580283" y="340746522"/>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263" name="Text Box 1">
          <a:extLst>
            <a:ext uri="{FF2B5EF4-FFF2-40B4-BE49-F238E27FC236}">
              <a16:creationId xmlns:a16="http://schemas.microsoft.com/office/drawing/2014/main" id="{00000000-0008-0000-0100-0000EF040000}"/>
            </a:ext>
          </a:extLst>
        </xdr:cNvPr>
        <xdr:cNvSpPr txBox="1">
          <a:spLocks noChangeArrowheads="1"/>
        </xdr:cNvSpPr>
      </xdr:nvSpPr>
      <xdr:spPr bwMode="auto">
        <a:xfrm>
          <a:off x="4580283" y="340746522"/>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264" name="Text Box 1">
          <a:extLst>
            <a:ext uri="{FF2B5EF4-FFF2-40B4-BE49-F238E27FC236}">
              <a16:creationId xmlns:a16="http://schemas.microsoft.com/office/drawing/2014/main" id="{00000000-0008-0000-0100-0000F0040000}"/>
            </a:ext>
          </a:extLst>
        </xdr:cNvPr>
        <xdr:cNvSpPr txBox="1">
          <a:spLocks noChangeArrowheads="1"/>
        </xdr:cNvSpPr>
      </xdr:nvSpPr>
      <xdr:spPr bwMode="auto">
        <a:xfrm>
          <a:off x="4580283" y="340746522"/>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65" name="Text Box 5">
          <a:extLst>
            <a:ext uri="{FF2B5EF4-FFF2-40B4-BE49-F238E27FC236}">
              <a16:creationId xmlns:a16="http://schemas.microsoft.com/office/drawing/2014/main" id="{00000000-0008-0000-0100-0000F1040000}"/>
            </a:ext>
          </a:extLst>
        </xdr:cNvPr>
        <xdr:cNvSpPr txBox="1">
          <a:spLocks noChangeArrowheads="1"/>
        </xdr:cNvSpPr>
      </xdr:nvSpPr>
      <xdr:spPr bwMode="auto">
        <a:xfrm>
          <a:off x="3901109" y="3514807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266" name="Text Box 6">
          <a:extLst>
            <a:ext uri="{FF2B5EF4-FFF2-40B4-BE49-F238E27FC236}">
              <a16:creationId xmlns:a16="http://schemas.microsoft.com/office/drawing/2014/main" id="{00000000-0008-0000-0100-0000F2040000}"/>
            </a:ext>
          </a:extLst>
        </xdr:cNvPr>
        <xdr:cNvSpPr txBox="1">
          <a:spLocks noChangeArrowheads="1"/>
        </xdr:cNvSpPr>
      </xdr:nvSpPr>
      <xdr:spPr bwMode="auto">
        <a:xfrm>
          <a:off x="3901109" y="3514807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67" name="Text Box 16">
          <a:extLst>
            <a:ext uri="{FF2B5EF4-FFF2-40B4-BE49-F238E27FC236}">
              <a16:creationId xmlns:a16="http://schemas.microsoft.com/office/drawing/2014/main" id="{00000000-0008-0000-0100-0000F3040000}"/>
            </a:ext>
          </a:extLst>
        </xdr:cNvPr>
        <xdr:cNvSpPr txBox="1">
          <a:spLocks noChangeArrowheads="1"/>
        </xdr:cNvSpPr>
      </xdr:nvSpPr>
      <xdr:spPr bwMode="auto">
        <a:xfrm>
          <a:off x="3901109" y="3514807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68" name="Text Box 17">
          <a:extLst>
            <a:ext uri="{FF2B5EF4-FFF2-40B4-BE49-F238E27FC236}">
              <a16:creationId xmlns:a16="http://schemas.microsoft.com/office/drawing/2014/main" id="{00000000-0008-0000-0100-0000F4040000}"/>
            </a:ext>
          </a:extLst>
        </xdr:cNvPr>
        <xdr:cNvSpPr txBox="1">
          <a:spLocks noChangeArrowheads="1"/>
        </xdr:cNvSpPr>
      </xdr:nvSpPr>
      <xdr:spPr bwMode="auto">
        <a:xfrm>
          <a:off x="3901109" y="3514807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69" name="Text Box 18">
          <a:extLst>
            <a:ext uri="{FF2B5EF4-FFF2-40B4-BE49-F238E27FC236}">
              <a16:creationId xmlns:a16="http://schemas.microsoft.com/office/drawing/2014/main" id="{00000000-0008-0000-0100-0000F5040000}"/>
            </a:ext>
          </a:extLst>
        </xdr:cNvPr>
        <xdr:cNvSpPr txBox="1">
          <a:spLocks noChangeArrowheads="1"/>
        </xdr:cNvSpPr>
      </xdr:nvSpPr>
      <xdr:spPr bwMode="auto">
        <a:xfrm>
          <a:off x="3901109" y="3514807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70" name="Text Box 19">
          <a:extLst>
            <a:ext uri="{FF2B5EF4-FFF2-40B4-BE49-F238E27FC236}">
              <a16:creationId xmlns:a16="http://schemas.microsoft.com/office/drawing/2014/main" id="{00000000-0008-0000-0100-0000F6040000}"/>
            </a:ext>
          </a:extLst>
        </xdr:cNvPr>
        <xdr:cNvSpPr txBox="1">
          <a:spLocks noChangeArrowheads="1"/>
        </xdr:cNvSpPr>
      </xdr:nvSpPr>
      <xdr:spPr bwMode="auto">
        <a:xfrm>
          <a:off x="3901109" y="3514807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71" name="Text Box 20">
          <a:extLst>
            <a:ext uri="{FF2B5EF4-FFF2-40B4-BE49-F238E27FC236}">
              <a16:creationId xmlns:a16="http://schemas.microsoft.com/office/drawing/2014/main" id="{00000000-0008-0000-0100-0000F7040000}"/>
            </a:ext>
          </a:extLst>
        </xdr:cNvPr>
        <xdr:cNvSpPr txBox="1">
          <a:spLocks noChangeArrowheads="1"/>
        </xdr:cNvSpPr>
      </xdr:nvSpPr>
      <xdr:spPr bwMode="auto">
        <a:xfrm>
          <a:off x="3901109" y="3514807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272" name="Text Box 21">
          <a:extLst>
            <a:ext uri="{FF2B5EF4-FFF2-40B4-BE49-F238E27FC236}">
              <a16:creationId xmlns:a16="http://schemas.microsoft.com/office/drawing/2014/main" id="{00000000-0008-0000-0100-0000F8040000}"/>
            </a:ext>
          </a:extLst>
        </xdr:cNvPr>
        <xdr:cNvSpPr txBox="1">
          <a:spLocks noChangeArrowheads="1"/>
        </xdr:cNvSpPr>
      </xdr:nvSpPr>
      <xdr:spPr bwMode="auto">
        <a:xfrm>
          <a:off x="3901109" y="3514807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273" name="Text Box 22">
          <a:extLst>
            <a:ext uri="{FF2B5EF4-FFF2-40B4-BE49-F238E27FC236}">
              <a16:creationId xmlns:a16="http://schemas.microsoft.com/office/drawing/2014/main" id="{00000000-0008-0000-0100-0000F9040000}"/>
            </a:ext>
          </a:extLst>
        </xdr:cNvPr>
        <xdr:cNvSpPr txBox="1">
          <a:spLocks noChangeArrowheads="1"/>
        </xdr:cNvSpPr>
      </xdr:nvSpPr>
      <xdr:spPr bwMode="auto">
        <a:xfrm>
          <a:off x="3901109" y="3514807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274" name="Text Box 1">
          <a:extLst>
            <a:ext uri="{FF2B5EF4-FFF2-40B4-BE49-F238E27FC236}">
              <a16:creationId xmlns:a16="http://schemas.microsoft.com/office/drawing/2014/main" id="{00000000-0008-0000-0100-0000FA040000}"/>
            </a:ext>
          </a:extLst>
        </xdr:cNvPr>
        <xdr:cNvSpPr txBox="1">
          <a:spLocks noChangeArrowheads="1"/>
        </xdr:cNvSpPr>
      </xdr:nvSpPr>
      <xdr:spPr bwMode="auto">
        <a:xfrm>
          <a:off x="4580283" y="35148078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275" name="Text Box 1">
          <a:extLst>
            <a:ext uri="{FF2B5EF4-FFF2-40B4-BE49-F238E27FC236}">
              <a16:creationId xmlns:a16="http://schemas.microsoft.com/office/drawing/2014/main" id="{00000000-0008-0000-0100-0000FB040000}"/>
            </a:ext>
          </a:extLst>
        </xdr:cNvPr>
        <xdr:cNvSpPr txBox="1">
          <a:spLocks noChangeArrowheads="1"/>
        </xdr:cNvSpPr>
      </xdr:nvSpPr>
      <xdr:spPr bwMode="auto">
        <a:xfrm>
          <a:off x="4580283" y="35148078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276" name="Text Box 1">
          <a:extLst>
            <a:ext uri="{FF2B5EF4-FFF2-40B4-BE49-F238E27FC236}">
              <a16:creationId xmlns:a16="http://schemas.microsoft.com/office/drawing/2014/main" id="{00000000-0008-0000-0100-0000FC040000}"/>
            </a:ext>
          </a:extLst>
        </xdr:cNvPr>
        <xdr:cNvSpPr txBox="1">
          <a:spLocks noChangeArrowheads="1"/>
        </xdr:cNvSpPr>
      </xdr:nvSpPr>
      <xdr:spPr bwMode="auto">
        <a:xfrm>
          <a:off x="4580283" y="35148078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277" name="Text Box 1">
          <a:extLst>
            <a:ext uri="{FF2B5EF4-FFF2-40B4-BE49-F238E27FC236}">
              <a16:creationId xmlns:a16="http://schemas.microsoft.com/office/drawing/2014/main" id="{00000000-0008-0000-0100-0000FD040000}"/>
            </a:ext>
          </a:extLst>
        </xdr:cNvPr>
        <xdr:cNvSpPr txBox="1">
          <a:spLocks noChangeArrowheads="1"/>
        </xdr:cNvSpPr>
      </xdr:nvSpPr>
      <xdr:spPr bwMode="auto">
        <a:xfrm>
          <a:off x="4580283" y="35148078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78" name="Text Box 5">
          <a:extLst>
            <a:ext uri="{FF2B5EF4-FFF2-40B4-BE49-F238E27FC236}">
              <a16:creationId xmlns:a16="http://schemas.microsoft.com/office/drawing/2014/main" id="{00000000-0008-0000-0100-0000FE04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79" name="Text Box 6">
          <a:extLst>
            <a:ext uri="{FF2B5EF4-FFF2-40B4-BE49-F238E27FC236}">
              <a16:creationId xmlns:a16="http://schemas.microsoft.com/office/drawing/2014/main" id="{00000000-0008-0000-0100-0000FF04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0" name="Text Box 7">
          <a:extLst>
            <a:ext uri="{FF2B5EF4-FFF2-40B4-BE49-F238E27FC236}">
              <a16:creationId xmlns:a16="http://schemas.microsoft.com/office/drawing/2014/main" id="{00000000-0008-0000-0100-000000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1" name="Text Box 8">
          <a:extLst>
            <a:ext uri="{FF2B5EF4-FFF2-40B4-BE49-F238E27FC236}">
              <a16:creationId xmlns:a16="http://schemas.microsoft.com/office/drawing/2014/main" id="{00000000-0008-0000-0100-000001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2" name="Text Box 9">
          <a:extLst>
            <a:ext uri="{FF2B5EF4-FFF2-40B4-BE49-F238E27FC236}">
              <a16:creationId xmlns:a16="http://schemas.microsoft.com/office/drawing/2014/main" id="{00000000-0008-0000-0100-000002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3" name="Text Box 10">
          <a:extLst>
            <a:ext uri="{FF2B5EF4-FFF2-40B4-BE49-F238E27FC236}">
              <a16:creationId xmlns:a16="http://schemas.microsoft.com/office/drawing/2014/main" id="{00000000-0008-0000-0100-000003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4" name="Text Box 11">
          <a:extLst>
            <a:ext uri="{FF2B5EF4-FFF2-40B4-BE49-F238E27FC236}">
              <a16:creationId xmlns:a16="http://schemas.microsoft.com/office/drawing/2014/main" id="{00000000-0008-0000-0100-000004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5" name="Text Box 12">
          <a:extLst>
            <a:ext uri="{FF2B5EF4-FFF2-40B4-BE49-F238E27FC236}">
              <a16:creationId xmlns:a16="http://schemas.microsoft.com/office/drawing/2014/main" id="{00000000-0008-0000-0100-000005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6" name="Text Box 13">
          <a:extLst>
            <a:ext uri="{FF2B5EF4-FFF2-40B4-BE49-F238E27FC236}">
              <a16:creationId xmlns:a16="http://schemas.microsoft.com/office/drawing/2014/main" id="{00000000-0008-0000-0100-000006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287" name="Text Box 14">
          <a:extLst>
            <a:ext uri="{FF2B5EF4-FFF2-40B4-BE49-F238E27FC236}">
              <a16:creationId xmlns:a16="http://schemas.microsoft.com/office/drawing/2014/main" id="{00000000-0008-0000-0100-000007050000}"/>
            </a:ext>
          </a:extLst>
        </xdr:cNvPr>
        <xdr:cNvSpPr txBox="1">
          <a:spLocks noChangeArrowheads="1"/>
        </xdr:cNvSpPr>
      </xdr:nvSpPr>
      <xdr:spPr bwMode="auto">
        <a:xfrm>
          <a:off x="3901109" y="305156152"/>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8" name="Text Box 15">
          <a:extLst>
            <a:ext uri="{FF2B5EF4-FFF2-40B4-BE49-F238E27FC236}">
              <a16:creationId xmlns:a16="http://schemas.microsoft.com/office/drawing/2014/main" id="{00000000-0008-0000-0100-000008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89" name="Text Box 16">
          <a:extLst>
            <a:ext uri="{FF2B5EF4-FFF2-40B4-BE49-F238E27FC236}">
              <a16:creationId xmlns:a16="http://schemas.microsoft.com/office/drawing/2014/main" id="{00000000-0008-0000-0100-000009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0" name="Text Box 17">
          <a:extLst>
            <a:ext uri="{FF2B5EF4-FFF2-40B4-BE49-F238E27FC236}">
              <a16:creationId xmlns:a16="http://schemas.microsoft.com/office/drawing/2014/main" id="{00000000-0008-0000-0100-00000A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1" name="Text Box 18">
          <a:extLst>
            <a:ext uri="{FF2B5EF4-FFF2-40B4-BE49-F238E27FC236}">
              <a16:creationId xmlns:a16="http://schemas.microsoft.com/office/drawing/2014/main" id="{00000000-0008-0000-0100-00000B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2" name="Text Box 19">
          <a:extLst>
            <a:ext uri="{FF2B5EF4-FFF2-40B4-BE49-F238E27FC236}">
              <a16:creationId xmlns:a16="http://schemas.microsoft.com/office/drawing/2014/main" id="{00000000-0008-0000-0100-00000C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3" name="Text Box 20">
          <a:extLst>
            <a:ext uri="{FF2B5EF4-FFF2-40B4-BE49-F238E27FC236}">
              <a16:creationId xmlns:a16="http://schemas.microsoft.com/office/drawing/2014/main" id="{00000000-0008-0000-0100-00000D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4" name="Text Box 21">
          <a:extLst>
            <a:ext uri="{FF2B5EF4-FFF2-40B4-BE49-F238E27FC236}">
              <a16:creationId xmlns:a16="http://schemas.microsoft.com/office/drawing/2014/main" id="{00000000-0008-0000-0100-00000E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5" name="Text Box 22">
          <a:extLst>
            <a:ext uri="{FF2B5EF4-FFF2-40B4-BE49-F238E27FC236}">
              <a16:creationId xmlns:a16="http://schemas.microsoft.com/office/drawing/2014/main" id="{00000000-0008-0000-0100-00000F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6" name="Text Box 7">
          <a:extLst>
            <a:ext uri="{FF2B5EF4-FFF2-40B4-BE49-F238E27FC236}">
              <a16:creationId xmlns:a16="http://schemas.microsoft.com/office/drawing/2014/main" id="{00000000-0008-0000-0100-000010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7" name="Text Box 8">
          <a:extLst>
            <a:ext uri="{FF2B5EF4-FFF2-40B4-BE49-F238E27FC236}">
              <a16:creationId xmlns:a16="http://schemas.microsoft.com/office/drawing/2014/main" id="{00000000-0008-0000-0100-000011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8" name="Text Box 9">
          <a:extLst>
            <a:ext uri="{FF2B5EF4-FFF2-40B4-BE49-F238E27FC236}">
              <a16:creationId xmlns:a16="http://schemas.microsoft.com/office/drawing/2014/main" id="{00000000-0008-0000-0100-000012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299" name="Text Box 10">
          <a:extLst>
            <a:ext uri="{FF2B5EF4-FFF2-40B4-BE49-F238E27FC236}">
              <a16:creationId xmlns:a16="http://schemas.microsoft.com/office/drawing/2014/main" id="{00000000-0008-0000-0100-000013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00" name="Text Box 11">
          <a:extLst>
            <a:ext uri="{FF2B5EF4-FFF2-40B4-BE49-F238E27FC236}">
              <a16:creationId xmlns:a16="http://schemas.microsoft.com/office/drawing/2014/main" id="{00000000-0008-0000-0100-000014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01" name="Text Box 12">
          <a:extLst>
            <a:ext uri="{FF2B5EF4-FFF2-40B4-BE49-F238E27FC236}">
              <a16:creationId xmlns:a16="http://schemas.microsoft.com/office/drawing/2014/main" id="{00000000-0008-0000-0100-000015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02" name="Text Box 13">
          <a:extLst>
            <a:ext uri="{FF2B5EF4-FFF2-40B4-BE49-F238E27FC236}">
              <a16:creationId xmlns:a16="http://schemas.microsoft.com/office/drawing/2014/main" id="{00000000-0008-0000-0100-000016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303" name="Text Box 14">
          <a:extLst>
            <a:ext uri="{FF2B5EF4-FFF2-40B4-BE49-F238E27FC236}">
              <a16:creationId xmlns:a16="http://schemas.microsoft.com/office/drawing/2014/main" id="{00000000-0008-0000-0100-000017050000}"/>
            </a:ext>
          </a:extLst>
        </xdr:cNvPr>
        <xdr:cNvSpPr txBox="1">
          <a:spLocks noChangeArrowheads="1"/>
        </xdr:cNvSpPr>
      </xdr:nvSpPr>
      <xdr:spPr bwMode="auto">
        <a:xfrm>
          <a:off x="3901109" y="305156152"/>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04" name="Text Box 15">
          <a:extLst>
            <a:ext uri="{FF2B5EF4-FFF2-40B4-BE49-F238E27FC236}">
              <a16:creationId xmlns:a16="http://schemas.microsoft.com/office/drawing/2014/main" id="{00000000-0008-0000-0100-000018050000}"/>
            </a:ext>
          </a:extLst>
        </xdr:cNvPr>
        <xdr:cNvSpPr txBox="1">
          <a:spLocks noChangeArrowheads="1"/>
        </xdr:cNvSpPr>
      </xdr:nvSpPr>
      <xdr:spPr bwMode="auto">
        <a:xfrm>
          <a:off x="3901109" y="3051561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05" name="Text Box 5">
          <a:extLst>
            <a:ext uri="{FF2B5EF4-FFF2-40B4-BE49-F238E27FC236}">
              <a16:creationId xmlns:a16="http://schemas.microsoft.com/office/drawing/2014/main" id="{00000000-0008-0000-0100-000019050000}"/>
            </a:ext>
          </a:extLst>
        </xdr:cNvPr>
        <xdr:cNvSpPr txBox="1">
          <a:spLocks noChangeArrowheads="1"/>
        </xdr:cNvSpPr>
      </xdr:nvSpPr>
      <xdr:spPr bwMode="auto">
        <a:xfrm>
          <a:off x="3901109" y="3051561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306" name="Text Box 6">
          <a:extLst>
            <a:ext uri="{FF2B5EF4-FFF2-40B4-BE49-F238E27FC236}">
              <a16:creationId xmlns:a16="http://schemas.microsoft.com/office/drawing/2014/main" id="{00000000-0008-0000-0100-00001A050000}"/>
            </a:ext>
          </a:extLst>
        </xdr:cNvPr>
        <xdr:cNvSpPr txBox="1">
          <a:spLocks noChangeArrowheads="1"/>
        </xdr:cNvSpPr>
      </xdr:nvSpPr>
      <xdr:spPr bwMode="auto">
        <a:xfrm>
          <a:off x="3901109" y="30515615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07" name="Text Box 7">
          <a:extLst>
            <a:ext uri="{FF2B5EF4-FFF2-40B4-BE49-F238E27FC236}">
              <a16:creationId xmlns:a16="http://schemas.microsoft.com/office/drawing/2014/main" id="{00000000-0008-0000-0100-00001B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08" name="Text Box 8">
          <a:extLst>
            <a:ext uri="{FF2B5EF4-FFF2-40B4-BE49-F238E27FC236}">
              <a16:creationId xmlns:a16="http://schemas.microsoft.com/office/drawing/2014/main" id="{00000000-0008-0000-0100-00001C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09" name="Text Box 9">
          <a:extLst>
            <a:ext uri="{FF2B5EF4-FFF2-40B4-BE49-F238E27FC236}">
              <a16:creationId xmlns:a16="http://schemas.microsoft.com/office/drawing/2014/main" id="{00000000-0008-0000-0100-00001D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10" name="Text Box 10">
          <a:extLst>
            <a:ext uri="{FF2B5EF4-FFF2-40B4-BE49-F238E27FC236}">
              <a16:creationId xmlns:a16="http://schemas.microsoft.com/office/drawing/2014/main" id="{00000000-0008-0000-0100-00001E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11" name="Text Box 11">
          <a:extLst>
            <a:ext uri="{FF2B5EF4-FFF2-40B4-BE49-F238E27FC236}">
              <a16:creationId xmlns:a16="http://schemas.microsoft.com/office/drawing/2014/main" id="{00000000-0008-0000-0100-00001F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12" name="Text Box 12">
          <a:extLst>
            <a:ext uri="{FF2B5EF4-FFF2-40B4-BE49-F238E27FC236}">
              <a16:creationId xmlns:a16="http://schemas.microsoft.com/office/drawing/2014/main" id="{00000000-0008-0000-0100-000020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13" name="Text Box 13">
          <a:extLst>
            <a:ext uri="{FF2B5EF4-FFF2-40B4-BE49-F238E27FC236}">
              <a16:creationId xmlns:a16="http://schemas.microsoft.com/office/drawing/2014/main" id="{00000000-0008-0000-0100-000021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314" name="Text Box 14">
          <a:extLst>
            <a:ext uri="{FF2B5EF4-FFF2-40B4-BE49-F238E27FC236}">
              <a16:creationId xmlns:a16="http://schemas.microsoft.com/office/drawing/2014/main" id="{00000000-0008-0000-0100-000022050000}"/>
            </a:ext>
          </a:extLst>
        </xdr:cNvPr>
        <xdr:cNvSpPr txBox="1">
          <a:spLocks noChangeArrowheads="1"/>
        </xdr:cNvSpPr>
      </xdr:nvSpPr>
      <xdr:spPr bwMode="auto">
        <a:xfrm>
          <a:off x="3901109" y="305156152"/>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15" name="Text Box 15">
          <a:extLst>
            <a:ext uri="{FF2B5EF4-FFF2-40B4-BE49-F238E27FC236}">
              <a16:creationId xmlns:a16="http://schemas.microsoft.com/office/drawing/2014/main" id="{00000000-0008-0000-0100-000023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16" name="Text Box 16">
          <a:extLst>
            <a:ext uri="{FF2B5EF4-FFF2-40B4-BE49-F238E27FC236}">
              <a16:creationId xmlns:a16="http://schemas.microsoft.com/office/drawing/2014/main" id="{00000000-0008-0000-0100-000024050000}"/>
            </a:ext>
          </a:extLst>
        </xdr:cNvPr>
        <xdr:cNvSpPr txBox="1">
          <a:spLocks noChangeArrowheads="1"/>
        </xdr:cNvSpPr>
      </xdr:nvSpPr>
      <xdr:spPr bwMode="auto">
        <a:xfrm>
          <a:off x="3901109" y="3051561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17" name="Text Box 17">
          <a:extLst>
            <a:ext uri="{FF2B5EF4-FFF2-40B4-BE49-F238E27FC236}">
              <a16:creationId xmlns:a16="http://schemas.microsoft.com/office/drawing/2014/main" id="{00000000-0008-0000-0100-000025050000}"/>
            </a:ext>
          </a:extLst>
        </xdr:cNvPr>
        <xdr:cNvSpPr txBox="1">
          <a:spLocks noChangeArrowheads="1"/>
        </xdr:cNvSpPr>
      </xdr:nvSpPr>
      <xdr:spPr bwMode="auto">
        <a:xfrm>
          <a:off x="3901109" y="3051561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18" name="Text Box 18">
          <a:extLst>
            <a:ext uri="{FF2B5EF4-FFF2-40B4-BE49-F238E27FC236}">
              <a16:creationId xmlns:a16="http://schemas.microsoft.com/office/drawing/2014/main" id="{00000000-0008-0000-0100-000026050000}"/>
            </a:ext>
          </a:extLst>
        </xdr:cNvPr>
        <xdr:cNvSpPr txBox="1">
          <a:spLocks noChangeArrowheads="1"/>
        </xdr:cNvSpPr>
      </xdr:nvSpPr>
      <xdr:spPr bwMode="auto">
        <a:xfrm>
          <a:off x="3901109" y="3051561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19" name="Text Box 19">
          <a:extLst>
            <a:ext uri="{FF2B5EF4-FFF2-40B4-BE49-F238E27FC236}">
              <a16:creationId xmlns:a16="http://schemas.microsoft.com/office/drawing/2014/main" id="{00000000-0008-0000-0100-000027050000}"/>
            </a:ext>
          </a:extLst>
        </xdr:cNvPr>
        <xdr:cNvSpPr txBox="1">
          <a:spLocks noChangeArrowheads="1"/>
        </xdr:cNvSpPr>
      </xdr:nvSpPr>
      <xdr:spPr bwMode="auto">
        <a:xfrm>
          <a:off x="3901109" y="3051561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20" name="Text Box 20">
          <a:extLst>
            <a:ext uri="{FF2B5EF4-FFF2-40B4-BE49-F238E27FC236}">
              <a16:creationId xmlns:a16="http://schemas.microsoft.com/office/drawing/2014/main" id="{00000000-0008-0000-0100-000028050000}"/>
            </a:ext>
          </a:extLst>
        </xdr:cNvPr>
        <xdr:cNvSpPr txBox="1">
          <a:spLocks noChangeArrowheads="1"/>
        </xdr:cNvSpPr>
      </xdr:nvSpPr>
      <xdr:spPr bwMode="auto">
        <a:xfrm>
          <a:off x="3901109" y="3051561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21" name="Text Box 21">
          <a:extLst>
            <a:ext uri="{FF2B5EF4-FFF2-40B4-BE49-F238E27FC236}">
              <a16:creationId xmlns:a16="http://schemas.microsoft.com/office/drawing/2014/main" id="{00000000-0008-0000-0100-000029050000}"/>
            </a:ext>
          </a:extLst>
        </xdr:cNvPr>
        <xdr:cNvSpPr txBox="1">
          <a:spLocks noChangeArrowheads="1"/>
        </xdr:cNvSpPr>
      </xdr:nvSpPr>
      <xdr:spPr bwMode="auto">
        <a:xfrm>
          <a:off x="3901109" y="3051561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322" name="Text Box 22">
          <a:extLst>
            <a:ext uri="{FF2B5EF4-FFF2-40B4-BE49-F238E27FC236}">
              <a16:creationId xmlns:a16="http://schemas.microsoft.com/office/drawing/2014/main" id="{00000000-0008-0000-0100-00002A050000}"/>
            </a:ext>
          </a:extLst>
        </xdr:cNvPr>
        <xdr:cNvSpPr txBox="1">
          <a:spLocks noChangeArrowheads="1"/>
        </xdr:cNvSpPr>
      </xdr:nvSpPr>
      <xdr:spPr bwMode="auto">
        <a:xfrm>
          <a:off x="3901109" y="30515615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23" name="Text Box 7">
          <a:extLst>
            <a:ext uri="{FF2B5EF4-FFF2-40B4-BE49-F238E27FC236}">
              <a16:creationId xmlns:a16="http://schemas.microsoft.com/office/drawing/2014/main" id="{00000000-0008-0000-0100-00002B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24" name="Text Box 8">
          <a:extLst>
            <a:ext uri="{FF2B5EF4-FFF2-40B4-BE49-F238E27FC236}">
              <a16:creationId xmlns:a16="http://schemas.microsoft.com/office/drawing/2014/main" id="{00000000-0008-0000-0100-00002C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25" name="Text Box 9">
          <a:extLst>
            <a:ext uri="{FF2B5EF4-FFF2-40B4-BE49-F238E27FC236}">
              <a16:creationId xmlns:a16="http://schemas.microsoft.com/office/drawing/2014/main" id="{00000000-0008-0000-0100-00002D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26" name="Text Box 10">
          <a:extLst>
            <a:ext uri="{FF2B5EF4-FFF2-40B4-BE49-F238E27FC236}">
              <a16:creationId xmlns:a16="http://schemas.microsoft.com/office/drawing/2014/main" id="{00000000-0008-0000-0100-00002E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27" name="Text Box 11">
          <a:extLst>
            <a:ext uri="{FF2B5EF4-FFF2-40B4-BE49-F238E27FC236}">
              <a16:creationId xmlns:a16="http://schemas.microsoft.com/office/drawing/2014/main" id="{00000000-0008-0000-0100-00002F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28" name="Text Box 12">
          <a:extLst>
            <a:ext uri="{FF2B5EF4-FFF2-40B4-BE49-F238E27FC236}">
              <a16:creationId xmlns:a16="http://schemas.microsoft.com/office/drawing/2014/main" id="{00000000-0008-0000-0100-000030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29" name="Text Box 13">
          <a:extLst>
            <a:ext uri="{FF2B5EF4-FFF2-40B4-BE49-F238E27FC236}">
              <a16:creationId xmlns:a16="http://schemas.microsoft.com/office/drawing/2014/main" id="{00000000-0008-0000-0100-000031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330" name="Text Box 14">
          <a:extLst>
            <a:ext uri="{FF2B5EF4-FFF2-40B4-BE49-F238E27FC236}">
              <a16:creationId xmlns:a16="http://schemas.microsoft.com/office/drawing/2014/main" id="{00000000-0008-0000-0100-000032050000}"/>
            </a:ext>
          </a:extLst>
        </xdr:cNvPr>
        <xdr:cNvSpPr txBox="1">
          <a:spLocks noChangeArrowheads="1"/>
        </xdr:cNvSpPr>
      </xdr:nvSpPr>
      <xdr:spPr bwMode="auto">
        <a:xfrm>
          <a:off x="3901109" y="305156152"/>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331" name="Text Box 15">
          <a:extLst>
            <a:ext uri="{FF2B5EF4-FFF2-40B4-BE49-F238E27FC236}">
              <a16:creationId xmlns:a16="http://schemas.microsoft.com/office/drawing/2014/main" id="{00000000-0008-0000-0100-000033050000}"/>
            </a:ext>
          </a:extLst>
        </xdr:cNvPr>
        <xdr:cNvSpPr txBox="1">
          <a:spLocks noChangeArrowheads="1"/>
        </xdr:cNvSpPr>
      </xdr:nvSpPr>
      <xdr:spPr bwMode="auto">
        <a:xfrm>
          <a:off x="3901109" y="3051561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32" name="Text Box 5">
          <a:extLst>
            <a:ext uri="{FF2B5EF4-FFF2-40B4-BE49-F238E27FC236}">
              <a16:creationId xmlns:a16="http://schemas.microsoft.com/office/drawing/2014/main" id="{00000000-0008-0000-0100-000034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333" name="Text Box 6">
          <a:extLst>
            <a:ext uri="{FF2B5EF4-FFF2-40B4-BE49-F238E27FC236}">
              <a16:creationId xmlns:a16="http://schemas.microsoft.com/office/drawing/2014/main" id="{00000000-0008-0000-0100-000035050000}"/>
            </a:ext>
          </a:extLst>
        </xdr:cNvPr>
        <xdr:cNvSpPr txBox="1">
          <a:spLocks noChangeArrowheads="1"/>
        </xdr:cNvSpPr>
      </xdr:nvSpPr>
      <xdr:spPr bwMode="auto">
        <a:xfrm>
          <a:off x="3901109" y="305156152"/>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34" name="Text Box 7">
          <a:extLst>
            <a:ext uri="{FF2B5EF4-FFF2-40B4-BE49-F238E27FC236}">
              <a16:creationId xmlns:a16="http://schemas.microsoft.com/office/drawing/2014/main" id="{00000000-0008-0000-0100-000036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35" name="Text Box 8">
          <a:extLst>
            <a:ext uri="{FF2B5EF4-FFF2-40B4-BE49-F238E27FC236}">
              <a16:creationId xmlns:a16="http://schemas.microsoft.com/office/drawing/2014/main" id="{00000000-0008-0000-0100-000037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36" name="Text Box 9">
          <a:extLst>
            <a:ext uri="{FF2B5EF4-FFF2-40B4-BE49-F238E27FC236}">
              <a16:creationId xmlns:a16="http://schemas.microsoft.com/office/drawing/2014/main" id="{00000000-0008-0000-0100-000038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37" name="Text Box 10">
          <a:extLst>
            <a:ext uri="{FF2B5EF4-FFF2-40B4-BE49-F238E27FC236}">
              <a16:creationId xmlns:a16="http://schemas.microsoft.com/office/drawing/2014/main" id="{00000000-0008-0000-0100-000039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38" name="Text Box 11">
          <a:extLst>
            <a:ext uri="{FF2B5EF4-FFF2-40B4-BE49-F238E27FC236}">
              <a16:creationId xmlns:a16="http://schemas.microsoft.com/office/drawing/2014/main" id="{00000000-0008-0000-0100-00003A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39" name="Text Box 12">
          <a:extLst>
            <a:ext uri="{FF2B5EF4-FFF2-40B4-BE49-F238E27FC236}">
              <a16:creationId xmlns:a16="http://schemas.microsoft.com/office/drawing/2014/main" id="{00000000-0008-0000-0100-00003B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40" name="Text Box 13">
          <a:extLst>
            <a:ext uri="{FF2B5EF4-FFF2-40B4-BE49-F238E27FC236}">
              <a16:creationId xmlns:a16="http://schemas.microsoft.com/office/drawing/2014/main" id="{00000000-0008-0000-0100-00003C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341" name="Text Box 14">
          <a:extLst>
            <a:ext uri="{FF2B5EF4-FFF2-40B4-BE49-F238E27FC236}">
              <a16:creationId xmlns:a16="http://schemas.microsoft.com/office/drawing/2014/main" id="{00000000-0008-0000-0100-00003D050000}"/>
            </a:ext>
          </a:extLst>
        </xdr:cNvPr>
        <xdr:cNvSpPr txBox="1">
          <a:spLocks noChangeArrowheads="1"/>
        </xdr:cNvSpPr>
      </xdr:nvSpPr>
      <xdr:spPr bwMode="auto">
        <a:xfrm>
          <a:off x="3901109" y="305156152"/>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42" name="Text Box 15">
          <a:extLst>
            <a:ext uri="{FF2B5EF4-FFF2-40B4-BE49-F238E27FC236}">
              <a16:creationId xmlns:a16="http://schemas.microsoft.com/office/drawing/2014/main" id="{00000000-0008-0000-0100-00003E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43" name="Text Box 16">
          <a:extLst>
            <a:ext uri="{FF2B5EF4-FFF2-40B4-BE49-F238E27FC236}">
              <a16:creationId xmlns:a16="http://schemas.microsoft.com/office/drawing/2014/main" id="{00000000-0008-0000-0100-00003F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44" name="Text Box 17">
          <a:extLst>
            <a:ext uri="{FF2B5EF4-FFF2-40B4-BE49-F238E27FC236}">
              <a16:creationId xmlns:a16="http://schemas.microsoft.com/office/drawing/2014/main" id="{00000000-0008-0000-0100-000040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45" name="Text Box 18">
          <a:extLst>
            <a:ext uri="{FF2B5EF4-FFF2-40B4-BE49-F238E27FC236}">
              <a16:creationId xmlns:a16="http://schemas.microsoft.com/office/drawing/2014/main" id="{00000000-0008-0000-0100-000041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46" name="Text Box 19">
          <a:extLst>
            <a:ext uri="{FF2B5EF4-FFF2-40B4-BE49-F238E27FC236}">
              <a16:creationId xmlns:a16="http://schemas.microsoft.com/office/drawing/2014/main" id="{00000000-0008-0000-0100-000042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47" name="Text Box 20">
          <a:extLst>
            <a:ext uri="{FF2B5EF4-FFF2-40B4-BE49-F238E27FC236}">
              <a16:creationId xmlns:a16="http://schemas.microsoft.com/office/drawing/2014/main" id="{00000000-0008-0000-0100-000043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48" name="Text Box 21">
          <a:extLst>
            <a:ext uri="{FF2B5EF4-FFF2-40B4-BE49-F238E27FC236}">
              <a16:creationId xmlns:a16="http://schemas.microsoft.com/office/drawing/2014/main" id="{00000000-0008-0000-0100-000044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349" name="Text Box 22">
          <a:extLst>
            <a:ext uri="{FF2B5EF4-FFF2-40B4-BE49-F238E27FC236}">
              <a16:creationId xmlns:a16="http://schemas.microsoft.com/office/drawing/2014/main" id="{00000000-0008-0000-0100-000045050000}"/>
            </a:ext>
          </a:extLst>
        </xdr:cNvPr>
        <xdr:cNvSpPr txBox="1">
          <a:spLocks noChangeArrowheads="1"/>
        </xdr:cNvSpPr>
      </xdr:nvSpPr>
      <xdr:spPr bwMode="auto">
        <a:xfrm>
          <a:off x="3901109" y="305156152"/>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50" name="Text Box 7">
          <a:extLst>
            <a:ext uri="{FF2B5EF4-FFF2-40B4-BE49-F238E27FC236}">
              <a16:creationId xmlns:a16="http://schemas.microsoft.com/office/drawing/2014/main" id="{00000000-0008-0000-0100-000046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51" name="Text Box 8">
          <a:extLst>
            <a:ext uri="{FF2B5EF4-FFF2-40B4-BE49-F238E27FC236}">
              <a16:creationId xmlns:a16="http://schemas.microsoft.com/office/drawing/2014/main" id="{00000000-0008-0000-0100-000047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52" name="Text Box 9">
          <a:extLst>
            <a:ext uri="{FF2B5EF4-FFF2-40B4-BE49-F238E27FC236}">
              <a16:creationId xmlns:a16="http://schemas.microsoft.com/office/drawing/2014/main" id="{00000000-0008-0000-0100-000048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53" name="Text Box 10">
          <a:extLst>
            <a:ext uri="{FF2B5EF4-FFF2-40B4-BE49-F238E27FC236}">
              <a16:creationId xmlns:a16="http://schemas.microsoft.com/office/drawing/2014/main" id="{00000000-0008-0000-0100-000049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54" name="Text Box 11">
          <a:extLst>
            <a:ext uri="{FF2B5EF4-FFF2-40B4-BE49-F238E27FC236}">
              <a16:creationId xmlns:a16="http://schemas.microsoft.com/office/drawing/2014/main" id="{00000000-0008-0000-0100-00004A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55" name="Text Box 12">
          <a:extLst>
            <a:ext uri="{FF2B5EF4-FFF2-40B4-BE49-F238E27FC236}">
              <a16:creationId xmlns:a16="http://schemas.microsoft.com/office/drawing/2014/main" id="{00000000-0008-0000-0100-00004B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356" name="Text Box 13">
          <a:extLst>
            <a:ext uri="{FF2B5EF4-FFF2-40B4-BE49-F238E27FC236}">
              <a16:creationId xmlns:a16="http://schemas.microsoft.com/office/drawing/2014/main" id="{00000000-0008-0000-0100-00004C050000}"/>
            </a:ext>
          </a:extLst>
        </xdr:cNvPr>
        <xdr:cNvSpPr txBox="1">
          <a:spLocks noChangeArrowheads="1"/>
        </xdr:cNvSpPr>
      </xdr:nvSpPr>
      <xdr:spPr bwMode="auto">
        <a:xfrm>
          <a:off x="3901109" y="305156152"/>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357" name="Text Box 14">
          <a:extLst>
            <a:ext uri="{FF2B5EF4-FFF2-40B4-BE49-F238E27FC236}">
              <a16:creationId xmlns:a16="http://schemas.microsoft.com/office/drawing/2014/main" id="{00000000-0008-0000-0100-00004D050000}"/>
            </a:ext>
          </a:extLst>
        </xdr:cNvPr>
        <xdr:cNvSpPr txBox="1">
          <a:spLocks noChangeArrowheads="1"/>
        </xdr:cNvSpPr>
      </xdr:nvSpPr>
      <xdr:spPr bwMode="auto">
        <a:xfrm>
          <a:off x="3901109" y="305156152"/>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358" name="Text Box 5">
          <a:extLst>
            <a:ext uri="{FF2B5EF4-FFF2-40B4-BE49-F238E27FC236}">
              <a16:creationId xmlns:a16="http://schemas.microsoft.com/office/drawing/2014/main" id="{00000000-0008-0000-0100-00004E050000}"/>
            </a:ext>
          </a:extLst>
        </xdr:cNvPr>
        <xdr:cNvSpPr txBox="1">
          <a:spLocks noChangeArrowheads="1"/>
        </xdr:cNvSpPr>
      </xdr:nvSpPr>
      <xdr:spPr bwMode="auto">
        <a:xfrm>
          <a:off x="3901109" y="3051561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359" name="Text Box 6">
          <a:extLst>
            <a:ext uri="{FF2B5EF4-FFF2-40B4-BE49-F238E27FC236}">
              <a16:creationId xmlns:a16="http://schemas.microsoft.com/office/drawing/2014/main" id="{00000000-0008-0000-0100-00004F050000}"/>
            </a:ext>
          </a:extLst>
        </xdr:cNvPr>
        <xdr:cNvSpPr txBox="1">
          <a:spLocks noChangeArrowheads="1"/>
        </xdr:cNvSpPr>
      </xdr:nvSpPr>
      <xdr:spPr bwMode="auto">
        <a:xfrm>
          <a:off x="3901109" y="3051561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360" name="Text Box 7">
          <a:extLst>
            <a:ext uri="{FF2B5EF4-FFF2-40B4-BE49-F238E27FC236}">
              <a16:creationId xmlns:a16="http://schemas.microsoft.com/office/drawing/2014/main" id="{00000000-0008-0000-0100-000050050000}"/>
            </a:ext>
          </a:extLst>
        </xdr:cNvPr>
        <xdr:cNvSpPr txBox="1">
          <a:spLocks noChangeArrowheads="1"/>
        </xdr:cNvSpPr>
      </xdr:nvSpPr>
      <xdr:spPr bwMode="auto">
        <a:xfrm>
          <a:off x="3901109" y="3051561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361" name="Text Box 8">
          <a:extLst>
            <a:ext uri="{FF2B5EF4-FFF2-40B4-BE49-F238E27FC236}">
              <a16:creationId xmlns:a16="http://schemas.microsoft.com/office/drawing/2014/main" id="{00000000-0008-0000-0100-000051050000}"/>
            </a:ext>
          </a:extLst>
        </xdr:cNvPr>
        <xdr:cNvSpPr txBox="1">
          <a:spLocks noChangeArrowheads="1"/>
        </xdr:cNvSpPr>
      </xdr:nvSpPr>
      <xdr:spPr bwMode="auto">
        <a:xfrm>
          <a:off x="3901109" y="3051561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362" name="Text Box 9">
          <a:extLst>
            <a:ext uri="{FF2B5EF4-FFF2-40B4-BE49-F238E27FC236}">
              <a16:creationId xmlns:a16="http://schemas.microsoft.com/office/drawing/2014/main" id="{00000000-0008-0000-0100-000052050000}"/>
            </a:ext>
          </a:extLst>
        </xdr:cNvPr>
        <xdr:cNvSpPr txBox="1">
          <a:spLocks noChangeArrowheads="1"/>
        </xdr:cNvSpPr>
      </xdr:nvSpPr>
      <xdr:spPr bwMode="auto">
        <a:xfrm>
          <a:off x="3901109" y="3051561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363" name="Text Box 10">
          <a:extLst>
            <a:ext uri="{FF2B5EF4-FFF2-40B4-BE49-F238E27FC236}">
              <a16:creationId xmlns:a16="http://schemas.microsoft.com/office/drawing/2014/main" id="{00000000-0008-0000-0100-000053050000}"/>
            </a:ext>
          </a:extLst>
        </xdr:cNvPr>
        <xdr:cNvSpPr txBox="1">
          <a:spLocks noChangeArrowheads="1"/>
        </xdr:cNvSpPr>
      </xdr:nvSpPr>
      <xdr:spPr bwMode="auto">
        <a:xfrm>
          <a:off x="3901109" y="3051561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364" name="Text Box 11">
          <a:extLst>
            <a:ext uri="{FF2B5EF4-FFF2-40B4-BE49-F238E27FC236}">
              <a16:creationId xmlns:a16="http://schemas.microsoft.com/office/drawing/2014/main" id="{00000000-0008-0000-0100-000054050000}"/>
            </a:ext>
          </a:extLst>
        </xdr:cNvPr>
        <xdr:cNvSpPr txBox="1">
          <a:spLocks noChangeArrowheads="1"/>
        </xdr:cNvSpPr>
      </xdr:nvSpPr>
      <xdr:spPr bwMode="auto">
        <a:xfrm>
          <a:off x="3901109" y="3051561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365" name="Text Box 12">
          <a:extLst>
            <a:ext uri="{FF2B5EF4-FFF2-40B4-BE49-F238E27FC236}">
              <a16:creationId xmlns:a16="http://schemas.microsoft.com/office/drawing/2014/main" id="{00000000-0008-0000-0100-000055050000}"/>
            </a:ext>
          </a:extLst>
        </xdr:cNvPr>
        <xdr:cNvSpPr txBox="1">
          <a:spLocks noChangeArrowheads="1"/>
        </xdr:cNvSpPr>
      </xdr:nvSpPr>
      <xdr:spPr bwMode="auto">
        <a:xfrm>
          <a:off x="3901109" y="3051561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366" name="Text Box 1">
          <a:extLst>
            <a:ext uri="{FF2B5EF4-FFF2-40B4-BE49-F238E27FC236}">
              <a16:creationId xmlns:a16="http://schemas.microsoft.com/office/drawing/2014/main" id="{00000000-0008-0000-0100-000056050000}"/>
            </a:ext>
          </a:extLst>
        </xdr:cNvPr>
        <xdr:cNvSpPr txBox="1">
          <a:spLocks noChangeArrowheads="1"/>
        </xdr:cNvSpPr>
      </xdr:nvSpPr>
      <xdr:spPr bwMode="auto">
        <a:xfrm>
          <a:off x="4580283" y="305156152"/>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367" name="Text Box 1">
          <a:extLst>
            <a:ext uri="{FF2B5EF4-FFF2-40B4-BE49-F238E27FC236}">
              <a16:creationId xmlns:a16="http://schemas.microsoft.com/office/drawing/2014/main" id="{00000000-0008-0000-0100-000057050000}"/>
            </a:ext>
          </a:extLst>
        </xdr:cNvPr>
        <xdr:cNvSpPr txBox="1">
          <a:spLocks noChangeArrowheads="1"/>
        </xdr:cNvSpPr>
      </xdr:nvSpPr>
      <xdr:spPr bwMode="auto">
        <a:xfrm>
          <a:off x="4580283" y="305156152"/>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368" name="Text Box 1">
          <a:extLst>
            <a:ext uri="{FF2B5EF4-FFF2-40B4-BE49-F238E27FC236}">
              <a16:creationId xmlns:a16="http://schemas.microsoft.com/office/drawing/2014/main" id="{00000000-0008-0000-0100-000058050000}"/>
            </a:ext>
          </a:extLst>
        </xdr:cNvPr>
        <xdr:cNvSpPr txBox="1">
          <a:spLocks noChangeArrowheads="1"/>
        </xdr:cNvSpPr>
      </xdr:nvSpPr>
      <xdr:spPr bwMode="auto">
        <a:xfrm>
          <a:off x="4580283" y="305156152"/>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369" name="Text Box 1">
          <a:extLst>
            <a:ext uri="{FF2B5EF4-FFF2-40B4-BE49-F238E27FC236}">
              <a16:creationId xmlns:a16="http://schemas.microsoft.com/office/drawing/2014/main" id="{00000000-0008-0000-0100-000059050000}"/>
            </a:ext>
          </a:extLst>
        </xdr:cNvPr>
        <xdr:cNvSpPr txBox="1">
          <a:spLocks noChangeArrowheads="1"/>
        </xdr:cNvSpPr>
      </xdr:nvSpPr>
      <xdr:spPr bwMode="auto">
        <a:xfrm>
          <a:off x="4580283" y="305156152"/>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70" name="Text Box 5">
          <a:extLst>
            <a:ext uri="{FF2B5EF4-FFF2-40B4-BE49-F238E27FC236}">
              <a16:creationId xmlns:a16="http://schemas.microsoft.com/office/drawing/2014/main" id="{00000000-0008-0000-0100-00005A050000}"/>
            </a:ext>
          </a:extLst>
        </xdr:cNvPr>
        <xdr:cNvSpPr txBox="1">
          <a:spLocks noChangeArrowheads="1"/>
        </xdr:cNvSpPr>
      </xdr:nvSpPr>
      <xdr:spPr bwMode="auto">
        <a:xfrm>
          <a:off x="3901109" y="315890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371" name="Text Box 6">
          <a:extLst>
            <a:ext uri="{FF2B5EF4-FFF2-40B4-BE49-F238E27FC236}">
              <a16:creationId xmlns:a16="http://schemas.microsoft.com/office/drawing/2014/main" id="{00000000-0008-0000-0100-00005B050000}"/>
            </a:ext>
          </a:extLst>
        </xdr:cNvPr>
        <xdr:cNvSpPr txBox="1">
          <a:spLocks noChangeArrowheads="1"/>
        </xdr:cNvSpPr>
      </xdr:nvSpPr>
      <xdr:spPr bwMode="auto">
        <a:xfrm>
          <a:off x="3901109" y="31589041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72" name="Text Box 16">
          <a:extLst>
            <a:ext uri="{FF2B5EF4-FFF2-40B4-BE49-F238E27FC236}">
              <a16:creationId xmlns:a16="http://schemas.microsoft.com/office/drawing/2014/main" id="{00000000-0008-0000-0100-00005C050000}"/>
            </a:ext>
          </a:extLst>
        </xdr:cNvPr>
        <xdr:cNvSpPr txBox="1">
          <a:spLocks noChangeArrowheads="1"/>
        </xdr:cNvSpPr>
      </xdr:nvSpPr>
      <xdr:spPr bwMode="auto">
        <a:xfrm>
          <a:off x="3901109" y="315890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73" name="Text Box 17">
          <a:extLst>
            <a:ext uri="{FF2B5EF4-FFF2-40B4-BE49-F238E27FC236}">
              <a16:creationId xmlns:a16="http://schemas.microsoft.com/office/drawing/2014/main" id="{00000000-0008-0000-0100-00005D050000}"/>
            </a:ext>
          </a:extLst>
        </xdr:cNvPr>
        <xdr:cNvSpPr txBox="1">
          <a:spLocks noChangeArrowheads="1"/>
        </xdr:cNvSpPr>
      </xdr:nvSpPr>
      <xdr:spPr bwMode="auto">
        <a:xfrm>
          <a:off x="3901109" y="315890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74" name="Text Box 18">
          <a:extLst>
            <a:ext uri="{FF2B5EF4-FFF2-40B4-BE49-F238E27FC236}">
              <a16:creationId xmlns:a16="http://schemas.microsoft.com/office/drawing/2014/main" id="{00000000-0008-0000-0100-00005E050000}"/>
            </a:ext>
          </a:extLst>
        </xdr:cNvPr>
        <xdr:cNvSpPr txBox="1">
          <a:spLocks noChangeArrowheads="1"/>
        </xdr:cNvSpPr>
      </xdr:nvSpPr>
      <xdr:spPr bwMode="auto">
        <a:xfrm>
          <a:off x="3901109" y="315890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75" name="Text Box 19">
          <a:extLst>
            <a:ext uri="{FF2B5EF4-FFF2-40B4-BE49-F238E27FC236}">
              <a16:creationId xmlns:a16="http://schemas.microsoft.com/office/drawing/2014/main" id="{00000000-0008-0000-0100-00005F050000}"/>
            </a:ext>
          </a:extLst>
        </xdr:cNvPr>
        <xdr:cNvSpPr txBox="1">
          <a:spLocks noChangeArrowheads="1"/>
        </xdr:cNvSpPr>
      </xdr:nvSpPr>
      <xdr:spPr bwMode="auto">
        <a:xfrm>
          <a:off x="3901109" y="315890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76" name="Text Box 20">
          <a:extLst>
            <a:ext uri="{FF2B5EF4-FFF2-40B4-BE49-F238E27FC236}">
              <a16:creationId xmlns:a16="http://schemas.microsoft.com/office/drawing/2014/main" id="{00000000-0008-0000-0100-000060050000}"/>
            </a:ext>
          </a:extLst>
        </xdr:cNvPr>
        <xdr:cNvSpPr txBox="1">
          <a:spLocks noChangeArrowheads="1"/>
        </xdr:cNvSpPr>
      </xdr:nvSpPr>
      <xdr:spPr bwMode="auto">
        <a:xfrm>
          <a:off x="3901109" y="315890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377" name="Text Box 21">
          <a:extLst>
            <a:ext uri="{FF2B5EF4-FFF2-40B4-BE49-F238E27FC236}">
              <a16:creationId xmlns:a16="http://schemas.microsoft.com/office/drawing/2014/main" id="{00000000-0008-0000-0100-000061050000}"/>
            </a:ext>
          </a:extLst>
        </xdr:cNvPr>
        <xdr:cNvSpPr txBox="1">
          <a:spLocks noChangeArrowheads="1"/>
        </xdr:cNvSpPr>
      </xdr:nvSpPr>
      <xdr:spPr bwMode="auto">
        <a:xfrm>
          <a:off x="3901109" y="315890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378" name="Text Box 22">
          <a:extLst>
            <a:ext uri="{FF2B5EF4-FFF2-40B4-BE49-F238E27FC236}">
              <a16:creationId xmlns:a16="http://schemas.microsoft.com/office/drawing/2014/main" id="{00000000-0008-0000-0100-000062050000}"/>
            </a:ext>
          </a:extLst>
        </xdr:cNvPr>
        <xdr:cNvSpPr txBox="1">
          <a:spLocks noChangeArrowheads="1"/>
        </xdr:cNvSpPr>
      </xdr:nvSpPr>
      <xdr:spPr bwMode="auto">
        <a:xfrm>
          <a:off x="3901109" y="31589041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379" name="Text Box 1">
          <a:extLst>
            <a:ext uri="{FF2B5EF4-FFF2-40B4-BE49-F238E27FC236}">
              <a16:creationId xmlns:a16="http://schemas.microsoft.com/office/drawing/2014/main" id="{00000000-0008-0000-0100-000063050000}"/>
            </a:ext>
          </a:extLst>
        </xdr:cNvPr>
        <xdr:cNvSpPr txBox="1">
          <a:spLocks noChangeArrowheads="1"/>
        </xdr:cNvSpPr>
      </xdr:nvSpPr>
      <xdr:spPr bwMode="auto">
        <a:xfrm>
          <a:off x="4580283" y="31589041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380" name="Text Box 1">
          <a:extLst>
            <a:ext uri="{FF2B5EF4-FFF2-40B4-BE49-F238E27FC236}">
              <a16:creationId xmlns:a16="http://schemas.microsoft.com/office/drawing/2014/main" id="{00000000-0008-0000-0100-000064050000}"/>
            </a:ext>
          </a:extLst>
        </xdr:cNvPr>
        <xdr:cNvSpPr txBox="1">
          <a:spLocks noChangeArrowheads="1"/>
        </xdr:cNvSpPr>
      </xdr:nvSpPr>
      <xdr:spPr bwMode="auto">
        <a:xfrm>
          <a:off x="4580283" y="31589041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381" name="Text Box 1">
          <a:extLst>
            <a:ext uri="{FF2B5EF4-FFF2-40B4-BE49-F238E27FC236}">
              <a16:creationId xmlns:a16="http://schemas.microsoft.com/office/drawing/2014/main" id="{00000000-0008-0000-0100-000065050000}"/>
            </a:ext>
          </a:extLst>
        </xdr:cNvPr>
        <xdr:cNvSpPr txBox="1">
          <a:spLocks noChangeArrowheads="1"/>
        </xdr:cNvSpPr>
      </xdr:nvSpPr>
      <xdr:spPr bwMode="auto">
        <a:xfrm>
          <a:off x="4580283" y="31589041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382" name="Text Box 1">
          <a:extLst>
            <a:ext uri="{FF2B5EF4-FFF2-40B4-BE49-F238E27FC236}">
              <a16:creationId xmlns:a16="http://schemas.microsoft.com/office/drawing/2014/main" id="{00000000-0008-0000-0100-000066050000}"/>
            </a:ext>
          </a:extLst>
        </xdr:cNvPr>
        <xdr:cNvSpPr txBox="1">
          <a:spLocks noChangeArrowheads="1"/>
        </xdr:cNvSpPr>
      </xdr:nvSpPr>
      <xdr:spPr bwMode="auto">
        <a:xfrm>
          <a:off x="4580283" y="31589041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83" name="Text Box 5">
          <a:extLst>
            <a:ext uri="{FF2B5EF4-FFF2-40B4-BE49-F238E27FC236}">
              <a16:creationId xmlns:a16="http://schemas.microsoft.com/office/drawing/2014/main" id="{00000000-0008-0000-0100-000067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84" name="Text Box 6">
          <a:extLst>
            <a:ext uri="{FF2B5EF4-FFF2-40B4-BE49-F238E27FC236}">
              <a16:creationId xmlns:a16="http://schemas.microsoft.com/office/drawing/2014/main" id="{00000000-0008-0000-0100-000068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85" name="Text Box 7">
          <a:extLst>
            <a:ext uri="{FF2B5EF4-FFF2-40B4-BE49-F238E27FC236}">
              <a16:creationId xmlns:a16="http://schemas.microsoft.com/office/drawing/2014/main" id="{00000000-0008-0000-0100-000069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86" name="Text Box 8">
          <a:extLst>
            <a:ext uri="{FF2B5EF4-FFF2-40B4-BE49-F238E27FC236}">
              <a16:creationId xmlns:a16="http://schemas.microsoft.com/office/drawing/2014/main" id="{00000000-0008-0000-0100-00006A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87" name="Text Box 9">
          <a:extLst>
            <a:ext uri="{FF2B5EF4-FFF2-40B4-BE49-F238E27FC236}">
              <a16:creationId xmlns:a16="http://schemas.microsoft.com/office/drawing/2014/main" id="{00000000-0008-0000-0100-00006B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88" name="Text Box 10">
          <a:extLst>
            <a:ext uri="{FF2B5EF4-FFF2-40B4-BE49-F238E27FC236}">
              <a16:creationId xmlns:a16="http://schemas.microsoft.com/office/drawing/2014/main" id="{00000000-0008-0000-0100-00006C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89" name="Text Box 11">
          <a:extLst>
            <a:ext uri="{FF2B5EF4-FFF2-40B4-BE49-F238E27FC236}">
              <a16:creationId xmlns:a16="http://schemas.microsoft.com/office/drawing/2014/main" id="{00000000-0008-0000-0100-00006D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0" name="Text Box 12">
          <a:extLst>
            <a:ext uri="{FF2B5EF4-FFF2-40B4-BE49-F238E27FC236}">
              <a16:creationId xmlns:a16="http://schemas.microsoft.com/office/drawing/2014/main" id="{00000000-0008-0000-0100-00006E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1" name="Text Box 13">
          <a:extLst>
            <a:ext uri="{FF2B5EF4-FFF2-40B4-BE49-F238E27FC236}">
              <a16:creationId xmlns:a16="http://schemas.microsoft.com/office/drawing/2014/main" id="{00000000-0008-0000-0100-00006F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392" name="Text Box 14">
          <a:extLst>
            <a:ext uri="{FF2B5EF4-FFF2-40B4-BE49-F238E27FC236}">
              <a16:creationId xmlns:a16="http://schemas.microsoft.com/office/drawing/2014/main" id="{00000000-0008-0000-0100-000070050000}"/>
            </a:ext>
          </a:extLst>
        </xdr:cNvPr>
        <xdr:cNvSpPr txBox="1">
          <a:spLocks noChangeArrowheads="1"/>
        </xdr:cNvSpPr>
      </xdr:nvSpPr>
      <xdr:spPr bwMode="auto">
        <a:xfrm>
          <a:off x="3901109" y="326624674"/>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3" name="Text Box 15">
          <a:extLst>
            <a:ext uri="{FF2B5EF4-FFF2-40B4-BE49-F238E27FC236}">
              <a16:creationId xmlns:a16="http://schemas.microsoft.com/office/drawing/2014/main" id="{00000000-0008-0000-0100-000071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4" name="Text Box 16">
          <a:extLst>
            <a:ext uri="{FF2B5EF4-FFF2-40B4-BE49-F238E27FC236}">
              <a16:creationId xmlns:a16="http://schemas.microsoft.com/office/drawing/2014/main" id="{00000000-0008-0000-0100-000072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5" name="Text Box 17">
          <a:extLst>
            <a:ext uri="{FF2B5EF4-FFF2-40B4-BE49-F238E27FC236}">
              <a16:creationId xmlns:a16="http://schemas.microsoft.com/office/drawing/2014/main" id="{00000000-0008-0000-0100-000073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6" name="Text Box 18">
          <a:extLst>
            <a:ext uri="{FF2B5EF4-FFF2-40B4-BE49-F238E27FC236}">
              <a16:creationId xmlns:a16="http://schemas.microsoft.com/office/drawing/2014/main" id="{00000000-0008-0000-0100-000074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7" name="Text Box 19">
          <a:extLst>
            <a:ext uri="{FF2B5EF4-FFF2-40B4-BE49-F238E27FC236}">
              <a16:creationId xmlns:a16="http://schemas.microsoft.com/office/drawing/2014/main" id="{00000000-0008-0000-0100-000075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8" name="Text Box 20">
          <a:extLst>
            <a:ext uri="{FF2B5EF4-FFF2-40B4-BE49-F238E27FC236}">
              <a16:creationId xmlns:a16="http://schemas.microsoft.com/office/drawing/2014/main" id="{00000000-0008-0000-0100-000076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399" name="Text Box 21">
          <a:extLst>
            <a:ext uri="{FF2B5EF4-FFF2-40B4-BE49-F238E27FC236}">
              <a16:creationId xmlns:a16="http://schemas.microsoft.com/office/drawing/2014/main" id="{00000000-0008-0000-0100-000077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0" name="Text Box 22">
          <a:extLst>
            <a:ext uri="{FF2B5EF4-FFF2-40B4-BE49-F238E27FC236}">
              <a16:creationId xmlns:a16="http://schemas.microsoft.com/office/drawing/2014/main" id="{00000000-0008-0000-0100-000078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1" name="Text Box 7">
          <a:extLst>
            <a:ext uri="{FF2B5EF4-FFF2-40B4-BE49-F238E27FC236}">
              <a16:creationId xmlns:a16="http://schemas.microsoft.com/office/drawing/2014/main" id="{00000000-0008-0000-0100-000079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2" name="Text Box 8">
          <a:extLst>
            <a:ext uri="{FF2B5EF4-FFF2-40B4-BE49-F238E27FC236}">
              <a16:creationId xmlns:a16="http://schemas.microsoft.com/office/drawing/2014/main" id="{00000000-0008-0000-0100-00007A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3" name="Text Box 9">
          <a:extLst>
            <a:ext uri="{FF2B5EF4-FFF2-40B4-BE49-F238E27FC236}">
              <a16:creationId xmlns:a16="http://schemas.microsoft.com/office/drawing/2014/main" id="{00000000-0008-0000-0100-00007B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4" name="Text Box 10">
          <a:extLst>
            <a:ext uri="{FF2B5EF4-FFF2-40B4-BE49-F238E27FC236}">
              <a16:creationId xmlns:a16="http://schemas.microsoft.com/office/drawing/2014/main" id="{00000000-0008-0000-0100-00007C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5" name="Text Box 11">
          <a:extLst>
            <a:ext uri="{FF2B5EF4-FFF2-40B4-BE49-F238E27FC236}">
              <a16:creationId xmlns:a16="http://schemas.microsoft.com/office/drawing/2014/main" id="{00000000-0008-0000-0100-00007D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6" name="Text Box 12">
          <a:extLst>
            <a:ext uri="{FF2B5EF4-FFF2-40B4-BE49-F238E27FC236}">
              <a16:creationId xmlns:a16="http://schemas.microsoft.com/office/drawing/2014/main" id="{00000000-0008-0000-0100-00007E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7" name="Text Box 13">
          <a:extLst>
            <a:ext uri="{FF2B5EF4-FFF2-40B4-BE49-F238E27FC236}">
              <a16:creationId xmlns:a16="http://schemas.microsoft.com/office/drawing/2014/main" id="{00000000-0008-0000-0100-00007F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408" name="Text Box 14">
          <a:extLst>
            <a:ext uri="{FF2B5EF4-FFF2-40B4-BE49-F238E27FC236}">
              <a16:creationId xmlns:a16="http://schemas.microsoft.com/office/drawing/2014/main" id="{00000000-0008-0000-0100-000080050000}"/>
            </a:ext>
          </a:extLst>
        </xdr:cNvPr>
        <xdr:cNvSpPr txBox="1">
          <a:spLocks noChangeArrowheads="1"/>
        </xdr:cNvSpPr>
      </xdr:nvSpPr>
      <xdr:spPr bwMode="auto">
        <a:xfrm>
          <a:off x="3901109" y="326624674"/>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409" name="Text Box 15">
          <a:extLst>
            <a:ext uri="{FF2B5EF4-FFF2-40B4-BE49-F238E27FC236}">
              <a16:creationId xmlns:a16="http://schemas.microsoft.com/office/drawing/2014/main" id="{00000000-0008-0000-0100-000081050000}"/>
            </a:ext>
          </a:extLst>
        </xdr:cNvPr>
        <xdr:cNvSpPr txBox="1">
          <a:spLocks noChangeArrowheads="1"/>
        </xdr:cNvSpPr>
      </xdr:nvSpPr>
      <xdr:spPr bwMode="auto">
        <a:xfrm>
          <a:off x="3901109" y="326624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10" name="Text Box 5">
          <a:extLst>
            <a:ext uri="{FF2B5EF4-FFF2-40B4-BE49-F238E27FC236}">
              <a16:creationId xmlns:a16="http://schemas.microsoft.com/office/drawing/2014/main" id="{00000000-0008-0000-0100-000082050000}"/>
            </a:ext>
          </a:extLst>
        </xdr:cNvPr>
        <xdr:cNvSpPr txBox="1">
          <a:spLocks noChangeArrowheads="1"/>
        </xdr:cNvSpPr>
      </xdr:nvSpPr>
      <xdr:spPr bwMode="auto">
        <a:xfrm>
          <a:off x="3901109" y="326624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411" name="Text Box 6">
          <a:extLst>
            <a:ext uri="{FF2B5EF4-FFF2-40B4-BE49-F238E27FC236}">
              <a16:creationId xmlns:a16="http://schemas.microsoft.com/office/drawing/2014/main" id="{00000000-0008-0000-0100-000083050000}"/>
            </a:ext>
          </a:extLst>
        </xdr:cNvPr>
        <xdr:cNvSpPr txBox="1">
          <a:spLocks noChangeArrowheads="1"/>
        </xdr:cNvSpPr>
      </xdr:nvSpPr>
      <xdr:spPr bwMode="auto">
        <a:xfrm>
          <a:off x="3901109" y="326624674"/>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12" name="Text Box 7">
          <a:extLst>
            <a:ext uri="{FF2B5EF4-FFF2-40B4-BE49-F238E27FC236}">
              <a16:creationId xmlns:a16="http://schemas.microsoft.com/office/drawing/2014/main" id="{00000000-0008-0000-0100-000084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13" name="Text Box 8">
          <a:extLst>
            <a:ext uri="{FF2B5EF4-FFF2-40B4-BE49-F238E27FC236}">
              <a16:creationId xmlns:a16="http://schemas.microsoft.com/office/drawing/2014/main" id="{00000000-0008-0000-0100-000085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14" name="Text Box 9">
          <a:extLst>
            <a:ext uri="{FF2B5EF4-FFF2-40B4-BE49-F238E27FC236}">
              <a16:creationId xmlns:a16="http://schemas.microsoft.com/office/drawing/2014/main" id="{00000000-0008-0000-0100-000086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15" name="Text Box 10">
          <a:extLst>
            <a:ext uri="{FF2B5EF4-FFF2-40B4-BE49-F238E27FC236}">
              <a16:creationId xmlns:a16="http://schemas.microsoft.com/office/drawing/2014/main" id="{00000000-0008-0000-0100-000087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16" name="Text Box 11">
          <a:extLst>
            <a:ext uri="{FF2B5EF4-FFF2-40B4-BE49-F238E27FC236}">
              <a16:creationId xmlns:a16="http://schemas.microsoft.com/office/drawing/2014/main" id="{00000000-0008-0000-0100-000088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17" name="Text Box 12">
          <a:extLst>
            <a:ext uri="{FF2B5EF4-FFF2-40B4-BE49-F238E27FC236}">
              <a16:creationId xmlns:a16="http://schemas.microsoft.com/office/drawing/2014/main" id="{00000000-0008-0000-0100-000089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18" name="Text Box 13">
          <a:extLst>
            <a:ext uri="{FF2B5EF4-FFF2-40B4-BE49-F238E27FC236}">
              <a16:creationId xmlns:a16="http://schemas.microsoft.com/office/drawing/2014/main" id="{00000000-0008-0000-0100-00008A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419" name="Text Box 14">
          <a:extLst>
            <a:ext uri="{FF2B5EF4-FFF2-40B4-BE49-F238E27FC236}">
              <a16:creationId xmlns:a16="http://schemas.microsoft.com/office/drawing/2014/main" id="{00000000-0008-0000-0100-00008B050000}"/>
            </a:ext>
          </a:extLst>
        </xdr:cNvPr>
        <xdr:cNvSpPr txBox="1">
          <a:spLocks noChangeArrowheads="1"/>
        </xdr:cNvSpPr>
      </xdr:nvSpPr>
      <xdr:spPr bwMode="auto">
        <a:xfrm>
          <a:off x="3901109" y="326624674"/>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20" name="Text Box 15">
          <a:extLst>
            <a:ext uri="{FF2B5EF4-FFF2-40B4-BE49-F238E27FC236}">
              <a16:creationId xmlns:a16="http://schemas.microsoft.com/office/drawing/2014/main" id="{00000000-0008-0000-0100-00008C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21" name="Text Box 16">
          <a:extLst>
            <a:ext uri="{FF2B5EF4-FFF2-40B4-BE49-F238E27FC236}">
              <a16:creationId xmlns:a16="http://schemas.microsoft.com/office/drawing/2014/main" id="{00000000-0008-0000-0100-00008D050000}"/>
            </a:ext>
          </a:extLst>
        </xdr:cNvPr>
        <xdr:cNvSpPr txBox="1">
          <a:spLocks noChangeArrowheads="1"/>
        </xdr:cNvSpPr>
      </xdr:nvSpPr>
      <xdr:spPr bwMode="auto">
        <a:xfrm>
          <a:off x="3901109" y="326624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22" name="Text Box 17">
          <a:extLst>
            <a:ext uri="{FF2B5EF4-FFF2-40B4-BE49-F238E27FC236}">
              <a16:creationId xmlns:a16="http://schemas.microsoft.com/office/drawing/2014/main" id="{00000000-0008-0000-0100-00008E050000}"/>
            </a:ext>
          </a:extLst>
        </xdr:cNvPr>
        <xdr:cNvSpPr txBox="1">
          <a:spLocks noChangeArrowheads="1"/>
        </xdr:cNvSpPr>
      </xdr:nvSpPr>
      <xdr:spPr bwMode="auto">
        <a:xfrm>
          <a:off x="3901109" y="326624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23" name="Text Box 18">
          <a:extLst>
            <a:ext uri="{FF2B5EF4-FFF2-40B4-BE49-F238E27FC236}">
              <a16:creationId xmlns:a16="http://schemas.microsoft.com/office/drawing/2014/main" id="{00000000-0008-0000-0100-00008F050000}"/>
            </a:ext>
          </a:extLst>
        </xdr:cNvPr>
        <xdr:cNvSpPr txBox="1">
          <a:spLocks noChangeArrowheads="1"/>
        </xdr:cNvSpPr>
      </xdr:nvSpPr>
      <xdr:spPr bwMode="auto">
        <a:xfrm>
          <a:off x="3901109" y="326624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24" name="Text Box 19">
          <a:extLst>
            <a:ext uri="{FF2B5EF4-FFF2-40B4-BE49-F238E27FC236}">
              <a16:creationId xmlns:a16="http://schemas.microsoft.com/office/drawing/2014/main" id="{00000000-0008-0000-0100-000090050000}"/>
            </a:ext>
          </a:extLst>
        </xdr:cNvPr>
        <xdr:cNvSpPr txBox="1">
          <a:spLocks noChangeArrowheads="1"/>
        </xdr:cNvSpPr>
      </xdr:nvSpPr>
      <xdr:spPr bwMode="auto">
        <a:xfrm>
          <a:off x="3901109" y="326624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25" name="Text Box 20">
          <a:extLst>
            <a:ext uri="{FF2B5EF4-FFF2-40B4-BE49-F238E27FC236}">
              <a16:creationId xmlns:a16="http://schemas.microsoft.com/office/drawing/2014/main" id="{00000000-0008-0000-0100-000091050000}"/>
            </a:ext>
          </a:extLst>
        </xdr:cNvPr>
        <xdr:cNvSpPr txBox="1">
          <a:spLocks noChangeArrowheads="1"/>
        </xdr:cNvSpPr>
      </xdr:nvSpPr>
      <xdr:spPr bwMode="auto">
        <a:xfrm>
          <a:off x="3901109" y="326624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26" name="Text Box 21">
          <a:extLst>
            <a:ext uri="{FF2B5EF4-FFF2-40B4-BE49-F238E27FC236}">
              <a16:creationId xmlns:a16="http://schemas.microsoft.com/office/drawing/2014/main" id="{00000000-0008-0000-0100-000092050000}"/>
            </a:ext>
          </a:extLst>
        </xdr:cNvPr>
        <xdr:cNvSpPr txBox="1">
          <a:spLocks noChangeArrowheads="1"/>
        </xdr:cNvSpPr>
      </xdr:nvSpPr>
      <xdr:spPr bwMode="auto">
        <a:xfrm>
          <a:off x="3901109" y="326624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427" name="Text Box 22">
          <a:extLst>
            <a:ext uri="{FF2B5EF4-FFF2-40B4-BE49-F238E27FC236}">
              <a16:creationId xmlns:a16="http://schemas.microsoft.com/office/drawing/2014/main" id="{00000000-0008-0000-0100-000093050000}"/>
            </a:ext>
          </a:extLst>
        </xdr:cNvPr>
        <xdr:cNvSpPr txBox="1">
          <a:spLocks noChangeArrowheads="1"/>
        </xdr:cNvSpPr>
      </xdr:nvSpPr>
      <xdr:spPr bwMode="auto">
        <a:xfrm>
          <a:off x="3901109" y="326624674"/>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28" name="Text Box 7">
          <a:extLst>
            <a:ext uri="{FF2B5EF4-FFF2-40B4-BE49-F238E27FC236}">
              <a16:creationId xmlns:a16="http://schemas.microsoft.com/office/drawing/2014/main" id="{00000000-0008-0000-0100-000094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29" name="Text Box 8">
          <a:extLst>
            <a:ext uri="{FF2B5EF4-FFF2-40B4-BE49-F238E27FC236}">
              <a16:creationId xmlns:a16="http://schemas.microsoft.com/office/drawing/2014/main" id="{00000000-0008-0000-0100-000095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30" name="Text Box 9">
          <a:extLst>
            <a:ext uri="{FF2B5EF4-FFF2-40B4-BE49-F238E27FC236}">
              <a16:creationId xmlns:a16="http://schemas.microsoft.com/office/drawing/2014/main" id="{00000000-0008-0000-0100-000096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31" name="Text Box 10">
          <a:extLst>
            <a:ext uri="{FF2B5EF4-FFF2-40B4-BE49-F238E27FC236}">
              <a16:creationId xmlns:a16="http://schemas.microsoft.com/office/drawing/2014/main" id="{00000000-0008-0000-0100-000097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32" name="Text Box 11">
          <a:extLst>
            <a:ext uri="{FF2B5EF4-FFF2-40B4-BE49-F238E27FC236}">
              <a16:creationId xmlns:a16="http://schemas.microsoft.com/office/drawing/2014/main" id="{00000000-0008-0000-0100-000098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33" name="Text Box 12">
          <a:extLst>
            <a:ext uri="{FF2B5EF4-FFF2-40B4-BE49-F238E27FC236}">
              <a16:creationId xmlns:a16="http://schemas.microsoft.com/office/drawing/2014/main" id="{00000000-0008-0000-0100-000099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34" name="Text Box 13">
          <a:extLst>
            <a:ext uri="{FF2B5EF4-FFF2-40B4-BE49-F238E27FC236}">
              <a16:creationId xmlns:a16="http://schemas.microsoft.com/office/drawing/2014/main" id="{00000000-0008-0000-0100-00009A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435" name="Text Box 14">
          <a:extLst>
            <a:ext uri="{FF2B5EF4-FFF2-40B4-BE49-F238E27FC236}">
              <a16:creationId xmlns:a16="http://schemas.microsoft.com/office/drawing/2014/main" id="{00000000-0008-0000-0100-00009B050000}"/>
            </a:ext>
          </a:extLst>
        </xdr:cNvPr>
        <xdr:cNvSpPr txBox="1">
          <a:spLocks noChangeArrowheads="1"/>
        </xdr:cNvSpPr>
      </xdr:nvSpPr>
      <xdr:spPr bwMode="auto">
        <a:xfrm>
          <a:off x="3901109" y="326624674"/>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436" name="Text Box 15">
          <a:extLst>
            <a:ext uri="{FF2B5EF4-FFF2-40B4-BE49-F238E27FC236}">
              <a16:creationId xmlns:a16="http://schemas.microsoft.com/office/drawing/2014/main" id="{00000000-0008-0000-0100-00009C050000}"/>
            </a:ext>
          </a:extLst>
        </xdr:cNvPr>
        <xdr:cNvSpPr txBox="1">
          <a:spLocks noChangeArrowheads="1"/>
        </xdr:cNvSpPr>
      </xdr:nvSpPr>
      <xdr:spPr bwMode="auto">
        <a:xfrm>
          <a:off x="3901109" y="326624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37" name="Text Box 5">
          <a:extLst>
            <a:ext uri="{FF2B5EF4-FFF2-40B4-BE49-F238E27FC236}">
              <a16:creationId xmlns:a16="http://schemas.microsoft.com/office/drawing/2014/main" id="{00000000-0008-0000-0100-00009D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438" name="Text Box 6">
          <a:extLst>
            <a:ext uri="{FF2B5EF4-FFF2-40B4-BE49-F238E27FC236}">
              <a16:creationId xmlns:a16="http://schemas.microsoft.com/office/drawing/2014/main" id="{00000000-0008-0000-0100-00009E050000}"/>
            </a:ext>
          </a:extLst>
        </xdr:cNvPr>
        <xdr:cNvSpPr txBox="1">
          <a:spLocks noChangeArrowheads="1"/>
        </xdr:cNvSpPr>
      </xdr:nvSpPr>
      <xdr:spPr bwMode="auto">
        <a:xfrm>
          <a:off x="3901109" y="326624674"/>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39" name="Text Box 7">
          <a:extLst>
            <a:ext uri="{FF2B5EF4-FFF2-40B4-BE49-F238E27FC236}">
              <a16:creationId xmlns:a16="http://schemas.microsoft.com/office/drawing/2014/main" id="{00000000-0008-0000-0100-00009F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0" name="Text Box 8">
          <a:extLst>
            <a:ext uri="{FF2B5EF4-FFF2-40B4-BE49-F238E27FC236}">
              <a16:creationId xmlns:a16="http://schemas.microsoft.com/office/drawing/2014/main" id="{00000000-0008-0000-0100-0000A0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1" name="Text Box 9">
          <a:extLst>
            <a:ext uri="{FF2B5EF4-FFF2-40B4-BE49-F238E27FC236}">
              <a16:creationId xmlns:a16="http://schemas.microsoft.com/office/drawing/2014/main" id="{00000000-0008-0000-0100-0000A1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2" name="Text Box 10">
          <a:extLst>
            <a:ext uri="{FF2B5EF4-FFF2-40B4-BE49-F238E27FC236}">
              <a16:creationId xmlns:a16="http://schemas.microsoft.com/office/drawing/2014/main" id="{00000000-0008-0000-0100-0000A2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3" name="Text Box 11">
          <a:extLst>
            <a:ext uri="{FF2B5EF4-FFF2-40B4-BE49-F238E27FC236}">
              <a16:creationId xmlns:a16="http://schemas.microsoft.com/office/drawing/2014/main" id="{00000000-0008-0000-0100-0000A3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4" name="Text Box 12">
          <a:extLst>
            <a:ext uri="{FF2B5EF4-FFF2-40B4-BE49-F238E27FC236}">
              <a16:creationId xmlns:a16="http://schemas.microsoft.com/office/drawing/2014/main" id="{00000000-0008-0000-0100-0000A4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5" name="Text Box 13">
          <a:extLst>
            <a:ext uri="{FF2B5EF4-FFF2-40B4-BE49-F238E27FC236}">
              <a16:creationId xmlns:a16="http://schemas.microsoft.com/office/drawing/2014/main" id="{00000000-0008-0000-0100-0000A5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446" name="Text Box 14">
          <a:extLst>
            <a:ext uri="{FF2B5EF4-FFF2-40B4-BE49-F238E27FC236}">
              <a16:creationId xmlns:a16="http://schemas.microsoft.com/office/drawing/2014/main" id="{00000000-0008-0000-0100-0000A6050000}"/>
            </a:ext>
          </a:extLst>
        </xdr:cNvPr>
        <xdr:cNvSpPr txBox="1">
          <a:spLocks noChangeArrowheads="1"/>
        </xdr:cNvSpPr>
      </xdr:nvSpPr>
      <xdr:spPr bwMode="auto">
        <a:xfrm>
          <a:off x="3901109" y="326624674"/>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7" name="Text Box 15">
          <a:extLst>
            <a:ext uri="{FF2B5EF4-FFF2-40B4-BE49-F238E27FC236}">
              <a16:creationId xmlns:a16="http://schemas.microsoft.com/office/drawing/2014/main" id="{00000000-0008-0000-0100-0000A7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8" name="Text Box 16">
          <a:extLst>
            <a:ext uri="{FF2B5EF4-FFF2-40B4-BE49-F238E27FC236}">
              <a16:creationId xmlns:a16="http://schemas.microsoft.com/office/drawing/2014/main" id="{00000000-0008-0000-0100-0000A8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49" name="Text Box 17">
          <a:extLst>
            <a:ext uri="{FF2B5EF4-FFF2-40B4-BE49-F238E27FC236}">
              <a16:creationId xmlns:a16="http://schemas.microsoft.com/office/drawing/2014/main" id="{00000000-0008-0000-0100-0000A9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0" name="Text Box 18">
          <a:extLst>
            <a:ext uri="{FF2B5EF4-FFF2-40B4-BE49-F238E27FC236}">
              <a16:creationId xmlns:a16="http://schemas.microsoft.com/office/drawing/2014/main" id="{00000000-0008-0000-0100-0000AA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1" name="Text Box 19">
          <a:extLst>
            <a:ext uri="{FF2B5EF4-FFF2-40B4-BE49-F238E27FC236}">
              <a16:creationId xmlns:a16="http://schemas.microsoft.com/office/drawing/2014/main" id="{00000000-0008-0000-0100-0000AB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2" name="Text Box 20">
          <a:extLst>
            <a:ext uri="{FF2B5EF4-FFF2-40B4-BE49-F238E27FC236}">
              <a16:creationId xmlns:a16="http://schemas.microsoft.com/office/drawing/2014/main" id="{00000000-0008-0000-0100-0000AC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3" name="Text Box 21">
          <a:extLst>
            <a:ext uri="{FF2B5EF4-FFF2-40B4-BE49-F238E27FC236}">
              <a16:creationId xmlns:a16="http://schemas.microsoft.com/office/drawing/2014/main" id="{00000000-0008-0000-0100-0000AD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454" name="Text Box 22">
          <a:extLst>
            <a:ext uri="{FF2B5EF4-FFF2-40B4-BE49-F238E27FC236}">
              <a16:creationId xmlns:a16="http://schemas.microsoft.com/office/drawing/2014/main" id="{00000000-0008-0000-0100-0000AE050000}"/>
            </a:ext>
          </a:extLst>
        </xdr:cNvPr>
        <xdr:cNvSpPr txBox="1">
          <a:spLocks noChangeArrowheads="1"/>
        </xdr:cNvSpPr>
      </xdr:nvSpPr>
      <xdr:spPr bwMode="auto">
        <a:xfrm>
          <a:off x="3901109" y="326624674"/>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5" name="Text Box 7">
          <a:extLst>
            <a:ext uri="{FF2B5EF4-FFF2-40B4-BE49-F238E27FC236}">
              <a16:creationId xmlns:a16="http://schemas.microsoft.com/office/drawing/2014/main" id="{00000000-0008-0000-0100-0000AF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6" name="Text Box 8">
          <a:extLst>
            <a:ext uri="{FF2B5EF4-FFF2-40B4-BE49-F238E27FC236}">
              <a16:creationId xmlns:a16="http://schemas.microsoft.com/office/drawing/2014/main" id="{00000000-0008-0000-0100-0000B0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7" name="Text Box 9">
          <a:extLst>
            <a:ext uri="{FF2B5EF4-FFF2-40B4-BE49-F238E27FC236}">
              <a16:creationId xmlns:a16="http://schemas.microsoft.com/office/drawing/2014/main" id="{00000000-0008-0000-0100-0000B1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8" name="Text Box 10">
          <a:extLst>
            <a:ext uri="{FF2B5EF4-FFF2-40B4-BE49-F238E27FC236}">
              <a16:creationId xmlns:a16="http://schemas.microsoft.com/office/drawing/2014/main" id="{00000000-0008-0000-0100-0000B2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59" name="Text Box 11">
          <a:extLst>
            <a:ext uri="{FF2B5EF4-FFF2-40B4-BE49-F238E27FC236}">
              <a16:creationId xmlns:a16="http://schemas.microsoft.com/office/drawing/2014/main" id="{00000000-0008-0000-0100-0000B3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60" name="Text Box 12">
          <a:extLst>
            <a:ext uri="{FF2B5EF4-FFF2-40B4-BE49-F238E27FC236}">
              <a16:creationId xmlns:a16="http://schemas.microsoft.com/office/drawing/2014/main" id="{00000000-0008-0000-0100-0000B4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461" name="Text Box 13">
          <a:extLst>
            <a:ext uri="{FF2B5EF4-FFF2-40B4-BE49-F238E27FC236}">
              <a16:creationId xmlns:a16="http://schemas.microsoft.com/office/drawing/2014/main" id="{00000000-0008-0000-0100-0000B5050000}"/>
            </a:ext>
          </a:extLst>
        </xdr:cNvPr>
        <xdr:cNvSpPr txBox="1">
          <a:spLocks noChangeArrowheads="1"/>
        </xdr:cNvSpPr>
      </xdr:nvSpPr>
      <xdr:spPr bwMode="auto">
        <a:xfrm>
          <a:off x="3901109" y="326624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462" name="Text Box 14">
          <a:extLst>
            <a:ext uri="{FF2B5EF4-FFF2-40B4-BE49-F238E27FC236}">
              <a16:creationId xmlns:a16="http://schemas.microsoft.com/office/drawing/2014/main" id="{00000000-0008-0000-0100-0000B6050000}"/>
            </a:ext>
          </a:extLst>
        </xdr:cNvPr>
        <xdr:cNvSpPr txBox="1">
          <a:spLocks noChangeArrowheads="1"/>
        </xdr:cNvSpPr>
      </xdr:nvSpPr>
      <xdr:spPr bwMode="auto">
        <a:xfrm>
          <a:off x="3901109" y="326624674"/>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463" name="Text Box 5">
          <a:extLst>
            <a:ext uri="{FF2B5EF4-FFF2-40B4-BE49-F238E27FC236}">
              <a16:creationId xmlns:a16="http://schemas.microsoft.com/office/drawing/2014/main" id="{00000000-0008-0000-0100-0000B7050000}"/>
            </a:ext>
          </a:extLst>
        </xdr:cNvPr>
        <xdr:cNvSpPr txBox="1">
          <a:spLocks noChangeArrowheads="1"/>
        </xdr:cNvSpPr>
      </xdr:nvSpPr>
      <xdr:spPr bwMode="auto">
        <a:xfrm>
          <a:off x="3901109" y="326624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464" name="Text Box 6">
          <a:extLst>
            <a:ext uri="{FF2B5EF4-FFF2-40B4-BE49-F238E27FC236}">
              <a16:creationId xmlns:a16="http://schemas.microsoft.com/office/drawing/2014/main" id="{00000000-0008-0000-0100-0000B8050000}"/>
            </a:ext>
          </a:extLst>
        </xdr:cNvPr>
        <xdr:cNvSpPr txBox="1">
          <a:spLocks noChangeArrowheads="1"/>
        </xdr:cNvSpPr>
      </xdr:nvSpPr>
      <xdr:spPr bwMode="auto">
        <a:xfrm>
          <a:off x="3901109" y="326624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465" name="Text Box 7">
          <a:extLst>
            <a:ext uri="{FF2B5EF4-FFF2-40B4-BE49-F238E27FC236}">
              <a16:creationId xmlns:a16="http://schemas.microsoft.com/office/drawing/2014/main" id="{00000000-0008-0000-0100-0000B9050000}"/>
            </a:ext>
          </a:extLst>
        </xdr:cNvPr>
        <xdr:cNvSpPr txBox="1">
          <a:spLocks noChangeArrowheads="1"/>
        </xdr:cNvSpPr>
      </xdr:nvSpPr>
      <xdr:spPr bwMode="auto">
        <a:xfrm>
          <a:off x="3901109" y="326624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466" name="Text Box 8">
          <a:extLst>
            <a:ext uri="{FF2B5EF4-FFF2-40B4-BE49-F238E27FC236}">
              <a16:creationId xmlns:a16="http://schemas.microsoft.com/office/drawing/2014/main" id="{00000000-0008-0000-0100-0000BA050000}"/>
            </a:ext>
          </a:extLst>
        </xdr:cNvPr>
        <xdr:cNvSpPr txBox="1">
          <a:spLocks noChangeArrowheads="1"/>
        </xdr:cNvSpPr>
      </xdr:nvSpPr>
      <xdr:spPr bwMode="auto">
        <a:xfrm>
          <a:off x="3901109" y="326624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467" name="Text Box 9">
          <a:extLst>
            <a:ext uri="{FF2B5EF4-FFF2-40B4-BE49-F238E27FC236}">
              <a16:creationId xmlns:a16="http://schemas.microsoft.com/office/drawing/2014/main" id="{00000000-0008-0000-0100-0000BB050000}"/>
            </a:ext>
          </a:extLst>
        </xdr:cNvPr>
        <xdr:cNvSpPr txBox="1">
          <a:spLocks noChangeArrowheads="1"/>
        </xdr:cNvSpPr>
      </xdr:nvSpPr>
      <xdr:spPr bwMode="auto">
        <a:xfrm>
          <a:off x="3901109" y="326624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468" name="Text Box 10">
          <a:extLst>
            <a:ext uri="{FF2B5EF4-FFF2-40B4-BE49-F238E27FC236}">
              <a16:creationId xmlns:a16="http://schemas.microsoft.com/office/drawing/2014/main" id="{00000000-0008-0000-0100-0000BC050000}"/>
            </a:ext>
          </a:extLst>
        </xdr:cNvPr>
        <xdr:cNvSpPr txBox="1">
          <a:spLocks noChangeArrowheads="1"/>
        </xdr:cNvSpPr>
      </xdr:nvSpPr>
      <xdr:spPr bwMode="auto">
        <a:xfrm>
          <a:off x="3901109" y="326624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469" name="Text Box 11">
          <a:extLst>
            <a:ext uri="{FF2B5EF4-FFF2-40B4-BE49-F238E27FC236}">
              <a16:creationId xmlns:a16="http://schemas.microsoft.com/office/drawing/2014/main" id="{00000000-0008-0000-0100-0000BD050000}"/>
            </a:ext>
          </a:extLst>
        </xdr:cNvPr>
        <xdr:cNvSpPr txBox="1">
          <a:spLocks noChangeArrowheads="1"/>
        </xdr:cNvSpPr>
      </xdr:nvSpPr>
      <xdr:spPr bwMode="auto">
        <a:xfrm>
          <a:off x="3901109" y="326624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470" name="Text Box 12">
          <a:extLst>
            <a:ext uri="{FF2B5EF4-FFF2-40B4-BE49-F238E27FC236}">
              <a16:creationId xmlns:a16="http://schemas.microsoft.com/office/drawing/2014/main" id="{00000000-0008-0000-0100-0000BE050000}"/>
            </a:ext>
          </a:extLst>
        </xdr:cNvPr>
        <xdr:cNvSpPr txBox="1">
          <a:spLocks noChangeArrowheads="1"/>
        </xdr:cNvSpPr>
      </xdr:nvSpPr>
      <xdr:spPr bwMode="auto">
        <a:xfrm>
          <a:off x="3901109" y="326624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471" name="Text Box 1">
          <a:extLst>
            <a:ext uri="{FF2B5EF4-FFF2-40B4-BE49-F238E27FC236}">
              <a16:creationId xmlns:a16="http://schemas.microsoft.com/office/drawing/2014/main" id="{00000000-0008-0000-0100-0000BF050000}"/>
            </a:ext>
          </a:extLst>
        </xdr:cNvPr>
        <xdr:cNvSpPr txBox="1">
          <a:spLocks noChangeArrowheads="1"/>
        </xdr:cNvSpPr>
      </xdr:nvSpPr>
      <xdr:spPr bwMode="auto">
        <a:xfrm>
          <a:off x="4580283" y="32662467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472" name="Text Box 1">
          <a:extLst>
            <a:ext uri="{FF2B5EF4-FFF2-40B4-BE49-F238E27FC236}">
              <a16:creationId xmlns:a16="http://schemas.microsoft.com/office/drawing/2014/main" id="{00000000-0008-0000-0100-0000C0050000}"/>
            </a:ext>
          </a:extLst>
        </xdr:cNvPr>
        <xdr:cNvSpPr txBox="1">
          <a:spLocks noChangeArrowheads="1"/>
        </xdr:cNvSpPr>
      </xdr:nvSpPr>
      <xdr:spPr bwMode="auto">
        <a:xfrm>
          <a:off x="4580283" y="32662467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473" name="Text Box 1">
          <a:extLst>
            <a:ext uri="{FF2B5EF4-FFF2-40B4-BE49-F238E27FC236}">
              <a16:creationId xmlns:a16="http://schemas.microsoft.com/office/drawing/2014/main" id="{00000000-0008-0000-0100-0000C1050000}"/>
            </a:ext>
          </a:extLst>
        </xdr:cNvPr>
        <xdr:cNvSpPr txBox="1">
          <a:spLocks noChangeArrowheads="1"/>
        </xdr:cNvSpPr>
      </xdr:nvSpPr>
      <xdr:spPr bwMode="auto">
        <a:xfrm>
          <a:off x="4580283" y="32662467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474" name="Text Box 1">
          <a:extLst>
            <a:ext uri="{FF2B5EF4-FFF2-40B4-BE49-F238E27FC236}">
              <a16:creationId xmlns:a16="http://schemas.microsoft.com/office/drawing/2014/main" id="{00000000-0008-0000-0100-0000C2050000}"/>
            </a:ext>
          </a:extLst>
        </xdr:cNvPr>
        <xdr:cNvSpPr txBox="1">
          <a:spLocks noChangeArrowheads="1"/>
        </xdr:cNvSpPr>
      </xdr:nvSpPr>
      <xdr:spPr bwMode="auto">
        <a:xfrm>
          <a:off x="4580283" y="32662467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75" name="Text Box 5">
          <a:extLst>
            <a:ext uri="{FF2B5EF4-FFF2-40B4-BE49-F238E27FC236}">
              <a16:creationId xmlns:a16="http://schemas.microsoft.com/office/drawing/2014/main" id="{00000000-0008-0000-0100-0000C3050000}"/>
            </a:ext>
          </a:extLst>
        </xdr:cNvPr>
        <xdr:cNvSpPr txBox="1">
          <a:spLocks noChangeArrowheads="1"/>
        </xdr:cNvSpPr>
      </xdr:nvSpPr>
      <xdr:spPr bwMode="auto">
        <a:xfrm>
          <a:off x="3901109" y="337358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476" name="Text Box 6">
          <a:extLst>
            <a:ext uri="{FF2B5EF4-FFF2-40B4-BE49-F238E27FC236}">
              <a16:creationId xmlns:a16="http://schemas.microsoft.com/office/drawing/2014/main" id="{00000000-0008-0000-0100-0000C4050000}"/>
            </a:ext>
          </a:extLst>
        </xdr:cNvPr>
        <xdr:cNvSpPr txBox="1">
          <a:spLocks noChangeArrowheads="1"/>
        </xdr:cNvSpPr>
      </xdr:nvSpPr>
      <xdr:spPr bwMode="auto">
        <a:xfrm>
          <a:off x="3901109" y="337358935"/>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77" name="Text Box 16">
          <a:extLst>
            <a:ext uri="{FF2B5EF4-FFF2-40B4-BE49-F238E27FC236}">
              <a16:creationId xmlns:a16="http://schemas.microsoft.com/office/drawing/2014/main" id="{00000000-0008-0000-0100-0000C5050000}"/>
            </a:ext>
          </a:extLst>
        </xdr:cNvPr>
        <xdr:cNvSpPr txBox="1">
          <a:spLocks noChangeArrowheads="1"/>
        </xdr:cNvSpPr>
      </xdr:nvSpPr>
      <xdr:spPr bwMode="auto">
        <a:xfrm>
          <a:off x="3901109" y="337358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78" name="Text Box 17">
          <a:extLst>
            <a:ext uri="{FF2B5EF4-FFF2-40B4-BE49-F238E27FC236}">
              <a16:creationId xmlns:a16="http://schemas.microsoft.com/office/drawing/2014/main" id="{00000000-0008-0000-0100-0000C6050000}"/>
            </a:ext>
          </a:extLst>
        </xdr:cNvPr>
        <xdr:cNvSpPr txBox="1">
          <a:spLocks noChangeArrowheads="1"/>
        </xdr:cNvSpPr>
      </xdr:nvSpPr>
      <xdr:spPr bwMode="auto">
        <a:xfrm>
          <a:off x="3901109" y="337358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79" name="Text Box 18">
          <a:extLst>
            <a:ext uri="{FF2B5EF4-FFF2-40B4-BE49-F238E27FC236}">
              <a16:creationId xmlns:a16="http://schemas.microsoft.com/office/drawing/2014/main" id="{00000000-0008-0000-0100-0000C7050000}"/>
            </a:ext>
          </a:extLst>
        </xdr:cNvPr>
        <xdr:cNvSpPr txBox="1">
          <a:spLocks noChangeArrowheads="1"/>
        </xdr:cNvSpPr>
      </xdr:nvSpPr>
      <xdr:spPr bwMode="auto">
        <a:xfrm>
          <a:off x="3901109" y="337358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80" name="Text Box 19">
          <a:extLst>
            <a:ext uri="{FF2B5EF4-FFF2-40B4-BE49-F238E27FC236}">
              <a16:creationId xmlns:a16="http://schemas.microsoft.com/office/drawing/2014/main" id="{00000000-0008-0000-0100-0000C8050000}"/>
            </a:ext>
          </a:extLst>
        </xdr:cNvPr>
        <xdr:cNvSpPr txBox="1">
          <a:spLocks noChangeArrowheads="1"/>
        </xdr:cNvSpPr>
      </xdr:nvSpPr>
      <xdr:spPr bwMode="auto">
        <a:xfrm>
          <a:off x="3901109" y="337358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81" name="Text Box 20">
          <a:extLst>
            <a:ext uri="{FF2B5EF4-FFF2-40B4-BE49-F238E27FC236}">
              <a16:creationId xmlns:a16="http://schemas.microsoft.com/office/drawing/2014/main" id="{00000000-0008-0000-0100-0000C9050000}"/>
            </a:ext>
          </a:extLst>
        </xdr:cNvPr>
        <xdr:cNvSpPr txBox="1">
          <a:spLocks noChangeArrowheads="1"/>
        </xdr:cNvSpPr>
      </xdr:nvSpPr>
      <xdr:spPr bwMode="auto">
        <a:xfrm>
          <a:off x="3901109" y="337358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482" name="Text Box 21">
          <a:extLst>
            <a:ext uri="{FF2B5EF4-FFF2-40B4-BE49-F238E27FC236}">
              <a16:creationId xmlns:a16="http://schemas.microsoft.com/office/drawing/2014/main" id="{00000000-0008-0000-0100-0000CA050000}"/>
            </a:ext>
          </a:extLst>
        </xdr:cNvPr>
        <xdr:cNvSpPr txBox="1">
          <a:spLocks noChangeArrowheads="1"/>
        </xdr:cNvSpPr>
      </xdr:nvSpPr>
      <xdr:spPr bwMode="auto">
        <a:xfrm>
          <a:off x="3901109" y="337358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483" name="Text Box 22">
          <a:extLst>
            <a:ext uri="{FF2B5EF4-FFF2-40B4-BE49-F238E27FC236}">
              <a16:creationId xmlns:a16="http://schemas.microsoft.com/office/drawing/2014/main" id="{00000000-0008-0000-0100-0000CB050000}"/>
            </a:ext>
          </a:extLst>
        </xdr:cNvPr>
        <xdr:cNvSpPr txBox="1">
          <a:spLocks noChangeArrowheads="1"/>
        </xdr:cNvSpPr>
      </xdr:nvSpPr>
      <xdr:spPr bwMode="auto">
        <a:xfrm>
          <a:off x="3901109" y="337358935"/>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484" name="Text Box 1">
          <a:extLst>
            <a:ext uri="{FF2B5EF4-FFF2-40B4-BE49-F238E27FC236}">
              <a16:creationId xmlns:a16="http://schemas.microsoft.com/office/drawing/2014/main" id="{00000000-0008-0000-0100-0000CC050000}"/>
            </a:ext>
          </a:extLst>
        </xdr:cNvPr>
        <xdr:cNvSpPr txBox="1">
          <a:spLocks noChangeArrowheads="1"/>
        </xdr:cNvSpPr>
      </xdr:nvSpPr>
      <xdr:spPr bwMode="auto">
        <a:xfrm>
          <a:off x="4580283" y="3373589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485" name="Text Box 1">
          <a:extLst>
            <a:ext uri="{FF2B5EF4-FFF2-40B4-BE49-F238E27FC236}">
              <a16:creationId xmlns:a16="http://schemas.microsoft.com/office/drawing/2014/main" id="{00000000-0008-0000-0100-0000CD050000}"/>
            </a:ext>
          </a:extLst>
        </xdr:cNvPr>
        <xdr:cNvSpPr txBox="1">
          <a:spLocks noChangeArrowheads="1"/>
        </xdr:cNvSpPr>
      </xdr:nvSpPr>
      <xdr:spPr bwMode="auto">
        <a:xfrm>
          <a:off x="4580283" y="3373589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486" name="Text Box 1">
          <a:extLst>
            <a:ext uri="{FF2B5EF4-FFF2-40B4-BE49-F238E27FC236}">
              <a16:creationId xmlns:a16="http://schemas.microsoft.com/office/drawing/2014/main" id="{00000000-0008-0000-0100-0000CE050000}"/>
            </a:ext>
          </a:extLst>
        </xdr:cNvPr>
        <xdr:cNvSpPr txBox="1">
          <a:spLocks noChangeArrowheads="1"/>
        </xdr:cNvSpPr>
      </xdr:nvSpPr>
      <xdr:spPr bwMode="auto">
        <a:xfrm>
          <a:off x="4580283" y="3373589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487" name="Text Box 1">
          <a:extLst>
            <a:ext uri="{FF2B5EF4-FFF2-40B4-BE49-F238E27FC236}">
              <a16:creationId xmlns:a16="http://schemas.microsoft.com/office/drawing/2014/main" id="{00000000-0008-0000-0100-0000CF050000}"/>
            </a:ext>
          </a:extLst>
        </xdr:cNvPr>
        <xdr:cNvSpPr txBox="1">
          <a:spLocks noChangeArrowheads="1"/>
        </xdr:cNvSpPr>
      </xdr:nvSpPr>
      <xdr:spPr bwMode="auto">
        <a:xfrm>
          <a:off x="4580283" y="3373589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88" name="Text Box 5">
          <a:extLst>
            <a:ext uri="{FF2B5EF4-FFF2-40B4-BE49-F238E27FC236}">
              <a16:creationId xmlns:a16="http://schemas.microsoft.com/office/drawing/2014/main" id="{00000000-0008-0000-0100-0000D0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89" name="Text Box 6">
          <a:extLst>
            <a:ext uri="{FF2B5EF4-FFF2-40B4-BE49-F238E27FC236}">
              <a16:creationId xmlns:a16="http://schemas.microsoft.com/office/drawing/2014/main" id="{00000000-0008-0000-0100-0000D1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0" name="Text Box 7">
          <a:extLst>
            <a:ext uri="{FF2B5EF4-FFF2-40B4-BE49-F238E27FC236}">
              <a16:creationId xmlns:a16="http://schemas.microsoft.com/office/drawing/2014/main" id="{00000000-0008-0000-0100-0000D2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1" name="Text Box 8">
          <a:extLst>
            <a:ext uri="{FF2B5EF4-FFF2-40B4-BE49-F238E27FC236}">
              <a16:creationId xmlns:a16="http://schemas.microsoft.com/office/drawing/2014/main" id="{00000000-0008-0000-0100-0000D3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2" name="Text Box 9">
          <a:extLst>
            <a:ext uri="{FF2B5EF4-FFF2-40B4-BE49-F238E27FC236}">
              <a16:creationId xmlns:a16="http://schemas.microsoft.com/office/drawing/2014/main" id="{00000000-0008-0000-0100-0000D4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3" name="Text Box 10">
          <a:extLst>
            <a:ext uri="{FF2B5EF4-FFF2-40B4-BE49-F238E27FC236}">
              <a16:creationId xmlns:a16="http://schemas.microsoft.com/office/drawing/2014/main" id="{00000000-0008-0000-0100-0000D5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4" name="Text Box 11">
          <a:extLst>
            <a:ext uri="{FF2B5EF4-FFF2-40B4-BE49-F238E27FC236}">
              <a16:creationId xmlns:a16="http://schemas.microsoft.com/office/drawing/2014/main" id="{00000000-0008-0000-0100-0000D6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5" name="Text Box 12">
          <a:extLst>
            <a:ext uri="{FF2B5EF4-FFF2-40B4-BE49-F238E27FC236}">
              <a16:creationId xmlns:a16="http://schemas.microsoft.com/office/drawing/2014/main" id="{00000000-0008-0000-0100-0000D7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6" name="Text Box 13">
          <a:extLst>
            <a:ext uri="{FF2B5EF4-FFF2-40B4-BE49-F238E27FC236}">
              <a16:creationId xmlns:a16="http://schemas.microsoft.com/office/drawing/2014/main" id="{00000000-0008-0000-0100-0000D8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241149" cy="339773"/>
    <xdr:sp macro="" textlink="">
      <xdr:nvSpPr>
        <xdr:cNvPr id="1497" name="Text Box 14">
          <a:extLst>
            <a:ext uri="{FF2B5EF4-FFF2-40B4-BE49-F238E27FC236}">
              <a16:creationId xmlns:a16="http://schemas.microsoft.com/office/drawing/2014/main" id="{00000000-0008-0000-0100-0000D9050000}"/>
            </a:ext>
          </a:extLst>
        </xdr:cNvPr>
        <xdr:cNvSpPr txBox="1">
          <a:spLocks noChangeArrowheads="1"/>
        </xdr:cNvSpPr>
      </xdr:nvSpPr>
      <xdr:spPr bwMode="auto">
        <a:xfrm>
          <a:off x="3901109" y="328728457"/>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8" name="Text Box 15">
          <a:extLst>
            <a:ext uri="{FF2B5EF4-FFF2-40B4-BE49-F238E27FC236}">
              <a16:creationId xmlns:a16="http://schemas.microsoft.com/office/drawing/2014/main" id="{00000000-0008-0000-0100-0000DA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499" name="Text Box 16">
          <a:extLst>
            <a:ext uri="{FF2B5EF4-FFF2-40B4-BE49-F238E27FC236}">
              <a16:creationId xmlns:a16="http://schemas.microsoft.com/office/drawing/2014/main" id="{00000000-0008-0000-0100-0000DB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0" name="Text Box 17">
          <a:extLst>
            <a:ext uri="{FF2B5EF4-FFF2-40B4-BE49-F238E27FC236}">
              <a16:creationId xmlns:a16="http://schemas.microsoft.com/office/drawing/2014/main" id="{00000000-0008-0000-0100-0000DC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1" name="Text Box 18">
          <a:extLst>
            <a:ext uri="{FF2B5EF4-FFF2-40B4-BE49-F238E27FC236}">
              <a16:creationId xmlns:a16="http://schemas.microsoft.com/office/drawing/2014/main" id="{00000000-0008-0000-0100-0000DD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2" name="Text Box 19">
          <a:extLst>
            <a:ext uri="{FF2B5EF4-FFF2-40B4-BE49-F238E27FC236}">
              <a16:creationId xmlns:a16="http://schemas.microsoft.com/office/drawing/2014/main" id="{00000000-0008-0000-0100-0000DE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3" name="Text Box 20">
          <a:extLst>
            <a:ext uri="{FF2B5EF4-FFF2-40B4-BE49-F238E27FC236}">
              <a16:creationId xmlns:a16="http://schemas.microsoft.com/office/drawing/2014/main" id="{00000000-0008-0000-0100-0000DF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4" name="Text Box 21">
          <a:extLst>
            <a:ext uri="{FF2B5EF4-FFF2-40B4-BE49-F238E27FC236}">
              <a16:creationId xmlns:a16="http://schemas.microsoft.com/office/drawing/2014/main" id="{00000000-0008-0000-0100-0000E0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5" name="Text Box 22">
          <a:extLst>
            <a:ext uri="{FF2B5EF4-FFF2-40B4-BE49-F238E27FC236}">
              <a16:creationId xmlns:a16="http://schemas.microsoft.com/office/drawing/2014/main" id="{00000000-0008-0000-0100-0000E1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6" name="Text Box 7">
          <a:extLst>
            <a:ext uri="{FF2B5EF4-FFF2-40B4-BE49-F238E27FC236}">
              <a16:creationId xmlns:a16="http://schemas.microsoft.com/office/drawing/2014/main" id="{00000000-0008-0000-0100-0000E2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7" name="Text Box 8">
          <a:extLst>
            <a:ext uri="{FF2B5EF4-FFF2-40B4-BE49-F238E27FC236}">
              <a16:creationId xmlns:a16="http://schemas.microsoft.com/office/drawing/2014/main" id="{00000000-0008-0000-0100-0000E3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8" name="Text Box 9">
          <a:extLst>
            <a:ext uri="{FF2B5EF4-FFF2-40B4-BE49-F238E27FC236}">
              <a16:creationId xmlns:a16="http://schemas.microsoft.com/office/drawing/2014/main" id="{00000000-0008-0000-0100-0000E4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09" name="Text Box 10">
          <a:extLst>
            <a:ext uri="{FF2B5EF4-FFF2-40B4-BE49-F238E27FC236}">
              <a16:creationId xmlns:a16="http://schemas.microsoft.com/office/drawing/2014/main" id="{00000000-0008-0000-0100-0000E5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10" name="Text Box 11">
          <a:extLst>
            <a:ext uri="{FF2B5EF4-FFF2-40B4-BE49-F238E27FC236}">
              <a16:creationId xmlns:a16="http://schemas.microsoft.com/office/drawing/2014/main" id="{00000000-0008-0000-0100-0000E6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11" name="Text Box 12">
          <a:extLst>
            <a:ext uri="{FF2B5EF4-FFF2-40B4-BE49-F238E27FC236}">
              <a16:creationId xmlns:a16="http://schemas.microsoft.com/office/drawing/2014/main" id="{00000000-0008-0000-0100-0000E7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12" name="Text Box 13">
          <a:extLst>
            <a:ext uri="{FF2B5EF4-FFF2-40B4-BE49-F238E27FC236}">
              <a16:creationId xmlns:a16="http://schemas.microsoft.com/office/drawing/2014/main" id="{00000000-0008-0000-0100-0000E8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241149" cy="339773"/>
    <xdr:sp macro="" textlink="">
      <xdr:nvSpPr>
        <xdr:cNvPr id="1513" name="Text Box 14">
          <a:extLst>
            <a:ext uri="{FF2B5EF4-FFF2-40B4-BE49-F238E27FC236}">
              <a16:creationId xmlns:a16="http://schemas.microsoft.com/office/drawing/2014/main" id="{00000000-0008-0000-0100-0000E9050000}"/>
            </a:ext>
          </a:extLst>
        </xdr:cNvPr>
        <xdr:cNvSpPr txBox="1">
          <a:spLocks noChangeArrowheads="1"/>
        </xdr:cNvSpPr>
      </xdr:nvSpPr>
      <xdr:spPr bwMode="auto">
        <a:xfrm>
          <a:off x="3901109" y="328728457"/>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3"/>
    <xdr:sp macro="" textlink="">
      <xdr:nvSpPr>
        <xdr:cNvPr id="1514" name="Text Box 15">
          <a:extLst>
            <a:ext uri="{FF2B5EF4-FFF2-40B4-BE49-F238E27FC236}">
              <a16:creationId xmlns:a16="http://schemas.microsoft.com/office/drawing/2014/main" id="{00000000-0008-0000-0100-0000EA050000}"/>
            </a:ext>
          </a:extLst>
        </xdr:cNvPr>
        <xdr:cNvSpPr txBox="1">
          <a:spLocks noChangeArrowheads="1"/>
        </xdr:cNvSpPr>
      </xdr:nvSpPr>
      <xdr:spPr bwMode="auto">
        <a:xfrm>
          <a:off x="3901109" y="328728457"/>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56668"/>
    <xdr:sp macro="" textlink="">
      <xdr:nvSpPr>
        <xdr:cNvPr id="1515" name="Text Box 5">
          <a:extLst>
            <a:ext uri="{FF2B5EF4-FFF2-40B4-BE49-F238E27FC236}">
              <a16:creationId xmlns:a16="http://schemas.microsoft.com/office/drawing/2014/main" id="{00000000-0008-0000-0100-0000EB050000}"/>
            </a:ext>
          </a:extLst>
        </xdr:cNvPr>
        <xdr:cNvSpPr txBox="1">
          <a:spLocks noChangeArrowheads="1"/>
        </xdr:cNvSpPr>
      </xdr:nvSpPr>
      <xdr:spPr bwMode="auto">
        <a:xfrm>
          <a:off x="3901109" y="3287284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68827"/>
    <xdr:sp macro="" textlink="">
      <xdr:nvSpPr>
        <xdr:cNvPr id="1516" name="Text Box 6">
          <a:extLst>
            <a:ext uri="{FF2B5EF4-FFF2-40B4-BE49-F238E27FC236}">
              <a16:creationId xmlns:a16="http://schemas.microsoft.com/office/drawing/2014/main" id="{00000000-0008-0000-0100-0000EC050000}"/>
            </a:ext>
          </a:extLst>
        </xdr:cNvPr>
        <xdr:cNvSpPr txBox="1">
          <a:spLocks noChangeArrowheads="1"/>
        </xdr:cNvSpPr>
      </xdr:nvSpPr>
      <xdr:spPr bwMode="auto">
        <a:xfrm>
          <a:off x="3901109" y="32872845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17" name="Text Box 7">
          <a:extLst>
            <a:ext uri="{FF2B5EF4-FFF2-40B4-BE49-F238E27FC236}">
              <a16:creationId xmlns:a16="http://schemas.microsoft.com/office/drawing/2014/main" id="{00000000-0008-0000-0100-0000ED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18" name="Text Box 8">
          <a:extLst>
            <a:ext uri="{FF2B5EF4-FFF2-40B4-BE49-F238E27FC236}">
              <a16:creationId xmlns:a16="http://schemas.microsoft.com/office/drawing/2014/main" id="{00000000-0008-0000-0100-0000EE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19" name="Text Box 9">
          <a:extLst>
            <a:ext uri="{FF2B5EF4-FFF2-40B4-BE49-F238E27FC236}">
              <a16:creationId xmlns:a16="http://schemas.microsoft.com/office/drawing/2014/main" id="{00000000-0008-0000-0100-0000EF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20" name="Text Box 10">
          <a:extLst>
            <a:ext uri="{FF2B5EF4-FFF2-40B4-BE49-F238E27FC236}">
              <a16:creationId xmlns:a16="http://schemas.microsoft.com/office/drawing/2014/main" id="{00000000-0008-0000-0100-0000F0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21" name="Text Box 11">
          <a:extLst>
            <a:ext uri="{FF2B5EF4-FFF2-40B4-BE49-F238E27FC236}">
              <a16:creationId xmlns:a16="http://schemas.microsoft.com/office/drawing/2014/main" id="{00000000-0008-0000-0100-0000F1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22" name="Text Box 12">
          <a:extLst>
            <a:ext uri="{FF2B5EF4-FFF2-40B4-BE49-F238E27FC236}">
              <a16:creationId xmlns:a16="http://schemas.microsoft.com/office/drawing/2014/main" id="{00000000-0008-0000-0100-0000F2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23" name="Text Box 13">
          <a:extLst>
            <a:ext uri="{FF2B5EF4-FFF2-40B4-BE49-F238E27FC236}">
              <a16:creationId xmlns:a16="http://schemas.microsoft.com/office/drawing/2014/main" id="{00000000-0008-0000-0100-0000F3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241149" cy="339770"/>
    <xdr:sp macro="" textlink="">
      <xdr:nvSpPr>
        <xdr:cNvPr id="1524" name="Text Box 14">
          <a:extLst>
            <a:ext uri="{FF2B5EF4-FFF2-40B4-BE49-F238E27FC236}">
              <a16:creationId xmlns:a16="http://schemas.microsoft.com/office/drawing/2014/main" id="{00000000-0008-0000-0100-0000F4050000}"/>
            </a:ext>
          </a:extLst>
        </xdr:cNvPr>
        <xdr:cNvSpPr txBox="1">
          <a:spLocks noChangeArrowheads="1"/>
        </xdr:cNvSpPr>
      </xdr:nvSpPr>
      <xdr:spPr bwMode="auto">
        <a:xfrm>
          <a:off x="3901109" y="328728457"/>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25" name="Text Box 15">
          <a:extLst>
            <a:ext uri="{FF2B5EF4-FFF2-40B4-BE49-F238E27FC236}">
              <a16:creationId xmlns:a16="http://schemas.microsoft.com/office/drawing/2014/main" id="{00000000-0008-0000-0100-0000F5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56668"/>
    <xdr:sp macro="" textlink="">
      <xdr:nvSpPr>
        <xdr:cNvPr id="1526" name="Text Box 16">
          <a:extLst>
            <a:ext uri="{FF2B5EF4-FFF2-40B4-BE49-F238E27FC236}">
              <a16:creationId xmlns:a16="http://schemas.microsoft.com/office/drawing/2014/main" id="{00000000-0008-0000-0100-0000F6050000}"/>
            </a:ext>
          </a:extLst>
        </xdr:cNvPr>
        <xdr:cNvSpPr txBox="1">
          <a:spLocks noChangeArrowheads="1"/>
        </xdr:cNvSpPr>
      </xdr:nvSpPr>
      <xdr:spPr bwMode="auto">
        <a:xfrm>
          <a:off x="3901109" y="3287284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56668"/>
    <xdr:sp macro="" textlink="">
      <xdr:nvSpPr>
        <xdr:cNvPr id="1527" name="Text Box 17">
          <a:extLst>
            <a:ext uri="{FF2B5EF4-FFF2-40B4-BE49-F238E27FC236}">
              <a16:creationId xmlns:a16="http://schemas.microsoft.com/office/drawing/2014/main" id="{00000000-0008-0000-0100-0000F7050000}"/>
            </a:ext>
          </a:extLst>
        </xdr:cNvPr>
        <xdr:cNvSpPr txBox="1">
          <a:spLocks noChangeArrowheads="1"/>
        </xdr:cNvSpPr>
      </xdr:nvSpPr>
      <xdr:spPr bwMode="auto">
        <a:xfrm>
          <a:off x="3901109" y="3287284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56668"/>
    <xdr:sp macro="" textlink="">
      <xdr:nvSpPr>
        <xdr:cNvPr id="1528" name="Text Box 18">
          <a:extLst>
            <a:ext uri="{FF2B5EF4-FFF2-40B4-BE49-F238E27FC236}">
              <a16:creationId xmlns:a16="http://schemas.microsoft.com/office/drawing/2014/main" id="{00000000-0008-0000-0100-0000F8050000}"/>
            </a:ext>
          </a:extLst>
        </xdr:cNvPr>
        <xdr:cNvSpPr txBox="1">
          <a:spLocks noChangeArrowheads="1"/>
        </xdr:cNvSpPr>
      </xdr:nvSpPr>
      <xdr:spPr bwMode="auto">
        <a:xfrm>
          <a:off x="3901109" y="3287284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56668"/>
    <xdr:sp macro="" textlink="">
      <xdr:nvSpPr>
        <xdr:cNvPr id="1529" name="Text Box 19">
          <a:extLst>
            <a:ext uri="{FF2B5EF4-FFF2-40B4-BE49-F238E27FC236}">
              <a16:creationId xmlns:a16="http://schemas.microsoft.com/office/drawing/2014/main" id="{00000000-0008-0000-0100-0000F9050000}"/>
            </a:ext>
          </a:extLst>
        </xdr:cNvPr>
        <xdr:cNvSpPr txBox="1">
          <a:spLocks noChangeArrowheads="1"/>
        </xdr:cNvSpPr>
      </xdr:nvSpPr>
      <xdr:spPr bwMode="auto">
        <a:xfrm>
          <a:off x="3901109" y="3287284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56668"/>
    <xdr:sp macro="" textlink="">
      <xdr:nvSpPr>
        <xdr:cNvPr id="1530" name="Text Box 20">
          <a:extLst>
            <a:ext uri="{FF2B5EF4-FFF2-40B4-BE49-F238E27FC236}">
              <a16:creationId xmlns:a16="http://schemas.microsoft.com/office/drawing/2014/main" id="{00000000-0008-0000-0100-0000FA050000}"/>
            </a:ext>
          </a:extLst>
        </xdr:cNvPr>
        <xdr:cNvSpPr txBox="1">
          <a:spLocks noChangeArrowheads="1"/>
        </xdr:cNvSpPr>
      </xdr:nvSpPr>
      <xdr:spPr bwMode="auto">
        <a:xfrm>
          <a:off x="3901109" y="3287284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56668"/>
    <xdr:sp macro="" textlink="">
      <xdr:nvSpPr>
        <xdr:cNvPr id="1531" name="Text Box 21">
          <a:extLst>
            <a:ext uri="{FF2B5EF4-FFF2-40B4-BE49-F238E27FC236}">
              <a16:creationId xmlns:a16="http://schemas.microsoft.com/office/drawing/2014/main" id="{00000000-0008-0000-0100-0000FB050000}"/>
            </a:ext>
          </a:extLst>
        </xdr:cNvPr>
        <xdr:cNvSpPr txBox="1">
          <a:spLocks noChangeArrowheads="1"/>
        </xdr:cNvSpPr>
      </xdr:nvSpPr>
      <xdr:spPr bwMode="auto">
        <a:xfrm>
          <a:off x="3901109" y="32872845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68827"/>
    <xdr:sp macro="" textlink="">
      <xdr:nvSpPr>
        <xdr:cNvPr id="1532" name="Text Box 22">
          <a:extLst>
            <a:ext uri="{FF2B5EF4-FFF2-40B4-BE49-F238E27FC236}">
              <a16:creationId xmlns:a16="http://schemas.microsoft.com/office/drawing/2014/main" id="{00000000-0008-0000-0100-0000FC050000}"/>
            </a:ext>
          </a:extLst>
        </xdr:cNvPr>
        <xdr:cNvSpPr txBox="1">
          <a:spLocks noChangeArrowheads="1"/>
        </xdr:cNvSpPr>
      </xdr:nvSpPr>
      <xdr:spPr bwMode="auto">
        <a:xfrm>
          <a:off x="3901109" y="32872845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33" name="Text Box 7">
          <a:extLst>
            <a:ext uri="{FF2B5EF4-FFF2-40B4-BE49-F238E27FC236}">
              <a16:creationId xmlns:a16="http://schemas.microsoft.com/office/drawing/2014/main" id="{00000000-0008-0000-0100-0000FD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34" name="Text Box 8">
          <a:extLst>
            <a:ext uri="{FF2B5EF4-FFF2-40B4-BE49-F238E27FC236}">
              <a16:creationId xmlns:a16="http://schemas.microsoft.com/office/drawing/2014/main" id="{00000000-0008-0000-0100-0000FE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35" name="Text Box 9">
          <a:extLst>
            <a:ext uri="{FF2B5EF4-FFF2-40B4-BE49-F238E27FC236}">
              <a16:creationId xmlns:a16="http://schemas.microsoft.com/office/drawing/2014/main" id="{00000000-0008-0000-0100-0000FF05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36" name="Text Box 10">
          <a:extLst>
            <a:ext uri="{FF2B5EF4-FFF2-40B4-BE49-F238E27FC236}">
              <a16:creationId xmlns:a16="http://schemas.microsoft.com/office/drawing/2014/main" id="{00000000-0008-0000-0100-00000006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37" name="Text Box 11">
          <a:extLst>
            <a:ext uri="{FF2B5EF4-FFF2-40B4-BE49-F238E27FC236}">
              <a16:creationId xmlns:a16="http://schemas.microsoft.com/office/drawing/2014/main" id="{00000000-0008-0000-0100-00000106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38" name="Text Box 12">
          <a:extLst>
            <a:ext uri="{FF2B5EF4-FFF2-40B4-BE49-F238E27FC236}">
              <a16:creationId xmlns:a16="http://schemas.microsoft.com/office/drawing/2014/main" id="{00000000-0008-0000-0100-00000206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39" name="Text Box 13">
          <a:extLst>
            <a:ext uri="{FF2B5EF4-FFF2-40B4-BE49-F238E27FC236}">
              <a16:creationId xmlns:a16="http://schemas.microsoft.com/office/drawing/2014/main" id="{00000000-0008-0000-0100-00000306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241149" cy="339770"/>
    <xdr:sp macro="" textlink="">
      <xdr:nvSpPr>
        <xdr:cNvPr id="1540" name="Text Box 14">
          <a:extLst>
            <a:ext uri="{FF2B5EF4-FFF2-40B4-BE49-F238E27FC236}">
              <a16:creationId xmlns:a16="http://schemas.microsoft.com/office/drawing/2014/main" id="{00000000-0008-0000-0100-000004060000}"/>
            </a:ext>
          </a:extLst>
        </xdr:cNvPr>
        <xdr:cNvSpPr txBox="1">
          <a:spLocks noChangeArrowheads="1"/>
        </xdr:cNvSpPr>
      </xdr:nvSpPr>
      <xdr:spPr bwMode="auto">
        <a:xfrm>
          <a:off x="3901109" y="328728457"/>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339770"/>
    <xdr:sp macro="" textlink="">
      <xdr:nvSpPr>
        <xdr:cNvPr id="1541" name="Text Box 15">
          <a:extLst>
            <a:ext uri="{FF2B5EF4-FFF2-40B4-BE49-F238E27FC236}">
              <a16:creationId xmlns:a16="http://schemas.microsoft.com/office/drawing/2014/main" id="{00000000-0008-0000-0100-000005060000}"/>
            </a:ext>
          </a:extLst>
        </xdr:cNvPr>
        <xdr:cNvSpPr txBox="1">
          <a:spLocks noChangeArrowheads="1"/>
        </xdr:cNvSpPr>
      </xdr:nvSpPr>
      <xdr:spPr bwMode="auto">
        <a:xfrm>
          <a:off x="3901109" y="328728457"/>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42" name="Text Box 5">
          <a:extLst>
            <a:ext uri="{FF2B5EF4-FFF2-40B4-BE49-F238E27FC236}">
              <a16:creationId xmlns:a16="http://schemas.microsoft.com/office/drawing/2014/main" id="{00000000-0008-0000-0100-000006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32388"/>
    <xdr:sp macro="" textlink="">
      <xdr:nvSpPr>
        <xdr:cNvPr id="1543" name="Text Box 6">
          <a:extLst>
            <a:ext uri="{FF2B5EF4-FFF2-40B4-BE49-F238E27FC236}">
              <a16:creationId xmlns:a16="http://schemas.microsoft.com/office/drawing/2014/main" id="{00000000-0008-0000-0100-000007060000}"/>
            </a:ext>
          </a:extLst>
        </xdr:cNvPr>
        <xdr:cNvSpPr txBox="1">
          <a:spLocks noChangeArrowheads="1"/>
        </xdr:cNvSpPr>
      </xdr:nvSpPr>
      <xdr:spPr bwMode="auto">
        <a:xfrm>
          <a:off x="3901109" y="328728457"/>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44" name="Text Box 7">
          <a:extLst>
            <a:ext uri="{FF2B5EF4-FFF2-40B4-BE49-F238E27FC236}">
              <a16:creationId xmlns:a16="http://schemas.microsoft.com/office/drawing/2014/main" id="{00000000-0008-0000-0100-000008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45" name="Text Box 8">
          <a:extLst>
            <a:ext uri="{FF2B5EF4-FFF2-40B4-BE49-F238E27FC236}">
              <a16:creationId xmlns:a16="http://schemas.microsoft.com/office/drawing/2014/main" id="{00000000-0008-0000-0100-000009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46" name="Text Box 9">
          <a:extLst>
            <a:ext uri="{FF2B5EF4-FFF2-40B4-BE49-F238E27FC236}">
              <a16:creationId xmlns:a16="http://schemas.microsoft.com/office/drawing/2014/main" id="{00000000-0008-0000-0100-00000A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47" name="Text Box 10">
          <a:extLst>
            <a:ext uri="{FF2B5EF4-FFF2-40B4-BE49-F238E27FC236}">
              <a16:creationId xmlns:a16="http://schemas.microsoft.com/office/drawing/2014/main" id="{00000000-0008-0000-0100-00000B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48" name="Text Box 11">
          <a:extLst>
            <a:ext uri="{FF2B5EF4-FFF2-40B4-BE49-F238E27FC236}">
              <a16:creationId xmlns:a16="http://schemas.microsoft.com/office/drawing/2014/main" id="{00000000-0008-0000-0100-00000C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49" name="Text Box 12">
          <a:extLst>
            <a:ext uri="{FF2B5EF4-FFF2-40B4-BE49-F238E27FC236}">
              <a16:creationId xmlns:a16="http://schemas.microsoft.com/office/drawing/2014/main" id="{00000000-0008-0000-0100-00000D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50" name="Text Box 13">
          <a:extLst>
            <a:ext uri="{FF2B5EF4-FFF2-40B4-BE49-F238E27FC236}">
              <a16:creationId xmlns:a16="http://schemas.microsoft.com/office/drawing/2014/main" id="{00000000-0008-0000-0100-00000E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241149" cy="2151438"/>
    <xdr:sp macro="" textlink="">
      <xdr:nvSpPr>
        <xdr:cNvPr id="1551" name="Text Box 14">
          <a:extLst>
            <a:ext uri="{FF2B5EF4-FFF2-40B4-BE49-F238E27FC236}">
              <a16:creationId xmlns:a16="http://schemas.microsoft.com/office/drawing/2014/main" id="{00000000-0008-0000-0100-00000F060000}"/>
            </a:ext>
          </a:extLst>
        </xdr:cNvPr>
        <xdr:cNvSpPr txBox="1">
          <a:spLocks noChangeArrowheads="1"/>
        </xdr:cNvSpPr>
      </xdr:nvSpPr>
      <xdr:spPr bwMode="auto">
        <a:xfrm>
          <a:off x="3901109" y="328728457"/>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52" name="Text Box 15">
          <a:extLst>
            <a:ext uri="{FF2B5EF4-FFF2-40B4-BE49-F238E27FC236}">
              <a16:creationId xmlns:a16="http://schemas.microsoft.com/office/drawing/2014/main" id="{00000000-0008-0000-0100-000010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53" name="Text Box 16">
          <a:extLst>
            <a:ext uri="{FF2B5EF4-FFF2-40B4-BE49-F238E27FC236}">
              <a16:creationId xmlns:a16="http://schemas.microsoft.com/office/drawing/2014/main" id="{00000000-0008-0000-0100-000011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54" name="Text Box 17">
          <a:extLst>
            <a:ext uri="{FF2B5EF4-FFF2-40B4-BE49-F238E27FC236}">
              <a16:creationId xmlns:a16="http://schemas.microsoft.com/office/drawing/2014/main" id="{00000000-0008-0000-0100-000012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55" name="Text Box 18">
          <a:extLst>
            <a:ext uri="{FF2B5EF4-FFF2-40B4-BE49-F238E27FC236}">
              <a16:creationId xmlns:a16="http://schemas.microsoft.com/office/drawing/2014/main" id="{00000000-0008-0000-0100-000013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56" name="Text Box 19">
          <a:extLst>
            <a:ext uri="{FF2B5EF4-FFF2-40B4-BE49-F238E27FC236}">
              <a16:creationId xmlns:a16="http://schemas.microsoft.com/office/drawing/2014/main" id="{00000000-0008-0000-0100-000014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57" name="Text Box 20">
          <a:extLst>
            <a:ext uri="{FF2B5EF4-FFF2-40B4-BE49-F238E27FC236}">
              <a16:creationId xmlns:a16="http://schemas.microsoft.com/office/drawing/2014/main" id="{00000000-0008-0000-0100-000015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58" name="Text Box 21">
          <a:extLst>
            <a:ext uri="{FF2B5EF4-FFF2-40B4-BE49-F238E27FC236}">
              <a16:creationId xmlns:a16="http://schemas.microsoft.com/office/drawing/2014/main" id="{00000000-0008-0000-0100-000016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32388"/>
    <xdr:sp macro="" textlink="">
      <xdr:nvSpPr>
        <xdr:cNvPr id="1559" name="Text Box 22">
          <a:extLst>
            <a:ext uri="{FF2B5EF4-FFF2-40B4-BE49-F238E27FC236}">
              <a16:creationId xmlns:a16="http://schemas.microsoft.com/office/drawing/2014/main" id="{00000000-0008-0000-0100-000017060000}"/>
            </a:ext>
          </a:extLst>
        </xdr:cNvPr>
        <xdr:cNvSpPr txBox="1">
          <a:spLocks noChangeArrowheads="1"/>
        </xdr:cNvSpPr>
      </xdr:nvSpPr>
      <xdr:spPr bwMode="auto">
        <a:xfrm>
          <a:off x="3901109" y="328728457"/>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60" name="Text Box 7">
          <a:extLst>
            <a:ext uri="{FF2B5EF4-FFF2-40B4-BE49-F238E27FC236}">
              <a16:creationId xmlns:a16="http://schemas.microsoft.com/office/drawing/2014/main" id="{00000000-0008-0000-0100-000018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61" name="Text Box 8">
          <a:extLst>
            <a:ext uri="{FF2B5EF4-FFF2-40B4-BE49-F238E27FC236}">
              <a16:creationId xmlns:a16="http://schemas.microsoft.com/office/drawing/2014/main" id="{00000000-0008-0000-0100-000019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62" name="Text Box 9">
          <a:extLst>
            <a:ext uri="{FF2B5EF4-FFF2-40B4-BE49-F238E27FC236}">
              <a16:creationId xmlns:a16="http://schemas.microsoft.com/office/drawing/2014/main" id="{00000000-0008-0000-0100-00001A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63" name="Text Box 10">
          <a:extLst>
            <a:ext uri="{FF2B5EF4-FFF2-40B4-BE49-F238E27FC236}">
              <a16:creationId xmlns:a16="http://schemas.microsoft.com/office/drawing/2014/main" id="{00000000-0008-0000-0100-00001B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64" name="Text Box 11">
          <a:extLst>
            <a:ext uri="{FF2B5EF4-FFF2-40B4-BE49-F238E27FC236}">
              <a16:creationId xmlns:a16="http://schemas.microsoft.com/office/drawing/2014/main" id="{00000000-0008-0000-0100-00001C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65" name="Text Box 12">
          <a:extLst>
            <a:ext uri="{FF2B5EF4-FFF2-40B4-BE49-F238E27FC236}">
              <a16:creationId xmlns:a16="http://schemas.microsoft.com/office/drawing/2014/main" id="{00000000-0008-0000-0100-00001D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2151438"/>
    <xdr:sp macro="" textlink="">
      <xdr:nvSpPr>
        <xdr:cNvPr id="1566" name="Text Box 13">
          <a:extLst>
            <a:ext uri="{FF2B5EF4-FFF2-40B4-BE49-F238E27FC236}">
              <a16:creationId xmlns:a16="http://schemas.microsoft.com/office/drawing/2014/main" id="{00000000-0008-0000-0100-00001E060000}"/>
            </a:ext>
          </a:extLst>
        </xdr:cNvPr>
        <xdr:cNvSpPr txBox="1">
          <a:spLocks noChangeArrowheads="1"/>
        </xdr:cNvSpPr>
      </xdr:nvSpPr>
      <xdr:spPr bwMode="auto">
        <a:xfrm>
          <a:off x="3901109" y="328728457"/>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061194"/>
    <xdr:sp macro="" textlink="">
      <xdr:nvSpPr>
        <xdr:cNvPr id="1568" name="Text Box 5">
          <a:extLst>
            <a:ext uri="{FF2B5EF4-FFF2-40B4-BE49-F238E27FC236}">
              <a16:creationId xmlns:a16="http://schemas.microsoft.com/office/drawing/2014/main" id="{00000000-0008-0000-0100-000020060000}"/>
            </a:ext>
          </a:extLst>
        </xdr:cNvPr>
        <xdr:cNvSpPr txBox="1">
          <a:spLocks noChangeArrowheads="1"/>
        </xdr:cNvSpPr>
      </xdr:nvSpPr>
      <xdr:spPr bwMode="auto">
        <a:xfrm>
          <a:off x="3901109" y="3287284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061194"/>
    <xdr:sp macro="" textlink="">
      <xdr:nvSpPr>
        <xdr:cNvPr id="1569" name="Text Box 6">
          <a:extLst>
            <a:ext uri="{FF2B5EF4-FFF2-40B4-BE49-F238E27FC236}">
              <a16:creationId xmlns:a16="http://schemas.microsoft.com/office/drawing/2014/main" id="{00000000-0008-0000-0100-000021060000}"/>
            </a:ext>
          </a:extLst>
        </xdr:cNvPr>
        <xdr:cNvSpPr txBox="1">
          <a:spLocks noChangeArrowheads="1"/>
        </xdr:cNvSpPr>
      </xdr:nvSpPr>
      <xdr:spPr bwMode="auto">
        <a:xfrm>
          <a:off x="3901109" y="3287284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061194"/>
    <xdr:sp macro="" textlink="">
      <xdr:nvSpPr>
        <xdr:cNvPr id="1570" name="Text Box 7">
          <a:extLst>
            <a:ext uri="{FF2B5EF4-FFF2-40B4-BE49-F238E27FC236}">
              <a16:creationId xmlns:a16="http://schemas.microsoft.com/office/drawing/2014/main" id="{00000000-0008-0000-0100-000022060000}"/>
            </a:ext>
          </a:extLst>
        </xdr:cNvPr>
        <xdr:cNvSpPr txBox="1">
          <a:spLocks noChangeArrowheads="1"/>
        </xdr:cNvSpPr>
      </xdr:nvSpPr>
      <xdr:spPr bwMode="auto">
        <a:xfrm>
          <a:off x="3901109" y="3287284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061194"/>
    <xdr:sp macro="" textlink="">
      <xdr:nvSpPr>
        <xdr:cNvPr id="1571" name="Text Box 8">
          <a:extLst>
            <a:ext uri="{FF2B5EF4-FFF2-40B4-BE49-F238E27FC236}">
              <a16:creationId xmlns:a16="http://schemas.microsoft.com/office/drawing/2014/main" id="{00000000-0008-0000-0100-000023060000}"/>
            </a:ext>
          </a:extLst>
        </xdr:cNvPr>
        <xdr:cNvSpPr txBox="1">
          <a:spLocks noChangeArrowheads="1"/>
        </xdr:cNvSpPr>
      </xdr:nvSpPr>
      <xdr:spPr bwMode="auto">
        <a:xfrm>
          <a:off x="3901109" y="3287284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061194"/>
    <xdr:sp macro="" textlink="">
      <xdr:nvSpPr>
        <xdr:cNvPr id="1572" name="Text Box 9">
          <a:extLst>
            <a:ext uri="{FF2B5EF4-FFF2-40B4-BE49-F238E27FC236}">
              <a16:creationId xmlns:a16="http://schemas.microsoft.com/office/drawing/2014/main" id="{00000000-0008-0000-0100-000024060000}"/>
            </a:ext>
          </a:extLst>
        </xdr:cNvPr>
        <xdr:cNvSpPr txBox="1">
          <a:spLocks noChangeArrowheads="1"/>
        </xdr:cNvSpPr>
      </xdr:nvSpPr>
      <xdr:spPr bwMode="auto">
        <a:xfrm>
          <a:off x="3901109" y="3287284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061194"/>
    <xdr:sp macro="" textlink="">
      <xdr:nvSpPr>
        <xdr:cNvPr id="1573" name="Text Box 10">
          <a:extLst>
            <a:ext uri="{FF2B5EF4-FFF2-40B4-BE49-F238E27FC236}">
              <a16:creationId xmlns:a16="http://schemas.microsoft.com/office/drawing/2014/main" id="{00000000-0008-0000-0100-000025060000}"/>
            </a:ext>
          </a:extLst>
        </xdr:cNvPr>
        <xdr:cNvSpPr txBox="1">
          <a:spLocks noChangeArrowheads="1"/>
        </xdr:cNvSpPr>
      </xdr:nvSpPr>
      <xdr:spPr bwMode="auto">
        <a:xfrm>
          <a:off x="3901109" y="3287284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061194"/>
    <xdr:sp macro="" textlink="">
      <xdr:nvSpPr>
        <xdr:cNvPr id="1574" name="Text Box 11">
          <a:extLst>
            <a:ext uri="{FF2B5EF4-FFF2-40B4-BE49-F238E27FC236}">
              <a16:creationId xmlns:a16="http://schemas.microsoft.com/office/drawing/2014/main" id="{00000000-0008-0000-0100-000026060000}"/>
            </a:ext>
          </a:extLst>
        </xdr:cNvPr>
        <xdr:cNvSpPr txBox="1">
          <a:spLocks noChangeArrowheads="1"/>
        </xdr:cNvSpPr>
      </xdr:nvSpPr>
      <xdr:spPr bwMode="auto">
        <a:xfrm>
          <a:off x="3901109" y="3287284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117324" cy="1061194"/>
    <xdr:sp macro="" textlink="">
      <xdr:nvSpPr>
        <xdr:cNvPr id="1575" name="Text Box 12">
          <a:extLst>
            <a:ext uri="{FF2B5EF4-FFF2-40B4-BE49-F238E27FC236}">
              <a16:creationId xmlns:a16="http://schemas.microsoft.com/office/drawing/2014/main" id="{00000000-0008-0000-0100-000027060000}"/>
            </a:ext>
          </a:extLst>
        </xdr:cNvPr>
        <xdr:cNvSpPr txBox="1">
          <a:spLocks noChangeArrowheads="1"/>
        </xdr:cNvSpPr>
      </xdr:nvSpPr>
      <xdr:spPr bwMode="auto">
        <a:xfrm>
          <a:off x="3901109" y="32872845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04775" cy="0"/>
    <xdr:sp macro="" textlink="">
      <xdr:nvSpPr>
        <xdr:cNvPr id="1576" name="Text Box 1">
          <a:extLst>
            <a:ext uri="{FF2B5EF4-FFF2-40B4-BE49-F238E27FC236}">
              <a16:creationId xmlns:a16="http://schemas.microsoft.com/office/drawing/2014/main" id="{00000000-0008-0000-0100-000028060000}"/>
            </a:ext>
          </a:extLst>
        </xdr:cNvPr>
        <xdr:cNvSpPr txBox="1">
          <a:spLocks noChangeArrowheads="1"/>
        </xdr:cNvSpPr>
      </xdr:nvSpPr>
      <xdr:spPr bwMode="auto">
        <a:xfrm>
          <a:off x="4580283" y="32872845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04775" cy="0"/>
    <xdr:sp macro="" textlink="">
      <xdr:nvSpPr>
        <xdr:cNvPr id="1577" name="Text Box 1">
          <a:extLst>
            <a:ext uri="{FF2B5EF4-FFF2-40B4-BE49-F238E27FC236}">
              <a16:creationId xmlns:a16="http://schemas.microsoft.com/office/drawing/2014/main" id="{00000000-0008-0000-0100-000029060000}"/>
            </a:ext>
          </a:extLst>
        </xdr:cNvPr>
        <xdr:cNvSpPr txBox="1">
          <a:spLocks noChangeArrowheads="1"/>
        </xdr:cNvSpPr>
      </xdr:nvSpPr>
      <xdr:spPr bwMode="auto">
        <a:xfrm>
          <a:off x="4580283" y="32872845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04775" cy="0"/>
    <xdr:sp macro="" textlink="">
      <xdr:nvSpPr>
        <xdr:cNvPr id="1578" name="Text Box 1">
          <a:extLst>
            <a:ext uri="{FF2B5EF4-FFF2-40B4-BE49-F238E27FC236}">
              <a16:creationId xmlns:a16="http://schemas.microsoft.com/office/drawing/2014/main" id="{00000000-0008-0000-0100-00002A060000}"/>
            </a:ext>
          </a:extLst>
        </xdr:cNvPr>
        <xdr:cNvSpPr txBox="1">
          <a:spLocks noChangeArrowheads="1"/>
        </xdr:cNvSpPr>
      </xdr:nvSpPr>
      <xdr:spPr bwMode="auto">
        <a:xfrm>
          <a:off x="4580283" y="32872845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686</xdr:row>
      <xdr:rowOff>0</xdr:rowOff>
    </xdr:from>
    <xdr:ext cx="104775" cy="0"/>
    <xdr:sp macro="" textlink="">
      <xdr:nvSpPr>
        <xdr:cNvPr id="1579" name="Text Box 1">
          <a:extLst>
            <a:ext uri="{FF2B5EF4-FFF2-40B4-BE49-F238E27FC236}">
              <a16:creationId xmlns:a16="http://schemas.microsoft.com/office/drawing/2014/main" id="{00000000-0008-0000-0100-00002B060000}"/>
            </a:ext>
          </a:extLst>
        </xdr:cNvPr>
        <xdr:cNvSpPr txBox="1">
          <a:spLocks noChangeArrowheads="1"/>
        </xdr:cNvSpPr>
      </xdr:nvSpPr>
      <xdr:spPr bwMode="auto">
        <a:xfrm>
          <a:off x="4580283" y="32872845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256668"/>
    <xdr:sp macro="" textlink="">
      <xdr:nvSpPr>
        <xdr:cNvPr id="1580" name="Text Box 5">
          <a:extLst>
            <a:ext uri="{FF2B5EF4-FFF2-40B4-BE49-F238E27FC236}">
              <a16:creationId xmlns:a16="http://schemas.microsoft.com/office/drawing/2014/main" id="{00000000-0008-0000-0100-00002C060000}"/>
            </a:ext>
          </a:extLst>
        </xdr:cNvPr>
        <xdr:cNvSpPr txBox="1">
          <a:spLocks noChangeArrowheads="1"/>
        </xdr:cNvSpPr>
      </xdr:nvSpPr>
      <xdr:spPr bwMode="auto">
        <a:xfrm>
          <a:off x="3901109" y="3394627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168827"/>
    <xdr:sp macro="" textlink="">
      <xdr:nvSpPr>
        <xdr:cNvPr id="1581" name="Text Box 6">
          <a:extLst>
            <a:ext uri="{FF2B5EF4-FFF2-40B4-BE49-F238E27FC236}">
              <a16:creationId xmlns:a16="http://schemas.microsoft.com/office/drawing/2014/main" id="{00000000-0008-0000-0100-00002D060000}"/>
            </a:ext>
          </a:extLst>
        </xdr:cNvPr>
        <xdr:cNvSpPr txBox="1">
          <a:spLocks noChangeArrowheads="1"/>
        </xdr:cNvSpPr>
      </xdr:nvSpPr>
      <xdr:spPr bwMode="auto">
        <a:xfrm>
          <a:off x="3901109" y="33946271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256668"/>
    <xdr:sp macro="" textlink="">
      <xdr:nvSpPr>
        <xdr:cNvPr id="1582" name="Text Box 16">
          <a:extLst>
            <a:ext uri="{FF2B5EF4-FFF2-40B4-BE49-F238E27FC236}">
              <a16:creationId xmlns:a16="http://schemas.microsoft.com/office/drawing/2014/main" id="{00000000-0008-0000-0100-00002E060000}"/>
            </a:ext>
          </a:extLst>
        </xdr:cNvPr>
        <xdr:cNvSpPr txBox="1">
          <a:spLocks noChangeArrowheads="1"/>
        </xdr:cNvSpPr>
      </xdr:nvSpPr>
      <xdr:spPr bwMode="auto">
        <a:xfrm>
          <a:off x="3901109" y="3394627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256668"/>
    <xdr:sp macro="" textlink="">
      <xdr:nvSpPr>
        <xdr:cNvPr id="1583" name="Text Box 17">
          <a:extLst>
            <a:ext uri="{FF2B5EF4-FFF2-40B4-BE49-F238E27FC236}">
              <a16:creationId xmlns:a16="http://schemas.microsoft.com/office/drawing/2014/main" id="{00000000-0008-0000-0100-00002F060000}"/>
            </a:ext>
          </a:extLst>
        </xdr:cNvPr>
        <xdr:cNvSpPr txBox="1">
          <a:spLocks noChangeArrowheads="1"/>
        </xdr:cNvSpPr>
      </xdr:nvSpPr>
      <xdr:spPr bwMode="auto">
        <a:xfrm>
          <a:off x="3901109" y="3394627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256668"/>
    <xdr:sp macro="" textlink="">
      <xdr:nvSpPr>
        <xdr:cNvPr id="1584" name="Text Box 18">
          <a:extLst>
            <a:ext uri="{FF2B5EF4-FFF2-40B4-BE49-F238E27FC236}">
              <a16:creationId xmlns:a16="http://schemas.microsoft.com/office/drawing/2014/main" id="{00000000-0008-0000-0100-000030060000}"/>
            </a:ext>
          </a:extLst>
        </xdr:cNvPr>
        <xdr:cNvSpPr txBox="1">
          <a:spLocks noChangeArrowheads="1"/>
        </xdr:cNvSpPr>
      </xdr:nvSpPr>
      <xdr:spPr bwMode="auto">
        <a:xfrm>
          <a:off x="3901109" y="3394627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256668"/>
    <xdr:sp macro="" textlink="">
      <xdr:nvSpPr>
        <xdr:cNvPr id="1585" name="Text Box 19">
          <a:extLst>
            <a:ext uri="{FF2B5EF4-FFF2-40B4-BE49-F238E27FC236}">
              <a16:creationId xmlns:a16="http://schemas.microsoft.com/office/drawing/2014/main" id="{00000000-0008-0000-0100-000031060000}"/>
            </a:ext>
          </a:extLst>
        </xdr:cNvPr>
        <xdr:cNvSpPr txBox="1">
          <a:spLocks noChangeArrowheads="1"/>
        </xdr:cNvSpPr>
      </xdr:nvSpPr>
      <xdr:spPr bwMode="auto">
        <a:xfrm>
          <a:off x="3901109" y="3394627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256668"/>
    <xdr:sp macro="" textlink="">
      <xdr:nvSpPr>
        <xdr:cNvPr id="1586" name="Text Box 20">
          <a:extLst>
            <a:ext uri="{FF2B5EF4-FFF2-40B4-BE49-F238E27FC236}">
              <a16:creationId xmlns:a16="http://schemas.microsoft.com/office/drawing/2014/main" id="{00000000-0008-0000-0100-000032060000}"/>
            </a:ext>
          </a:extLst>
        </xdr:cNvPr>
        <xdr:cNvSpPr txBox="1">
          <a:spLocks noChangeArrowheads="1"/>
        </xdr:cNvSpPr>
      </xdr:nvSpPr>
      <xdr:spPr bwMode="auto">
        <a:xfrm>
          <a:off x="3901109" y="3394627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256668"/>
    <xdr:sp macro="" textlink="">
      <xdr:nvSpPr>
        <xdr:cNvPr id="1587" name="Text Box 21">
          <a:extLst>
            <a:ext uri="{FF2B5EF4-FFF2-40B4-BE49-F238E27FC236}">
              <a16:creationId xmlns:a16="http://schemas.microsoft.com/office/drawing/2014/main" id="{00000000-0008-0000-0100-000033060000}"/>
            </a:ext>
          </a:extLst>
        </xdr:cNvPr>
        <xdr:cNvSpPr txBox="1">
          <a:spLocks noChangeArrowheads="1"/>
        </xdr:cNvSpPr>
      </xdr:nvSpPr>
      <xdr:spPr bwMode="auto">
        <a:xfrm>
          <a:off x="3901109" y="33946271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117324" cy="168827"/>
    <xdr:sp macro="" textlink="">
      <xdr:nvSpPr>
        <xdr:cNvPr id="1588" name="Text Box 22">
          <a:extLst>
            <a:ext uri="{FF2B5EF4-FFF2-40B4-BE49-F238E27FC236}">
              <a16:creationId xmlns:a16="http://schemas.microsoft.com/office/drawing/2014/main" id="{00000000-0008-0000-0100-000034060000}"/>
            </a:ext>
          </a:extLst>
        </xdr:cNvPr>
        <xdr:cNvSpPr txBox="1">
          <a:spLocks noChangeArrowheads="1"/>
        </xdr:cNvSpPr>
      </xdr:nvSpPr>
      <xdr:spPr bwMode="auto">
        <a:xfrm>
          <a:off x="3901109" y="33946271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04775" cy="0"/>
    <xdr:sp macro="" textlink="">
      <xdr:nvSpPr>
        <xdr:cNvPr id="1589" name="Text Box 1">
          <a:extLst>
            <a:ext uri="{FF2B5EF4-FFF2-40B4-BE49-F238E27FC236}">
              <a16:creationId xmlns:a16="http://schemas.microsoft.com/office/drawing/2014/main" id="{00000000-0008-0000-0100-000035060000}"/>
            </a:ext>
          </a:extLst>
        </xdr:cNvPr>
        <xdr:cNvSpPr txBox="1">
          <a:spLocks noChangeArrowheads="1"/>
        </xdr:cNvSpPr>
      </xdr:nvSpPr>
      <xdr:spPr bwMode="auto">
        <a:xfrm>
          <a:off x="4580283" y="33946271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04775" cy="0"/>
    <xdr:sp macro="" textlink="">
      <xdr:nvSpPr>
        <xdr:cNvPr id="1590" name="Text Box 1">
          <a:extLst>
            <a:ext uri="{FF2B5EF4-FFF2-40B4-BE49-F238E27FC236}">
              <a16:creationId xmlns:a16="http://schemas.microsoft.com/office/drawing/2014/main" id="{00000000-0008-0000-0100-000036060000}"/>
            </a:ext>
          </a:extLst>
        </xdr:cNvPr>
        <xdr:cNvSpPr txBox="1">
          <a:spLocks noChangeArrowheads="1"/>
        </xdr:cNvSpPr>
      </xdr:nvSpPr>
      <xdr:spPr bwMode="auto">
        <a:xfrm>
          <a:off x="4580283" y="33946271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04775" cy="0"/>
    <xdr:sp macro="" textlink="">
      <xdr:nvSpPr>
        <xdr:cNvPr id="1591" name="Text Box 1">
          <a:extLst>
            <a:ext uri="{FF2B5EF4-FFF2-40B4-BE49-F238E27FC236}">
              <a16:creationId xmlns:a16="http://schemas.microsoft.com/office/drawing/2014/main" id="{00000000-0008-0000-0100-000037060000}"/>
            </a:ext>
          </a:extLst>
        </xdr:cNvPr>
        <xdr:cNvSpPr txBox="1">
          <a:spLocks noChangeArrowheads="1"/>
        </xdr:cNvSpPr>
      </xdr:nvSpPr>
      <xdr:spPr bwMode="auto">
        <a:xfrm>
          <a:off x="4580283" y="33946271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695</xdr:row>
      <xdr:rowOff>0</xdr:rowOff>
    </xdr:from>
    <xdr:ext cx="104775" cy="0"/>
    <xdr:sp macro="" textlink="">
      <xdr:nvSpPr>
        <xdr:cNvPr id="1592" name="Text Box 1">
          <a:extLst>
            <a:ext uri="{FF2B5EF4-FFF2-40B4-BE49-F238E27FC236}">
              <a16:creationId xmlns:a16="http://schemas.microsoft.com/office/drawing/2014/main" id="{00000000-0008-0000-0100-000038060000}"/>
            </a:ext>
          </a:extLst>
        </xdr:cNvPr>
        <xdr:cNvSpPr txBox="1">
          <a:spLocks noChangeArrowheads="1"/>
        </xdr:cNvSpPr>
      </xdr:nvSpPr>
      <xdr:spPr bwMode="auto">
        <a:xfrm>
          <a:off x="4580283" y="33946271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593" name="Text Box 5">
          <a:extLst>
            <a:ext uri="{FF2B5EF4-FFF2-40B4-BE49-F238E27FC236}">
              <a16:creationId xmlns:a16="http://schemas.microsoft.com/office/drawing/2014/main" id="{00000000-0008-0000-0100-000039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594" name="Text Box 6">
          <a:extLst>
            <a:ext uri="{FF2B5EF4-FFF2-40B4-BE49-F238E27FC236}">
              <a16:creationId xmlns:a16="http://schemas.microsoft.com/office/drawing/2014/main" id="{00000000-0008-0000-0100-00003A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595" name="Text Box 7">
          <a:extLst>
            <a:ext uri="{FF2B5EF4-FFF2-40B4-BE49-F238E27FC236}">
              <a16:creationId xmlns:a16="http://schemas.microsoft.com/office/drawing/2014/main" id="{00000000-0008-0000-0100-00003B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596" name="Text Box 8">
          <a:extLst>
            <a:ext uri="{FF2B5EF4-FFF2-40B4-BE49-F238E27FC236}">
              <a16:creationId xmlns:a16="http://schemas.microsoft.com/office/drawing/2014/main" id="{00000000-0008-0000-0100-00003C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597" name="Text Box 9">
          <a:extLst>
            <a:ext uri="{FF2B5EF4-FFF2-40B4-BE49-F238E27FC236}">
              <a16:creationId xmlns:a16="http://schemas.microsoft.com/office/drawing/2014/main" id="{00000000-0008-0000-0100-00003D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598" name="Text Box 10">
          <a:extLst>
            <a:ext uri="{FF2B5EF4-FFF2-40B4-BE49-F238E27FC236}">
              <a16:creationId xmlns:a16="http://schemas.microsoft.com/office/drawing/2014/main" id="{00000000-0008-0000-0100-00003E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599" name="Text Box 11">
          <a:extLst>
            <a:ext uri="{FF2B5EF4-FFF2-40B4-BE49-F238E27FC236}">
              <a16:creationId xmlns:a16="http://schemas.microsoft.com/office/drawing/2014/main" id="{00000000-0008-0000-0100-00003F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0" name="Text Box 12">
          <a:extLst>
            <a:ext uri="{FF2B5EF4-FFF2-40B4-BE49-F238E27FC236}">
              <a16:creationId xmlns:a16="http://schemas.microsoft.com/office/drawing/2014/main" id="{00000000-0008-0000-0100-000040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1" name="Text Box 13">
          <a:extLst>
            <a:ext uri="{FF2B5EF4-FFF2-40B4-BE49-F238E27FC236}">
              <a16:creationId xmlns:a16="http://schemas.microsoft.com/office/drawing/2014/main" id="{00000000-0008-0000-0100-000041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241149" cy="339773"/>
    <xdr:sp macro="" textlink="">
      <xdr:nvSpPr>
        <xdr:cNvPr id="1602" name="Text Box 14">
          <a:extLst>
            <a:ext uri="{FF2B5EF4-FFF2-40B4-BE49-F238E27FC236}">
              <a16:creationId xmlns:a16="http://schemas.microsoft.com/office/drawing/2014/main" id="{00000000-0008-0000-0100-000042060000}"/>
            </a:ext>
          </a:extLst>
        </xdr:cNvPr>
        <xdr:cNvSpPr txBox="1">
          <a:spLocks noChangeArrowheads="1"/>
        </xdr:cNvSpPr>
      </xdr:nvSpPr>
      <xdr:spPr bwMode="auto">
        <a:xfrm>
          <a:off x="3901109" y="35019697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3" name="Text Box 15">
          <a:extLst>
            <a:ext uri="{FF2B5EF4-FFF2-40B4-BE49-F238E27FC236}">
              <a16:creationId xmlns:a16="http://schemas.microsoft.com/office/drawing/2014/main" id="{00000000-0008-0000-0100-000043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4" name="Text Box 16">
          <a:extLst>
            <a:ext uri="{FF2B5EF4-FFF2-40B4-BE49-F238E27FC236}">
              <a16:creationId xmlns:a16="http://schemas.microsoft.com/office/drawing/2014/main" id="{00000000-0008-0000-0100-000044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5" name="Text Box 17">
          <a:extLst>
            <a:ext uri="{FF2B5EF4-FFF2-40B4-BE49-F238E27FC236}">
              <a16:creationId xmlns:a16="http://schemas.microsoft.com/office/drawing/2014/main" id="{00000000-0008-0000-0100-000045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6" name="Text Box 18">
          <a:extLst>
            <a:ext uri="{FF2B5EF4-FFF2-40B4-BE49-F238E27FC236}">
              <a16:creationId xmlns:a16="http://schemas.microsoft.com/office/drawing/2014/main" id="{00000000-0008-0000-0100-000046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7" name="Text Box 19">
          <a:extLst>
            <a:ext uri="{FF2B5EF4-FFF2-40B4-BE49-F238E27FC236}">
              <a16:creationId xmlns:a16="http://schemas.microsoft.com/office/drawing/2014/main" id="{00000000-0008-0000-0100-000047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8" name="Text Box 20">
          <a:extLst>
            <a:ext uri="{FF2B5EF4-FFF2-40B4-BE49-F238E27FC236}">
              <a16:creationId xmlns:a16="http://schemas.microsoft.com/office/drawing/2014/main" id="{00000000-0008-0000-0100-000048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09" name="Text Box 21">
          <a:extLst>
            <a:ext uri="{FF2B5EF4-FFF2-40B4-BE49-F238E27FC236}">
              <a16:creationId xmlns:a16="http://schemas.microsoft.com/office/drawing/2014/main" id="{00000000-0008-0000-0100-000049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0" name="Text Box 22">
          <a:extLst>
            <a:ext uri="{FF2B5EF4-FFF2-40B4-BE49-F238E27FC236}">
              <a16:creationId xmlns:a16="http://schemas.microsoft.com/office/drawing/2014/main" id="{00000000-0008-0000-0100-00004A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1" name="Text Box 7">
          <a:extLst>
            <a:ext uri="{FF2B5EF4-FFF2-40B4-BE49-F238E27FC236}">
              <a16:creationId xmlns:a16="http://schemas.microsoft.com/office/drawing/2014/main" id="{00000000-0008-0000-0100-00004B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2" name="Text Box 8">
          <a:extLst>
            <a:ext uri="{FF2B5EF4-FFF2-40B4-BE49-F238E27FC236}">
              <a16:creationId xmlns:a16="http://schemas.microsoft.com/office/drawing/2014/main" id="{00000000-0008-0000-0100-00004C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3" name="Text Box 9">
          <a:extLst>
            <a:ext uri="{FF2B5EF4-FFF2-40B4-BE49-F238E27FC236}">
              <a16:creationId xmlns:a16="http://schemas.microsoft.com/office/drawing/2014/main" id="{00000000-0008-0000-0100-00004D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4" name="Text Box 10">
          <a:extLst>
            <a:ext uri="{FF2B5EF4-FFF2-40B4-BE49-F238E27FC236}">
              <a16:creationId xmlns:a16="http://schemas.microsoft.com/office/drawing/2014/main" id="{00000000-0008-0000-0100-00004E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5" name="Text Box 11">
          <a:extLst>
            <a:ext uri="{FF2B5EF4-FFF2-40B4-BE49-F238E27FC236}">
              <a16:creationId xmlns:a16="http://schemas.microsoft.com/office/drawing/2014/main" id="{00000000-0008-0000-0100-00004F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6" name="Text Box 12">
          <a:extLst>
            <a:ext uri="{FF2B5EF4-FFF2-40B4-BE49-F238E27FC236}">
              <a16:creationId xmlns:a16="http://schemas.microsoft.com/office/drawing/2014/main" id="{00000000-0008-0000-0100-000050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7" name="Text Box 13">
          <a:extLst>
            <a:ext uri="{FF2B5EF4-FFF2-40B4-BE49-F238E27FC236}">
              <a16:creationId xmlns:a16="http://schemas.microsoft.com/office/drawing/2014/main" id="{00000000-0008-0000-0100-000051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241149" cy="339773"/>
    <xdr:sp macro="" textlink="">
      <xdr:nvSpPr>
        <xdr:cNvPr id="1618" name="Text Box 14">
          <a:extLst>
            <a:ext uri="{FF2B5EF4-FFF2-40B4-BE49-F238E27FC236}">
              <a16:creationId xmlns:a16="http://schemas.microsoft.com/office/drawing/2014/main" id="{00000000-0008-0000-0100-000052060000}"/>
            </a:ext>
          </a:extLst>
        </xdr:cNvPr>
        <xdr:cNvSpPr txBox="1">
          <a:spLocks noChangeArrowheads="1"/>
        </xdr:cNvSpPr>
      </xdr:nvSpPr>
      <xdr:spPr bwMode="auto">
        <a:xfrm>
          <a:off x="3901109" y="35019697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3"/>
    <xdr:sp macro="" textlink="">
      <xdr:nvSpPr>
        <xdr:cNvPr id="1619" name="Text Box 15">
          <a:extLst>
            <a:ext uri="{FF2B5EF4-FFF2-40B4-BE49-F238E27FC236}">
              <a16:creationId xmlns:a16="http://schemas.microsoft.com/office/drawing/2014/main" id="{00000000-0008-0000-0100-000053060000}"/>
            </a:ext>
          </a:extLst>
        </xdr:cNvPr>
        <xdr:cNvSpPr txBox="1">
          <a:spLocks noChangeArrowheads="1"/>
        </xdr:cNvSpPr>
      </xdr:nvSpPr>
      <xdr:spPr bwMode="auto">
        <a:xfrm>
          <a:off x="3901109" y="350196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56668"/>
    <xdr:sp macro="" textlink="">
      <xdr:nvSpPr>
        <xdr:cNvPr id="1620" name="Text Box 5">
          <a:extLst>
            <a:ext uri="{FF2B5EF4-FFF2-40B4-BE49-F238E27FC236}">
              <a16:creationId xmlns:a16="http://schemas.microsoft.com/office/drawing/2014/main" id="{00000000-0008-0000-0100-000054060000}"/>
            </a:ext>
          </a:extLst>
        </xdr:cNvPr>
        <xdr:cNvSpPr txBox="1">
          <a:spLocks noChangeArrowheads="1"/>
        </xdr:cNvSpPr>
      </xdr:nvSpPr>
      <xdr:spPr bwMode="auto">
        <a:xfrm>
          <a:off x="3901109" y="350196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68827"/>
    <xdr:sp macro="" textlink="">
      <xdr:nvSpPr>
        <xdr:cNvPr id="1621" name="Text Box 6">
          <a:extLst>
            <a:ext uri="{FF2B5EF4-FFF2-40B4-BE49-F238E27FC236}">
              <a16:creationId xmlns:a16="http://schemas.microsoft.com/office/drawing/2014/main" id="{00000000-0008-0000-0100-000055060000}"/>
            </a:ext>
          </a:extLst>
        </xdr:cNvPr>
        <xdr:cNvSpPr txBox="1">
          <a:spLocks noChangeArrowheads="1"/>
        </xdr:cNvSpPr>
      </xdr:nvSpPr>
      <xdr:spPr bwMode="auto">
        <a:xfrm>
          <a:off x="3901109" y="35019697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22" name="Text Box 7">
          <a:extLst>
            <a:ext uri="{FF2B5EF4-FFF2-40B4-BE49-F238E27FC236}">
              <a16:creationId xmlns:a16="http://schemas.microsoft.com/office/drawing/2014/main" id="{00000000-0008-0000-0100-000056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23" name="Text Box 8">
          <a:extLst>
            <a:ext uri="{FF2B5EF4-FFF2-40B4-BE49-F238E27FC236}">
              <a16:creationId xmlns:a16="http://schemas.microsoft.com/office/drawing/2014/main" id="{00000000-0008-0000-0100-000057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24" name="Text Box 9">
          <a:extLst>
            <a:ext uri="{FF2B5EF4-FFF2-40B4-BE49-F238E27FC236}">
              <a16:creationId xmlns:a16="http://schemas.microsoft.com/office/drawing/2014/main" id="{00000000-0008-0000-0100-000058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25" name="Text Box 10">
          <a:extLst>
            <a:ext uri="{FF2B5EF4-FFF2-40B4-BE49-F238E27FC236}">
              <a16:creationId xmlns:a16="http://schemas.microsoft.com/office/drawing/2014/main" id="{00000000-0008-0000-0100-000059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26" name="Text Box 11">
          <a:extLst>
            <a:ext uri="{FF2B5EF4-FFF2-40B4-BE49-F238E27FC236}">
              <a16:creationId xmlns:a16="http://schemas.microsoft.com/office/drawing/2014/main" id="{00000000-0008-0000-0100-00005A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27" name="Text Box 12">
          <a:extLst>
            <a:ext uri="{FF2B5EF4-FFF2-40B4-BE49-F238E27FC236}">
              <a16:creationId xmlns:a16="http://schemas.microsoft.com/office/drawing/2014/main" id="{00000000-0008-0000-0100-00005B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28" name="Text Box 13">
          <a:extLst>
            <a:ext uri="{FF2B5EF4-FFF2-40B4-BE49-F238E27FC236}">
              <a16:creationId xmlns:a16="http://schemas.microsoft.com/office/drawing/2014/main" id="{00000000-0008-0000-0100-00005C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241149" cy="339770"/>
    <xdr:sp macro="" textlink="">
      <xdr:nvSpPr>
        <xdr:cNvPr id="1629" name="Text Box 14">
          <a:extLst>
            <a:ext uri="{FF2B5EF4-FFF2-40B4-BE49-F238E27FC236}">
              <a16:creationId xmlns:a16="http://schemas.microsoft.com/office/drawing/2014/main" id="{00000000-0008-0000-0100-00005D060000}"/>
            </a:ext>
          </a:extLst>
        </xdr:cNvPr>
        <xdr:cNvSpPr txBox="1">
          <a:spLocks noChangeArrowheads="1"/>
        </xdr:cNvSpPr>
      </xdr:nvSpPr>
      <xdr:spPr bwMode="auto">
        <a:xfrm>
          <a:off x="3901109" y="35019697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30" name="Text Box 15">
          <a:extLst>
            <a:ext uri="{FF2B5EF4-FFF2-40B4-BE49-F238E27FC236}">
              <a16:creationId xmlns:a16="http://schemas.microsoft.com/office/drawing/2014/main" id="{00000000-0008-0000-0100-00005E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56668"/>
    <xdr:sp macro="" textlink="">
      <xdr:nvSpPr>
        <xdr:cNvPr id="1631" name="Text Box 16">
          <a:extLst>
            <a:ext uri="{FF2B5EF4-FFF2-40B4-BE49-F238E27FC236}">
              <a16:creationId xmlns:a16="http://schemas.microsoft.com/office/drawing/2014/main" id="{00000000-0008-0000-0100-00005F060000}"/>
            </a:ext>
          </a:extLst>
        </xdr:cNvPr>
        <xdr:cNvSpPr txBox="1">
          <a:spLocks noChangeArrowheads="1"/>
        </xdr:cNvSpPr>
      </xdr:nvSpPr>
      <xdr:spPr bwMode="auto">
        <a:xfrm>
          <a:off x="3901109" y="350196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56668"/>
    <xdr:sp macro="" textlink="">
      <xdr:nvSpPr>
        <xdr:cNvPr id="1632" name="Text Box 17">
          <a:extLst>
            <a:ext uri="{FF2B5EF4-FFF2-40B4-BE49-F238E27FC236}">
              <a16:creationId xmlns:a16="http://schemas.microsoft.com/office/drawing/2014/main" id="{00000000-0008-0000-0100-000060060000}"/>
            </a:ext>
          </a:extLst>
        </xdr:cNvPr>
        <xdr:cNvSpPr txBox="1">
          <a:spLocks noChangeArrowheads="1"/>
        </xdr:cNvSpPr>
      </xdr:nvSpPr>
      <xdr:spPr bwMode="auto">
        <a:xfrm>
          <a:off x="3901109" y="350196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56668"/>
    <xdr:sp macro="" textlink="">
      <xdr:nvSpPr>
        <xdr:cNvPr id="1633" name="Text Box 18">
          <a:extLst>
            <a:ext uri="{FF2B5EF4-FFF2-40B4-BE49-F238E27FC236}">
              <a16:creationId xmlns:a16="http://schemas.microsoft.com/office/drawing/2014/main" id="{00000000-0008-0000-0100-000061060000}"/>
            </a:ext>
          </a:extLst>
        </xdr:cNvPr>
        <xdr:cNvSpPr txBox="1">
          <a:spLocks noChangeArrowheads="1"/>
        </xdr:cNvSpPr>
      </xdr:nvSpPr>
      <xdr:spPr bwMode="auto">
        <a:xfrm>
          <a:off x="3901109" y="350196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56668"/>
    <xdr:sp macro="" textlink="">
      <xdr:nvSpPr>
        <xdr:cNvPr id="1634" name="Text Box 19">
          <a:extLst>
            <a:ext uri="{FF2B5EF4-FFF2-40B4-BE49-F238E27FC236}">
              <a16:creationId xmlns:a16="http://schemas.microsoft.com/office/drawing/2014/main" id="{00000000-0008-0000-0100-000062060000}"/>
            </a:ext>
          </a:extLst>
        </xdr:cNvPr>
        <xdr:cNvSpPr txBox="1">
          <a:spLocks noChangeArrowheads="1"/>
        </xdr:cNvSpPr>
      </xdr:nvSpPr>
      <xdr:spPr bwMode="auto">
        <a:xfrm>
          <a:off x="3901109" y="350196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56668"/>
    <xdr:sp macro="" textlink="">
      <xdr:nvSpPr>
        <xdr:cNvPr id="1635" name="Text Box 20">
          <a:extLst>
            <a:ext uri="{FF2B5EF4-FFF2-40B4-BE49-F238E27FC236}">
              <a16:creationId xmlns:a16="http://schemas.microsoft.com/office/drawing/2014/main" id="{00000000-0008-0000-0100-000063060000}"/>
            </a:ext>
          </a:extLst>
        </xdr:cNvPr>
        <xdr:cNvSpPr txBox="1">
          <a:spLocks noChangeArrowheads="1"/>
        </xdr:cNvSpPr>
      </xdr:nvSpPr>
      <xdr:spPr bwMode="auto">
        <a:xfrm>
          <a:off x="3901109" y="350196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56668"/>
    <xdr:sp macro="" textlink="">
      <xdr:nvSpPr>
        <xdr:cNvPr id="1636" name="Text Box 21">
          <a:extLst>
            <a:ext uri="{FF2B5EF4-FFF2-40B4-BE49-F238E27FC236}">
              <a16:creationId xmlns:a16="http://schemas.microsoft.com/office/drawing/2014/main" id="{00000000-0008-0000-0100-000064060000}"/>
            </a:ext>
          </a:extLst>
        </xdr:cNvPr>
        <xdr:cNvSpPr txBox="1">
          <a:spLocks noChangeArrowheads="1"/>
        </xdr:cNvSpPr>
      </xdr:nvSpPr>
      <xdr:spPr bwMode="auto">
        <a:xfrm>
          <a:off x="3901109" y="350196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68827"/>
    <xdr:sp macro="" textlink="">
      <xdr:nvSpPr>
        <xdr:cNvPr id="1637" name="Text Box 22">
          <a:extLst>
            <a:ext uri="{FF2B5EF4-FFF2-40B4-BE49-F238E27FC236}">
              <a16:creationId xmlns:a16="http://schemas.microsoft.com/office/drawing/2014/main" id="{00000000-0008-0000-0100-000065060000}"/>
            </a:ext>
          </a:extLst>
        </xdr:cNvPr>
        <xdr:cNvSpPr txBox="1">
          <a:spLocks noChangeArrowheads="1"/>
        </xdr:cNvSpPr>
      </xdr:nvSpPr>
      <xdr:spPr bwMode="auto">
        <a:xfrm>
          <a:off x="3901109" y="35019697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38" name="Text Box 7">
          <a:extLst>
            <a:ext uri="{FF2B5EF4-FFF2-40B4-BE49-F238E27FC236}">
              <a16:creationId xmlns:a16="http://schemas.microsoft.com/office/drawing/2014/main" id="{00000000-0008-0000-0100-000066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39" name="Text Box 8">
          <a:extLst>
            <a:ext uri="{FF2B5EF4-FFF2-40B4-BE49-F238E27FC236}">
              <a16:creationId xmlns:a16="http://schemas.microsoft.com/office/drawing/2014/main" id="{00000000-0008-0000-0100-000067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40" name="Text Box 9">
          <a:extLst>
            <a:ext uri="{FF2B5EF4-FFF2-40B4-BE49-F238E27FC236}">
              <a16:creationId xmlns:a16="http://schemas.microsoft.com/office/drawing/2014/main" id="{00000000-0008-0000-0100-000068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41" name="Text Box 10">
          <a:extLst>
            <a:ext uri="{FF2B5EF4-FFF2-40B4-BE49-F238E27FC236}">
              <a16:creationId xmlns:a16="http://schemas.microsoft.com/office/drawing/2014/main" id="{00000000-0008-0000-0100-000069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42" name="Text Box 11">
          <a:extLst>
            <a:ext uri="{FF2B5EF4-FFF2-40B4-BE49-F238E27FC236}">
              <a16:creationId xmlns:a16="http://schemas.microsoft.com/office/drawing/2014/main" id="{00000000-0008-0000-0100-00006A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43" name="Text Box 12">
          <a:extLst>
            <a:ext uri="{FF2B5EF4-FFF2-40B4-BE49-F238E27FC236}">
              <a16:creationId xmlns:a16="http://schemas.microsoft.com/office/drawing/2014/main" id="{00000000-0008-0000-0100-00006B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44" name="Text Box 13">
          <a:extLst>
            <a:ext uri="{FF2B5EF4-FFF2-40B4-BE49-F238E27FC236}">
              <a16:creationId xmlns:a16="http://schemas.microsoft.com/office/drawing/2014/main" id="{00000000-0008-0000-0100-00006C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241149" cy="339770"/>
    <xdr:sp macro="" textlink="">
      <xdr:nvSpPr>
        <xdr:cNvPr id="1645" name="Text Box 14">
          <a:extLst>
            <a:ext uri="{FF2B5EF4-FFF2-40B4-BE49-F238E27FC236}">
              <a16:creationId xmlns:a16="http://schemas.microsoft.com/office/drawing/2014/main" id="{00000000-0008-0000-0100-00006D060000}"/>
            </a:ext>
          </a:extLst>
        </xdr:cNvPr>
        <xdr:cNvSpPr txBox="1">
          <a:spLocks noChangeArrowheads="1"/>
        </xdr:cNvSpPr>
      </xdr:nvSpPr>
      <xdr:spPr bwMode="auto">
        <a:xfrm>
          <a:off x="3901109" y="35019697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339770"/>
    <xdr:sp macro="" textlink="">
      <xdr:nvSpPr>
        <xdr:cNvPr id="1646" name="Text Box 15">
          <a:extLst>
            <a:ext uri="{FF2B5EF4-FFF2-40B4-BE49-F238E27FC236}">
              <a16:creationId xmlns:a16="http://schemas.microsoft.com/office/drawing/2014/main" id="{00000000-0008-0000-0100-00006E060000}"/>
            </a:ext>
          </a:extLst>
        </xdr:cNvPr>
        <xdr:cNvSpPr txBox="1">
          <a:spLocks noChangeArrowheads="1"/>
        </xdr:cNvSpPr>
      </xdr:nvSpPr>
      <xdr:spPr bwMode="auto">
        <a:xfrm>
          <a:off x="3901109" y="350196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47" name="Text Box 5">
          <a:extLst>
            <a:ext uri="{FF2B5EF4-FFF2-40B4-BE49-F238E27FC236}">
              <a16:creationId xmlns:a16="http://schemas.microsoft.com/office/drawing/2014/main" id="{00000000-0008-0000-0100-00006F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32388"/>
    <xdr:sp macro="" textlink="">
      <xdr:nvSpPr>
        <xdr:cNvPr id="1648" name="Text Box 6">
          <a:extLst>
            <a:ext uri="{FF2B5EF4-FFF2-40B4-BE49-F238E27FC236}">
              <a16:creationId xmlns:a16="http://schemas.microsoft.com/office/drawing/2014/main" id="{00000000-0008-0000-0100-000070060000}"/>
            </a:ext>
          </a:extLst>
        </xdr:cNvPr>
        <xdr:cNvSpPr txBox="1">
          <a:spLocks noChangeArrowheads="1"/>
        </xdr:cNvSpPr>
      </xdr:nvSpPr>
      <xdr:spPr bwMode="auto">
        <a:xfrm>
          <a:off x="3901109" y="35019697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49" name="Text Box 7">
          <a:extLst>
            <a:ext uri="{FF2B5EF4-FFF2-40B4-BE49-F238E27FC236}">
              <a16:creationId xmlns:a16="http://schemas.microsoft.com/office/drawing/2014/main" id="{00000000-0008-0000-0100-000071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0" name="Text Box 8">
          <a:extLst>
            <a:ext uri="{FF2B5EF4-FFF2-40B4-BE49-F238E27FC236}">
              <a16:creationId xmlns:a16="http://schemas.microsoft.com/office/drawing/2014/main" id="{00000000-0008-0000-0100-000072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1" name="Text Box 9">
          <a:extLst>
            <a:ext uri="{FF2B5EF4-FFF2-40B4-BE49-F238E27FC236}">
              <a16:creationId xmlns:a16="http://schemas.microsoft.com/office/drawing/2014/main" id="{00000000-0008-0000-0100-000073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2" name="Text Box 10">
          <a:extLst>
            <a:ext uri="{FF2B5EF4-FFF2-40B4-BE49-F238E27FC236}">
              <a16:creationId xmlns:a16="http://schemas.microsoft.com/office/drawing/2014/main" id="{00000000-0008-0000-0100-000074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3" name="Text Box 11">
          <a:extLst>
            <a:ext uri="{FF2B5EF4-FFF2-40B4-BE49-F238E27FC236}">
              <a16:creationId xmlns:a16="http://schemas.microsoft.com/office/drawing/2014/main" id="{00000000-0008-0000-0100-000075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4" name="Text Box 12">
          <a:extLst>
            <a:ext uri="{FF2B5EF4-FFF2-40B4-BE49-F238E27FC236}">
              <a16:creationId xmlns:a16="http://schemas.microsoft.com/office/drawing/2014/main" id="{00000000-0008-0000-0100-000076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5" name="Text Box 13">
          <a:extLst>
            <a:ext uri="{FF2B5EF4-FFF2-40B4-BE49-F238E27FC236}">
              <a16:creationId xmlns:a16="http://schemas.microsoft.com/office/drawing/2014/main" id="{00000000-0008-0000-0100-000077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241149" cy="2151438"/>
    <xdr:sp macro="" textlink="">
      <xdr:nvSpPr>
        <xdr:cNvPr id="1656" name="Text Box 14">
          <a:extLst>
            <a:ext uri="{FF2B5EF4-FFF2-40B4-BE49-F238E27FC236}">
              <a16:creationId xmlns:a16="http://schemas.microsoft.com/office/drawing/2014/main" id="{00000000-0008-0000-0100-000078060000}"/>
            </a:ext>
          </a:extLst>
        </xdr:cNvPr>
        <xdr:cNvSpPr txBox="1">
          <a:spLocks noChangeArrowheads="1"/>
        </xdr:cNvSpPr>
      </xdr:nvSpPr>
      <xdr:spPr bwMode="auto">
        <a:xfrm>
          <a:off x="3901109" y="35019697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7" name="Text Box 15">
          <a:extLst>
            <a:ext uri="{FF2B5EF4-FFF2-40B4-BE49-F238E27FC236}">
              <a16:creationId xmlns:a16="http://schemas.microsoft.com/office/drawing/2014/main" id="{00000000-0008-0000-0100-000079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8" name="Text Box 16">
          <a:extLst>
            <a:ext uri="{FF2B5EF4-FFF2-40B4-BE49-F238E27FC236}">
              <a16:creationId xmlns:a16="http://schemas.microsoft.com/office/drawing/2014/main" id="{00000000-0008-0000-0100-00007A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59" name="Text Box 17">
          <a:extLst>
            <a:ext uri="{FF2B5EF4-FFF2-40B4-BE49-F238E27FC236}">
              <a16:creationId xmlns:a16="http://schemas.microsoft.com/office/drawing/2014/main" id="{00000000-0008-0000-0100-00007B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0" name="Text Box 18">
          <a:extLst>
            <a:ext uri="{FF2B5EF4-FFF2-40B4-BE49-F238E27FC236}">
              <a16:creationId xmlns:a16="http://schemas.microsoft.com/office/drawing/2014/main" id="{00000000-0008-0000-0100-00007C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1" name="Text Box 19">
          <a:extLst>
            <a:ext uri="{FF2B5EF4-FFF2-40B4-BE49-F238E27FC236}">
              <a16:creationId xmlns:a16="http://schemas.microsoft.com/office/drawing/2014/main" id="{00000000-0008-0000-0100-00007D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2" name="Text Box 20">
          <a:extLst>
            <a:ext uri="{FF2B5EF4-FFF2-40B4-BE49-F238E27FC236}">
              <a16:creationId xmlns:a16="http://schemas.microsoft.com/office/drawing/2014/main" id="{00000000-0008-0000-0100-00007E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3" name="Text Box 21">
          <a:extLst>
            <a:ext uri="{FF2B5EF4-FFF2-40B4-BE49-F238E27FC236}">
              <a16:creationId xmlns:a16="http://schemas.microsoft.com/office/drawing/2014/main" id="{00000000-0008-0000-0100-00007F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32388"/>
    <xdr:sp macro="" textlink="">
      <xdr:nvSpPr>
        <xdr:cNvPr id="1664" name="Text Box 22">
          <a:extLst>
            <a:ext uri="{FF2B5EF4-FFF2-40B4-BE49-F238E27FC236}">
              <a16:creationId xmlns:a16="http://schemas.microsoft.com/office/drawing/2014/main" id="{00000000-0008-0000-0100-000080060000}"/>
            </a:ext>
          </a:extLst>
        </xdr:cNvPr>
        <xdr:cNvSpPr txBox="1">
          <a:spLocks noChangeArrowheads="1"/>
        </xdr:cNvSpPr>
      </xdr:nvSpPr>
      <xdr:spPr bwMode="auto">
        <a:xfrm>
          <a:off x="3901109" y="35019697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5" name="Text Box 7">
          <a:extLst>
            <a:ext uri="{FF2B5EF4-FFF2-40B4-BE49-F238E27FC236}">
              <a16:creationId xmlns:a16="http://schemas.microsoft.com/office/drawing/2014/main" id="{00000000-0008-0000-0100-000081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6" name="Text Box 8">
          <a:extLst>
            <a:ext uri="{FF2B5EF4-FFF2-40B4-BE49-F238E27FC236}">
              <a16:creationId xmlns:a16="http://schemas.microsoft.com/office/drawing/2014/main" id="{00000000-0008-0000-0100-000082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7" name="Text Box 9">
          <a:extLst>
            <a:ext uri="{FF2B5EF4-FFF2-40B4-BE49-F238E27FC236}">
              <a16:creationId xmlns:a16="http://schemas.microsoft.com/office/drawing/2014/main" id="{00000000-0008-0000-0100-000083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8" name="Text Box 10">
          <a:extLst>
            <a:ext uri="{FF2B5EF4-FFF2-40B4-BE49-F238E27FC236}">
              <a16:creationId xmlns:a16="http://schemas.microsoft.com/office/drawing/2014/main" id="{00000000-0008-0000-0100-000084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69" name="Text Box 11">
          <a:extLst>
            <a:ext uri="{FF2B5EF4-FFF2-40B4-BE49-F238E27FC236}">
              <a16:creationId xmlns:a16="http://schemas.microsoft.com/office/drawing/2014/main" id="{00000000-0008-0000-0100-000085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70" name="Text Box 12">
          <a:extLst>
            <a:ext uri="{FF2B5EF4-FFF2-40B4-BE49-F238E27FC236}">
              <a16:creationId xmlns:a16="http://schemas.microsoft.com/office/drawing/2014/main" id="{00000000-0008-0000-0100-000086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2151438"/>
    <xdr:sp macro="" textlink="">
      <xdr:nvSpPr>
        <xdr:cNvPr id="1671" name="Text Box 13">
          <a:extLst>
            <a:ext uri="{FF2B5EF4-FFF2-40B4-BE49-F238E27FC236}">
              <a16:creationId xmlns:a16="http://schemas.microsoft.com/office/drawing/2014/main" id="{00000000-0008-0000-0100-000087060000}"/>
            </a:ext>
          </a:extLst>
        </xdr:cNvPr>
        <xdr:cNvSpPr txBox="1">
          <a:spLocks noChangeArrowheads="1"/>
        </xdr:cNvSpPr>
      </xdr:nvSpPr>
      <xdr:spPr bwMode="auto">
        <a:xfrm>
          <a:off x="3901109" y="350196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241149" cy="2151438"/>
    <xdr:sp macro="" textlink="">
      <xdr:nvSpPr>
        <xdr:cNvPr id="1672" name="Text Box 14">
          <a:extLst>
            <a:ext uri="{FF2B5EF4-FFF2-40B4-BE49-F238E27FC236}">
              <a16:creationId xmlns:a16="http://schemas.microsoft.com/office/drawing/2014/main" id="{00000000-0008-0000-0100-000088060000}"/>
            </a:ext>
          </a:extLst>
        </xdr:cNvPr>
        <xdr:cNvSpPr txBox="1">
          <a:spLocks noChangeArrowheads="1"/>
        </xdr:cNvSpPr>
      </xdr:nvSpPr>
      <xdr:spPr bwMode="auto">
        <a:xfrm>
          <a:off x="3901109" y="35019697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061194"/>
    <xdr:sp macro="" textlink="">
      <xdr:nvSpPr>
        <xdr:cNvPr id="1673" name="Text Box 5">
          <a:extLst>
            <a:ext uri="{FF2B5EF4-FFF2-40B4-BE49-F238E27FC236}">
              <a16:creationId xmlns:a16="http://schemas.microsoft.com/office/drawing/2014/main" id="{00000000-0008-0000-0100-000089060000}"/>
            </a:ext>
          </a:extLst>
        </xdr:cNvPr>
        <xdr:cNvSpPr txBox="1">
          <a:spLocks noChangeArrowheads="1"/>
        </xdr:cNvSpPr>
      </xdr:nvSpPr>
      <xdr:spPr bwMode="auto">
        <a:xfrm>
          <a:off x="3901109" y="350196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061194"/>
    <xdr:sp macro="" textlink="">
      <xdr:nvSpPr>
        <xdr:cNvPr id="1674" name="Text Box 6">
          <a:extLst>
            <a:ext uri="{FF2B5EF4-FFF2-40B4-BE49-F238E27FC236}">
              <a16:creationId xmlns:a16="http://schemas.microsoft.com/office/drawing/2014/main" id="{00000000-0008-0000-0100-00008A060000}"/>
            </a:ext>
          </a:extLst>
        </xdr:cNvPr>
        <xdr:cNvSpPr txBox="1">
          <a:spLocks noChangeArrowheads="1"/>
        </xdr:cNvSpPr>
      </xdr:nvSpPr>
      <xdr:spPr bwMode="auto">
        <a:xfrm>
          <a:off x="3901109" y="350196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061194"/>
    <xdr:sp macro="" textlink="">
      <xdr:nvSpPr>
        <xdr:cNvPr id="1675" name="Text Box 7">
          <a:extLst>
            <a:ext uri="{FF2B5EF4-FFF2-40B4-BE49-F238E27FC236}">
              <a16:creationId xmlns:a16="http://schemas.microsoft.com/office/drawing/2014/main" id="{00000000-0008-0000-0100-00008B060000}"/>
            </a:ext>
          </a:extLst>
        </xdr:cNvPr>
        <xdr:cNvSpPr txBox="1">
          <a:spLocks noChangeArrowheads="1"/>
        </xdr:cNvSpPr>
      </xdr:nvSpPr>
      <xdr:spPr bwMode="auto">
        <a:xfrm>
          <a:off x="3901109" y="350196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061194"/>
    <xdr:sp macro="" textlink="">
      <xdr:nvSpPr>
        <xdr:cNvPr id="1676" name="Text Box 8">
          <a:extLst>
            <a:ext uri="{FF2B5EF4-FFF2-40B4-BE49-F238E27FC236}">
              <a16:creationId xmlns:a16="http://schemas.microsoft.com/office/drawing/2014/main" id="{00000000-0008-0000-0100-00008C060000}"/>
            </a:ext>
          </a:extLst>
        </xdr:cNvPr>
        <xdr:cNvSpPr txBox="1">
          <a:spLocks noChangeArrowheads="1"/>
        </xdr:cNvSpPr>
      </xdr:nvSpPr>
      <xdr:spPr bwMode="auto">
        <a:xfrm>
          <a:off x="3901109" y="350196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061194"/>
    <xdr:sp macro="" textlink="">
      <xdr:nvSpPr>
        <xdr:cNvPr id="1677" name="Text Box 9">
          <a:extLst>
            <a:ext uri="{FF2B5EF4-FFF2-40B4-BE49-F238E27FC236}">
              <a16:creationId xmlns:a16="http://schemas.microsoft.com/office/drawing/2014/main" id="{00000000-0008-0000-0100-00008D060000}"/>
            </a:ext>
          </a:extLst>
        </xdr:cNvPr>
        <xdr:cNvSpPr txBox="1">
          <a:spLocks noChangeArrowheads="1"/>
        </xdr:cNvSpPr>
      </xdr:nvSpPr>
      <xdr:spPr bwMode="auto">
        <a:xfrm>
          <a:off x="3901109" y="350196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061194"/>
    <xdr:sp macro="" textlink="">
      <xdr:nvSpPr>
        <xdr:cNvPr id="1678" name="Text Box 10">
          <a:extLst>
            <a:ext uri="{FF2B5EF4-FFF2-40B4-BE49-F238E27FC236}">
              <a16:creationId xmlns:a16="http://schemas.microsoft.com/office/drawing/2014/main" id="{00000000-0008-0000-0100-00008E060000}"/>
            </a:ext>
          </a:extLst>
        </xdr:cNvPr>
        <xdr:cNvSpPr txBox="1">
          <a:spLocks noChangeArrowheads="1"/>
        </xdr:cNvSpPr>
      </xdr:nvSpPr>
      <xdr:spPr bwMode="auto">
        <a:xfrm>
          <a:off x="3901109" y="350196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061194"/>
    <xdr:sp macro="" textlink="">
      <xdr:nvSpPr>
        <xdr:cNvPr id="1679" name="Text Box 11">
          <a:extLst>
            <a:ext uri="{FF2B5EF4-FFF2-40B4-BE49-F238E27FC236}">
              <a16:creationId xmlns:a16="http://schemas.microsoft.com/office/drawing/2014/main" id="{00000000-0008-0000-0100-00008F060000}"/>
            </a:ext>
          </a:extLst>
        </xdr:cNvPr>
        <xdr:cNvSpPr txBox="1">
          <a:spLocks noChangeArrowheads="1"/>
        </xdr:cNvSpPr>
      </xdr:nvSpPr>
      <xdr:spPr bwMode="auto">
        <a:xfrm>
          <a:off x="3901109" y="350196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117324" cy="1061194"/>
    <xdr:sp macro="" textlink="">
      <xdr:nvSpPr>
        <xdr:cNvPr id="1680" name="Text Box 12">
          <a:extLst>
            <a:ext uri="{FF2B5EF4-FFF2-40B4-BE49-F238E27FC236}">
              <a16:creationId xmlns:a16="http://schemas.microsoft.com/office/drawing/2014/main" id="{00000000-0008-0000-0100-000090060000}"/>
            </a:ext>
          </a:extLst>
        </xdr:cNvPr>
        <xdr:cNvSpPr txBox="1">
          <a:spLocks noChangeArrowheads="1"/>
        </xdr:cNvSpPr>
      </xdr:nvSpPr>
      <xdr:spPr bwMode="auto">
        <a:xfrm>
          <a:off x="3901109" y="350196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04775" cy="0"/>
    <xdr:sp macro="" textlink="">
      <xdr:nvSpPr>
        <xdr:cNvPr id="1681" name="Text Box 1">
          <a:extLst>
            <a:ext uri="{FF2B5EF4-FFF2-40B4-BE49-F238E27FC236}">
              <a16:creationId xmlns:a16="http://schemas.microsoft.com/office/drawing/2014/main" id="{00000000-0008-0000-0100-000091060000}"/>
            </a:ext>
          </a:extLst>
        </xdr:cNvPr>
        <xdr:cNvSpPr txBox="1">
          <a:spLocks noChangeArrowheads="1"/>
        </xdr:cNvSpPr>
      </xdr:nvSpPr>
      <xdr:spPr bwMode="auto">
        <a:xfrm>
          <a:off x="4580283" y="35019697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04775" cy="0"/>
    <xdr:sp macro="" textlink="">
      <xdr:nvSpPr>
        <xdr:cNvPr id="1682" name="Text Box 1">
          <a:extLst>
            <a:ext uri="{FF2B5EF4-FFF2-40B4-BE49-F238E27FC236}">
              <a16:creationId xmlns:a16="http://schemas.microsoft.com/office/drawing/2014/main" id="{00000000-0008-0000-0100-000092060000}"/>
            </a:ext>
          </a:extLst>
        </xdr:cNvPr>
        <xdr:cNvSpPr txBox="1">
          <a:spLocks noChangeArrowheads="1"/>
        </xdr:cNvSpPr>
      </xdr:nvSpPr>
      <xdr:spPr bwMode="auto">
        <a:xfrm>
          <a:off x="4580283" y="35019697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04775" cy="0"/>
    <xdr:sp macro="" textlink="">
      <xdr:nvSpPr>
        <xdr:cNvPr id="1683" name="Text Box 1">
          <a:extLst>
            <a:ext uri="{FF2B5EF4-FFF2-40B4-BE49-F238E27FC236}">
              <a16:creationId xmlns:a16="http://schemas.microsoft.com/office/drawing/2014/main" id="{00000000-0008-0000-0100-000093060000}"/>
            </a:ext>
          </a:extLst>
        </xdr:cNvPr>
        <xdr:cNvSpPr txBox="1">
          <a:spLocks noChangeArrowheads="1"/>
        </xdr:cNvSpPr>
      </xdr:nvSpPr>
      <xdr:spPr bwMode="auto">
        <a:xfrm>
          <a:off x="4580283" y="35019697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705</xdr:row>
      <xdr:rowOff>0</xdr:rowOff>
    </xdr:from>
    <xdr:ext cx="104775" cy="0"/>
    <xdr:sp macro="" textlink="">
      <xdr:nvSpPr>
        <xdr:cNvPr id="1684" name="Text Box 1">
          <a:extLst>
            <a:ext uri="{FF2B5EF4-FFF2-40B4-BE49-F238E27FC236}">
              <a16:creationId xmlns:a16="http://schemas.microsoft.com/office/drawing/2014/main" id="{00000000-0008-0000-0100-000094060000}"/>
            </a:ext>
          </a:extLst>
        </xdr:cNvPr>
        <xdr:cNvSpPr txBox="1">
          <a:spLocks noChangeArrowheads="1"/>
        </xdr:cNvSpPr>
      </xdr:nvSpPr>
      <xdr:spPr bwMode="auto">
        <a:xfrm>
          <a:off x="4580283" y="35019697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685" name="Text Box 5">
          <a:extLst>
            <a:ext uri="{FF2B5EF4-FFF2-40B4-BE49-F238E27FC236}">
              <a16:creationId xmlns:a16="http://schemas.microsoft.com/office/drawing/2014/main" id="{00000000-0008-0000-0100-000095060000}"/>
            </a:ext>
          </a:extLst>
        </xdr:cNvPr>
        <xdr:cNvSpPr txBox="1">
          <a:spLocks noChangeArrowheads="1"/>
        </xdr:cNvSpPr>
      </xdr:nvSpPr>
      <xdr:spPr bwMode="auto">
        <a:xfrm>
          <a:off x="3901109" y="532679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686" name="Text Box 6">
          <a:extLst>
            <a:ext uri="{FF2B5EF4-FFF2-40B4-BE49-F238E27FC236}">
              <a16:creationId xmlns:a16="http://schemas.microsoft.com/office/drawing/2014/main" id="{00000000-0008-0000-0100-000096060000}"/>
            </a:ext>
          </a:extLst>
        </xdr:cNvPr>
        <xdr:cNvSpPr txBox="1">
          <a:spLocks noChangeArrowheads="1"/>
        </xdr:cNvSpPr>
      </xdr:nvSpPr>
      <xdr:spPr bwMode="auto">
        <a:xfrm>
          <a:off x="3901109" y="53267941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687" name="Text Box 16">
          <a:extLst>
            <a:ext uri="{FF2B5EF4-FFF2-40B4-BE49-F238E27FC236}">
              <a16:creationId xmlns:a16="http://schemas.microsoft.com/office/drawing/2014/main" id="{00000000-0008-0000-0100-000097060000}"/>
            </a:ext>
          </a:extLst>
        </xdr:cNvPr>
        <xdr:cNvSpPr txBox="1">
          <a:spLocks noChangeArrowheads="1"/>
        </xdr:cNvSpPr>
      </xdr:nvSpPr>
      <xdr:spPr bwMode="auto">
        <a:xfrm>
          <a:off x="3901109" y="532679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688" name="Text Box 17">
          <a:extLst>
            <a:ext uri="{FF2B5EF4-FFF2-40B4-BE49-F238E27FC236}">
              <a16:creationId xmlns:a16="http://schemas.microsoft.com/office/drawing/2014/main" id="{00000000-0008-0000-0100-000098060000}"/>
            </a:ext>
          </a:extLst>
        </xdr:cNvPr>
        <xdr:cNvSpPr txBox="1">
          <a:spLocks noChangeArrowheads="1"/>
        </xdr:cNvSpPr>
      </xdr:nvSpPr>
      <xdr:spPr bwMode="auto">
        <a:xfrm>
          <a:off x="3901109" y="532679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689" name="Text Box 18">
          <a:extLst>
            <a:ext uri="{FF2B5EF4-FFF2-40B4-BE49-F238E27FC236}">
              <a16:creationId xmlns:a16="http://schemas.microsoft.com/office/drawing/2014/main" id="{00000000-0008-0000-0100-000099060000}"/>
            </a:ext>
          </a:extLst>
        </xdr:cNvPr>
        <xdr:cNvSpPr txBox="1">
          <a:spLocks noChangeArrowheads="1"/>
        </xdr:cNvSpPr>
      </xdr:nvSpPr>
      <xdr:spPr bwMode="auto">
        <a:xfrm>
          <a:off x="3901109" y="532679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690" name="Text Box 19">
          <a:extLst>
            <a:ext uri="{FF2B5EF4-FFF2-40B4-BE49-F238E27FC236}">
              <a16:creationId xmlns:a16="http://schemas.microsoft.com/office/drawing/2014/main" id="{00000000-0008-0000-0100-00009A060000}"/>
            </a:ext>
          </a:extLst>
        </xdr:cNvPr>
        <xdr:cNvSpPr txBox="1">
          <a:spLocks noChangeArrowheads="1"/>
        </xdr:cNvSpPr>
      </xdr:nvSpPr>
      <xdr:spPr bwMode="auto">
        <a:xfrm>
          <a:off x="3901109" y="532679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691" name="Text Box 20">
          <a:extLst>
            <a:ext uri="{FF2B5EF4-FFF2-40B4-BE49-F238E27FC236}">
              <a16:creationId xmlns:a16="http://schemas.microsoft.com/office/drawing/2014/main" id="{00000000-0008-0000-0100-00009B060000}"/>
            </a:ext>
          </a:extLst>
        </xdr:cNvPr>
        <xdr:cNvSpPr txBox="1">
          <a:spLocks noChangeArrowheads="1"/>
        </xdr:cNvSpPr>
      </xdr:nvSpPr>
      <xdr:spPr bwMode="auto">
        <a:xfrm>
          <a:off x="3901109" y="532679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692" name="Text Box 21">
          <a:extLst>
            <a:ext uri="{FF2B5EF4-FFF2-40B4-BE49-F238E27FC236}">
              <a16:creationId xmlns:a16="http://schemas.microsoft.com/office/drawing/2014/main" id="{00000000-0008-0000-0100-00009C060000}"/>
            </a:ext>
          </a:extLst>
        </xdr:cNvPr>
        <xdr:cNvSpPr txBox="1">
          <a:spLocks noChangeArrowheads="1"/>
        </xdr:cNvSpPr>
      </xdr:nvSpPr>
      <xdr:spPr bwMode="auto">
        <a:xfrm>
          <a:off x="3901109" y="532679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693" name="Text Box 22">
          <a:extLst>
            <a:ext uri="{FF2B5EF4-FFF2-40B4-BE49-F238E27FC236}">
              <a16:creationId xmlns:a16="http://schemas.microsoft.com/office/drawing/2014/main" id="{00000000-0008-0000-0100-00009D060000}"/>
            </a:ext>
          </a:extLst>
        </xdr:cNvPr>
        <xdr:cNvSpPr txBox="1">
          <a:spLocks noChangeArrowheads="1"/>
        </xdr:cNvSpPr>
      </xdr:nvSpPr>
      <xdr:spPr bwMode="auto">
        <a:xfrm>
          <a:off x="3901109" y="53267941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694" name="Text Box 1">
          <a:extLst>
            <a:ext uri="{FF2B5EF4-FFF2-40B4-BE49-F238E27FC236}">
              <a16:creationId xmlns:a16="http://schemas.microsoft.com/office/drawing/2014/main" id="{00000000-0008-0000-0100-00009E060000}"/>
            </a:ext>
          </a:extLst>
        </xdr:cNvPr>
        <xdr:cNvSpPr txBox="1">
          <a:spLocks noChangeArrowheads="1"/>
        </xdr:cNvSpPr>
      </xdr:nvSpPr>
      <xdr:spPr bwMode="auto">
        <a:xfrm>
          <a:off x="4580283" y="53267941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695" name="Text Box 1">
          <a:extLst>
            <a:ext uri="{FF2B5EF4-FFF2-40B4-BE49-F238E27FC236}">
              <a16:creationId xmlns:a16="http://schemas.microsoft.com/office/drawing/2014/main" id="{00000000-0008-0000-0100-00009F060000}"/>
            </a:ext>
          </a:extLst>
        </xdr:cNvPr>
        <xdr:cNvSpPr txBox="1">
          <a:spLocks noChangeArrowheads="1"/>
        </xdr:cNvSpPr>
      </xdr:nvSpPr>
      <xdr:spPr bwMode="auto">
        <a:xfrm>
          <a:off x="4580283" y="53267941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696" name="Text Box 1">
          <a:extLst>
            <a:ext uri="{FF2B5EF4-FFF2-40B4-BE49-F238E27FC236}">
              <a16:creationId xmlns:a16="http://schemas.microsoft.com/office/drawing/2014/main" id="{00000000-0008-0000-0100-0000A0060000}"/>
            </a:ext>
          </a:extLst>
        </xdr:cNvPr>
        <xdr:cNvSpPr txBox="1">
          <a:spLocks noChangeArrowheads="1"/>
        </xdr:cNvSpPr>
      </xdr:nvSpPr>
      <xdr:spPr bwMode="auto">
        <a:xfrm>
          <a:off x="4580283" y="53267941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697" name="Text Box 1">
          <a:extLst>
            <a:ext uri="{FF2B5EF4-FFF2-40B4-BE49-F238E27FC236}">
              <a16:creationId xmlns:a16="http://schemas.microsoft.com/office/drawing/2014/main" id="{00000000-0008-0000-0100-0000A1060000}"/>
            </a:ext>
          </a:extLst>
        </xdr:cNvPr>
        <xdr:cNvSpPr txBox="1">
          <a:spLocks noChangeArrowheads="1"/>
        </xdr:cNvSpPr>
      </xdr:nvSpPr>
      <xdr:spPr bwMode="auto">
        <a:xfrm>
          <a:off x="4580283" y="532679413"/>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698" name="Text Box 5">
          <a:extLst>
            <a:ext uri="{FF2B5EF4-FFF2-40B4-BE49-F238E27FC236}">
              <a16:creationId xmlns:a16="http://schemas.microsoft.com/office/drawing/2014/main" id="{00000000-0008-0000-0100-0000A2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699" name="Text Box 6">
          <a:extLst>
            <a:ext uri="{FF2B5EF4-FFF2-40B4-BE49-F238E27FC236}">
              <a16:creationId xmlns:a16="http://schemas.microsoft.com/office/drawing/2014/main" id="{00000000-0008-0000-0100-0000A3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0" name="Text Box 7">
          <a:extLst>
            <a:ext uri="{FF2B5EF4-FFF2-40B4-BE49-F238E27FC236}">
              <a16:creationId xmlns:a16="http://schemas.microsoft.com/office/drawing/2014/main" id="{00000000-0008-0000-0100-0000A4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1" name="Text Box 8">
          <a:extLst>
            <a:ext uri="{FF2B5EF4-FFF2-40B4-BE49-F238E27FC236}">
              <a16:creationId xmlns:a16="http://schemas.microsoft.com/office/drawing/2014/main" id="{00000000-0008-0000-0100-0000A5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2" name="Text Box 9">
          <a:extLst>
            <a:ext uri="{FF2B5EF4-FFF2-40B4-BE49-F238E27FC236}">
              <a16:creationId xmlns:a16="http://schemas.microsoft.com/office/drawing/2014/main" id="{00000000-0008-0000-0100-0000A6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3" name="Text Box 10">
          <a:extLst>
            <a:ext uri="{FF2B5EF4-FFF2-40B4-BE49-F238E27FC236}">
              <a16:creationId xmlns:a16="http://schemas.microsoft.com/office/drawing/2014/main" id="{00000000-0008-0000-0100-0000A7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4" name="Text Box 11">
          <a:extLst>
            <a:ext uri="{FF2B5EF4-FFF2-40B4-BE49-F238E27FC236}">
              <a16:creationId xmlns:a16="http://schemas.microsoft.com/office/drawing/2014/main" id="{00000000-0008-0000-0100-0000A8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5" name="Text Box 12">
          <a:extLst>
            <a:ext uri="{FF2B5EF4-FFF2-40B4-BE49-F238E27FC236}">
              <a16:creationId xmlns:a16="http://schemas.microsoft.com/office/drawing/2014/main" id="{00000000-0008-0000-0100-0000A9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6" name="Text Box 13">
          <a:extLst>
            <a:ext uri="{FF2B5EF4-FFF2-40B4-BE49-F238E27FC236}">
              <a16:creationId xmlns:a16="http://schemas.microsoft.com/office/drawing/2014/main" id="{00000000-0008-0000-0100-0000AA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707" name="Text Box 14">
          <a:extLst>
            <a:ext uri="{FF2B5EF4-FFF2-40B4-BE49-F238E27FC236}">
              <a16:creationId xmlns:a16="http://schemas.microsoft.com/office/drawing/2014/main" id="{00000000-0008-0000-0100-0000AB060000}"/>
            </a:ext>
          </a:extLst>
        </xdr:cNvPr>
        <xdr:cNvSpPr txBox="1">
          <a:spLocks noChangeArrowheads="1"/>
        </xdr:cNvSpPr>
      </xdr:nvSpPr>
      <xdr:spPr bwMode="auto">
        <a:xfrm>
          <a:off x="3901109" y="543413674"/>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8" name="Text Box 15">
          <a:extLst>
            <a:ext uri="{FF2B5EF4-FFF2-40B4-BE49-F238E27FC236}">
              <a16:creationId xmlns:a16="http://schemas.microsoft.com/office/drawing/2014/main" id="{00000000-0008-0000-0100-0000AC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09" name="Text Box 16">
          <a:extLst>
            <a:ext uri="{FF2B5EF4-FFF2-40B4-BE49-F238E27FC236}">
              <a16:creationId xmlns:a16="http://schemas.microsoft.com/office/drawing/2014/main" id="{00000000-0008-0000-0100-0000AD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0" name="Text Box 17">
          <a:extLst>
            <a:ext uri="{FF2B5EF4-FFF2-40B4-BE49-F238E27FC236}">
              <a16:creationId xmlns:a16="http://schemas.microsoft.com/office/drawing/2014/main" id="{00000000-0008-0000-0100-0000AE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1" name="Text Box 18">
          <a:extLst>
            <a:ext uri="{FF2B5EF4-FFF2-40B4-BE49-F238E27FC236}">
              <a16:creationId xmlns:a16="http://schemas.microsoft.com/office/drawing/2014/main" id="{00000000-0008-0000-0100-0000AF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2" name="Text Box 19">
          <a:extLst>
            <a:ext uri="{FF2B5EF4-FFF2-40B4-BE49-F238E27FC236}">
              <a16:creationId xmlns:a16="http://schemas.microsoft.com/office/drawing/2014/main" id="{00000000-0008-0000-0100-0000B0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3" name="Text Box 20">
          <a:extLst>
            <a:ext uri="{FF2B5EF4-FFF2-40B4-BE49-F238E27FC236}">
              <a16:creationId xmlns:a16="http://schemas.microsoft.com/office/drawing/2014/main" id="{00000000-0008-0000-0100-0000B1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4" name="Text Box 21">
          <a:extLst>
            <a:ext uri="{FF2B5EF4-FFF2-40B4-BE49-F238E27FC236}">
              <a16:creationId xmlns:a16="http://schemas.microsoft.com/office/drawing/2014/main" id="{00000000-0008-0000-0100-0000B2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5" name="Text Box 22">
          <a:extLst>
            <a:ext uri="{FF2B5EF4-FFF2-40B4-BE49-F238E27FC236}">
              <a16:creationId xmlns:a16="http://schemas.microsoft.com/office/drawing/2014/main" id="{00000000-0008-0000-0100-0000B3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6" name="Text Box 7">
          <a:extLst>
            <a:ext uri="{FF2B5EF4-FFF2-40B4-BE49-F238E27FC236}">
              <a16:creationId xmlns:a16="http://schemas.microsoft.com/office/drawing/2014/main" id="{00000000-0008-0000-0100-0000B4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7" name="Text Box 8">
          <a:extLst>
            <a:ext uri="{FF2B5EF4-FFF2-40B4-BE49-F238E27FC236}">
              <a16:creationId xmlns:a16="http://schemas.microsoft.com/office/drawing/2014/main" id="{00000000-0008-0000-0100-0000B5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8" name="Text Box 9">
          <a:extLst>
            <a:ext uri="{FF2B5EF4-FFF2-40B4-BE49-F238E27FC236}">
              <a16:creationId xmlns:a16="http://schemas.microsoft.com/office/drawing/2014/main" id="{00000000-0008-0000-0100-0000B6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19" name="Text Box 10">
          <a:extLst>
            <a:ext uri="{FF2B5EF4-FFF2-40B4-BE49-F238E27FC236}">
              <a16:creationId xmlns:a16="http://schemas.microsoft.com/office/drawing/2014/main" id="{00000000-0008-0000-0100-0000B7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20" name="Text Box 11">
          <a:extLst>
            <a:ext uri="{FF2B5EF4-FFF2-40B4-BE49-F238E27FC236}">
              <a16:creationId xmlns:a16="http://schemas.microsoft.com/office/drawing/2014/main" id="{00000000-0008-0000-0100-0000B8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21" name="Text Box 12">
          <a:extLst>
            <a:ext uri="{FF2B5EF4-FFF2-40B4-BE49-F238E27FC236}">
              <a16:creationId xmlns:a16="http://schemas.microsoft.com/office/drawing/2014/main" id="{00000000-0008-0000-0100-0000B9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22" name="Text Box 13">
          <a:extLst>
            <a:ext uri="{FF2B5EF4-FFF2-40B4-BE49-F238E27FC236}">
              <a16:creationId xmlns:a16="http://schemas.microsoft.com/office/drawing/2014/main" id="{00000000-0008-0000-0100-0000BA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723" name="Text Box 14">
          <a:extLst>
            <a:ext uri="{FF2B5EF4-FFF2-40B4-BE49-F238E27FC236}">
              <a16:creationId xmlns:a16="http://schemas.microsoft.com/office/drawing/2014/main" id="{00000000-0008-0000-0100-0000BB060000}"/>
            </a:ext>
          </a:extLst>
        </xdr:cNvPr>
        <xdr:cNvSpPr txBox="1">
          <a:spLocks noChangeArrowheads="1"/>
        </xdr:cNvSpPr>
      </xdr:nvSpPr>
      <xdr:spPr bwMode="auto">
        <a:xfrm>
          <a:off x="3901109" y="543413674"/>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724" name="Text Box 15">
          <a:extLst>
            <a:ext uri="{FF2B5EF4-FFF2-40B4-BE49-F238E27FC236}">
              <a16:creationId xmlns:a16="http://schemas.microsoft.com/office/drawing/2014/main" id="{00000000-0008-0000-0100-0000BC060000}"/>
            </a:ext>
          </a:extLst>
        </xdr:cNvPr>
        <xdr:cNvSpPr txBox="1">
          <a:spLocks noChangeArrowheads="1"/>
        </xdr:cNvSpPr>
      </xdr:nvSpPr>
      <xdr:spPr bwMode="auto">
        <a:xfrm>
          <a:off x="3901109" y="54341367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25" name="Text Box 5">
          <a:extLst>
            <a:ext uri="{FF2B5EF4-FFF2-40B4-BE49-F238E27FC236}">
              <a16:creationId xmlns:a16="http://schemas.microsoft.com/office/drawing/2014/main" id="{00000000-0008-0000-0100-0000BD060000}"/>
            </a:ext>
          </a:extLst>
        </xdr:cNvPr>
        <xdr:cNvSpPr txBox="1">
          <a:spLocks noChangeArrowheads="1"/>
        </xdr:cNvSpPr>
      </xdr:nvSpPr>
      <xdr:spPr bwMode="auto">
        <a:xfrm>
          <a:off x="3901109" y="543413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726" name="Text Box 6">
          <a:extLst>
            <a:ext uri="{FF2B5EF4-FFF2-40B4-BE49-F238E27FC236}">
              <a16:creationId xmlns:a16="http://schemas.microsoft.com/office/drawing/2014/main" id="{00000000-0008-0000-0100-0000BE060000}"/>
            </a:ext>
          </a:extLst>
        </xdr:cNvPr>
        <xdr:cNvSpPr txBox="1">
          <a:spLocks noChangeArrowheads="1"/>
        </xdr:cNvSpPr>
      </xdr:nvSpPr>
      <xdr:spPr bwMode="auto">
        <a:xfrm>
          <a:off x="3901109" y="543413674"/>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27" name="Text Box 7">
          <a:extLst>
            <a:ext uri="{FF2B5EF4-FFF2-40B4-BE49-F238E27FC236}">
              <a16:creationId xmlns:a16="http://schemas.microsoft.com/office/drawing/2014/main" id="{00000000-0008-0000-0100-0000BF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28" name="Text Box 8">
          <a:extLst>
            <a:ext uri="{FF2B5EF4-FFF2-40B4-BE49-F238E27FC236}">
              <a16:creationId xmlns:a16="http://schemas.microsoft.com/office/drawing/2014/main" id="{00000000-0008-0000-0100-0000C0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29" name="Text Box 9">
          <a:extLst>
            <a:ext uri="{FF2B5EF4-FFF2-40B4-BE49-F238E27FC236}">
              <a16:creationId xmlns:a16="http://schemas.microsoft.com/office/drawing/2014/main" id="{00000000-0008-0000-0100-0000C1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30" name="Text Box 10">
          <a:extLst>
            <a:ext uri="{FF2B5EF4-FFF2-40B4-BE49-F238E27FC236}">
              <a16:creationId xmlns:a16="http://schemas.microsoft.com/office/drawing/2014/main" id="{00000000-0008-0000-0100-0000C2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31" name="Text Box 11">
          <a:extLst>
            <a:ext uri="{FF2B5EF4-FFF2-40B4-BE49-F238E27FC236}">
              <a16:creationId xmlns:a16="http://schemas.microsoft.com/office/drawing/2014/main" id="{00000000-0008-0000-0100-0000C3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32" name="Text Box 12">
          <a:extLst>
            <a:ext uri="{FF2B5EF4-FFF2-40B4-BE49-F238E27FC236}">
              <a16:creationId xmlns:a16="http://schemas.microsoft.com/office/drawing/2014/main" id="{00000000-0008-0000-0100-0000C4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33" name="Text Box 13">
          <a:extLst>
            <a:ext uri="{FF2B5EF4-FFF2-40B4-BE49-F238E27FC236}">
              <a16:creationId xmlns:a16="http://schemas.microsoft.com/office/drawing/2014/main" id="{00000000-0008-0000-0100-0000C5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734" name="Text Box 14">
          <a:extLst>
            <a:ext uri="{FF2B5EF4-FFF2-40B4-BE49-F238E27FC236}">
              <a16:creationId xmlns:a16="http://schemas.microsoft.com/office/drawing/2014/main" id="{00000000-0008-0000-0100-0000C6060000}"/>
            </a:ext>
          </a:extLst>
        </xdr:cNvPr>
        <xdr:cNvSpPr txBox="1">
          <a:spLocks noChangeArrowheads="1"/>
        </xdr:cNvSpPr>
      </xdr:nvSpPr>
      <xdr:spPr bwMode="auto">
        <a:xfrm>
          <a:off x="3901109" y="543413674"/>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35" name="Text Box 15">
          <a:extLst>
            <a:ext uri="{FF2B5EF4-FFF2-40B4-BE49-F238E27FC236}">
              <a16:creationId xmlns:a16="http://schemas.microsoft.com/office/drawing/2014/main" id="{00000000-0008-0000-0100-0000C7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36" name="Text Box 16">
          <a:extLst>
            <a:ext uri="{FF2B5EF4-FFF2-40B4-BE49-F238E27FC236}">
              <a16:creationId xmlns:a16="http://schemas.microsoft.com/office/drawing/2014/main" id="{00000000-0008-0000-0100-0000C8060000}"/>
            </a:ext>
          </a:extLst>
        </xdr:cNvPr>
        <xdr:cNvSpPr txBox="1">
          <a:spLocks noChangeArrowheads="1"/>
        </xdr:cNvSpPr>
      </xdr:nvSpPr>
      <xdr:spPr bwMode="auto">
        <a:xfrm>
          <a:off x="3901109" y="543413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37" name="Text Box 17">
          <a:extLst>
            <a:ext uri="{FF2B5EF4-FFF2-40B4-BE49-F238E27FC236}">
              <a16:creationId xmlns:a16="http://schemas.microsoft.com/office/drawing/2014/main" id="{00000000-0008-0000-0100-0000C9060000}"/>
            </a:ext>
          </a:extLst>
        </xdr:cNvPr>
        <xdr:cNvSpPr txBox="1">
          <a:spLocks noChangeArrowheads="1"/>
        </xdr:cNvSpPr>
      </xdr:nvSpPr>
      <xdr:spPr bwMode="auto">
        <a:xfrm>
          <a:off x="3901109" y="543413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38" name="Text Box 18">
          <a:extLst>
            <a:ext uri="{FF2B5EF4-FFF2-40B4-BE49-F238E27FC236}">
              <a16:creationId xmlns:a16="http://schemas.microsoft.com/office/drawing/2014/main" id="{00000000-0008-0000-0100-0000CA060000}"/>
            </a:ext>
          </a:extLst>
        </xdr:cNvPr>
        <xdr:cNvSpPr txBox="1">
          <a:spLocks noChangeArrowheads="1"/>
        </xdr:cNvSpPr>
      </xdr:nvSpPr>
      <xdr:spPr bwMode="auto">
        <a:xfrm>
          <a:off x="3901109" y="543413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39" name="Text Box 19">
          <a:extLst>
            <a:ext uri="{FF2B5EF4-FFF2-40B4-BE49-F238E27FC236}">
              <a16:creationId xmlns:a16="http://schemas.microsoft.com/office/drawing/2014/main" id="{00000000-0008-0000-0100-0000CB060000}"/>
            </a:ext>
          </a:extLst>
        </xdr:cNvPr>
        <xdr:cNvSpPr txBox="1">
          <a:spLocks noChangeArrowheads="1"/>
        </xdr:cNvSpPr>
      </xdr:nvSpPr>
      <xdr:spPr bwMode="auto">
        <a:xfrm>
          <a:off x="3901109" y="543413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40" name="Text Box 20">
          <a:extLst>
            <a:ext uri="{FF2B5EF4-FFF2-40B4-BE49-F238E27FC236}">
              <a16:creationId xmlns:a16="http://schemas.microsoft.com/office/drawing/2014/main" id="{00000000-0008-0000-0100-0000CC060000}"/>
            </a:ext>
          </a:extLst>
        </xdr:cNvPr>
        <xdr:cNvSpPr txBox="1">
          <a:spLocks noChangeArrowheads="1"/>
        </xdr:cNvSpPr>
      </xdr:nvSpPr>
      <xdr:spPr bwMode="auto">
        <a:xfrm>
          <a:off x="3901109" y="543413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41" name="Text Box 21">
          <a:extLst>
            <a:ext uri="{FF2B5EF4-FFF2-40B4-BE49-F238E27FC236}">
              <a16:creationId xmlns:a16="http://schemas.microsoft.com/office/drawing/2014/main" id="{00000000-0008-0000-0100-0000CD060000}"/>
            </a:ext>
          </a:extLst>
        </xdr:cNvPr>
        <xdr:cNvSpPr txBox="1">
          <a:spLocks noChangeArrowheads="1"/>
        </xdr:cNvSpPr>
      </xdr:nvSpPr>
      <xdr:spPr bwMode="auto">
        <a:xfrm>
          <a:off x="3901109" y="54341367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742" name="Text Box 22">
          <a:extLst>
            <a:ext uri="{FF2B5EF4-FFF2-40B4-BE49-F238E27FC236}">
              <a16:creationId xmlns:a16="http://schemas.microsoft.com/office/drawing/2014/main" id="{00000000-0008-0000-0100-0000CE060000}"/>
            </a:ext>
          </a:extLst>
        </xdr:cNvPr>
        <xdr:cNvSpPr txBox="1">
          <a:spLocks noChangeArrowheads="1"/>
        </xdr:cNvSpPr>
      </xdr:nvSpPr>
      <xdr:spPr bwMode="auto">
        <a:xfrm>
          <a:off x="3901109" y="543413674"/>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43" name="Text Box 7">
          <a:extLst>
            <a:ext uri="{FF2B5EF4-FFF2-40B4-BE49-F238E27FC236}">
              <a16:creationId xmlns:a16="http://schemas.microsoft.com/office/drawing/2014/main" id="{00000000-0008-0000-0100-0000CF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44" name="Text Box 8">
          <a:extLst>
            <a:ext uri="{FF2B5EF4-FFF2-40B4-BE49-F238E27FC236}">
              <a16:creationId xmlns:a16="http://schemas.microsoft.com/office/drawing/2014/main" id="{00000000-0008-0000-0100-0000D0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45" name="Text Box 9">
          <a:extLst>
            <a:ext uri="{FF2B5EF4-FFF2-40B4-BE49-F238E27FC236}">
              <a16:creationId xmlns:a16="http://schemas.microsoft.com/office/drawing/2014/main" id="{00000000-0008-0000-0100-0000D1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46" name="Text Box 10">
          <a:extLst>
            <a:ext uri="{FF2B5EF4-FFF2-40B4-BE49-F238E27FC236}">
              <a16:creationId xmlns:a16="http://schemas.microsoft.com/office/drawing/2014/main" id="{00000000-0008-0000-0100-0000D2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47" name="Text Box 11">
          <a:extLst>
            <a:ext uri="{FF2B5EF4-FFF2-40B4-BE49-F238E27FC236}">
              <a16:creationId xmlns:a16="http://schemas.microsoft.com/office/drawing/2014/main" id="{00000000-0008-0000-0100-0000D3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48" name="Text Box 12">
          <a:extLst>
            <a:ext uri="{FF2B5EF4-FFF2-40B4-BE49-F238E27FC236}">
              <a16:creationId xmlns:a16="http://schemas.microsoft.com/office/drawing/2014/main" id="{00000000-0008-0000-0100-0000D4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49" name="Text Box 13">
          <a:extLst>
            <a:ext uri="{FF2B5EF4-FFF2-40B4-BE49-F238E27FC236}">
              <a16:creationId xmlns:a16="http://schemas.microsoft.com/office/drawing/2014/main" id="{00000000-0008-0000-0100-0000D5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750" name="Text Box 14">
          <a:extLst>
            <a:ext uri="{FF2B5EF4-FFF2-40B4-BE49-F238E27FC236}">
              <a16:creationId xmlns:a16="http://schemas.microsoft.com/office/drawing/2014/main" id="{00000000-0008-0000-0100-0000D6060000}"/>
            </a:ext>
          </a:extLst>
        </xdr:cNvPr>
        <xdr:cNvSpPr txBox="1">
          <a:spLocks noChangeArrowheads="1"/>
        </xdr:cNvSpPr>
      </xdr:nvSpPr>
      <xdr:spPr bwMode="auto">
        <a:xfrm>
          <a:off x="3901109" y="543413674"/>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751" name="Text Box 15">
          <a:extLst>
            <a:ext uri="{FF2B5EF4-FFF2-40B4-BE49-F238E27FC236}">
              <a16:creationId xmlns:a16="http://schemas.microsoft.com/office/drawing/2014/main" id="{00000000-0008-0000-0100-0000D7060000}"/>
            </a:ext>
          </a:extLst>
        </xdr:cNvPr>
        <xdr:cNvSpPr txBox="1">
          <a:spLocks noChangeArrowheads="1"/>
        </xdr:cNvSpPr>
      </xdr:nvSpPr>
      <xdr:spPr bwMode="auto">
        <a:xfrm>
          <a:off x="3901109" y="54341367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52" name="Text Box 5">
          <a:extLst>
            <a:ext uri="{FF2B5EF4-FFF2-40B4-BE49-F238E27FC236}">
              <a16:creationId xmlns:a16="http://schemas.microsoft.com/office/drawing/2014/main" id="{00000000-0008-0000-0100-0000D8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753" name="Text Box 6">
          <a:extLst>
            <a:ext uri="{FF2B5EF4-FFF2-40B4-BE49-F238E27FC236}">
              <a16:creationId xmlns:a16="http://schemas.microsoft.com/office/drawing/2014/main" id="{00000000-0008-0000-0100-0000D9060000}"/>
            </a:ext>
          </a:extLst>
        </xdr:cNvPr>
        <xdr:cNvSpPr txBox="1">
          <a:spLocks noChangeArrowheads="1"/>
        </xdr:cNvSpPr>
      </xdr:nvSpPr>
      <xdr:spPr bwMode="auto">
        <a:xfrm>
          <a:off x="3901109" y="543413674"/>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54" name="Text Box 7">
          <a:extLst>
            <a:ext uri="{FF2B5EF4-FFF2-40B4-BE49-F238E27FC236}">
              <a16:creationId xmlns:a16="http://schemas.microsoft.com/office/drawing/2014/main" id="{00000000-0008-0000-0100-0000DA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55" name="Text Box 8">
          <a:extLst>
            <a:ext uri="{FF2B5EF4-FFF2-40B4-BE49-F238E27FC236}">
              <a16:creationId xmlns:a16="http://schemas.microsoft.com/office/drawing/2014/main" id="{00000000-0008-0000-0100-0000DB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56" name="Text Box 9">
          <a:extLst>
            <a:ext uri="{FF2B5EF4-FFF2-40B4-BE49-F238E27FC236}">
              <a16:creationId xmlns:a16="http://schemas.microsoft.com/office/drawing/2014/main" id="{00000000-0008-0000-0100-0000DC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57" name="Text Box 10">
          <a:extLst>
            <a:ext uri="{FF2B5EF4-FFF2-40B4-BE49-F238E27FC236}">
              <a16:creationId xmlns:a16="http://schemas.microsoft.com/office/drawing/2014/main" id="{00000000-0008-0000-0100-0000DD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58" name="Text Box 11">
          <a:extLst>
            <a:ext uri="{FF2B5EF4-FFF2-40B4-BE49-F238E27FC236}">
              <a16:creationId xmlns:a16="http://schemas.microsoft.com/office/drawing/2014/main" id="{00000000-0008-0000-0100-0000DE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59" name="Text Box 12">
          <a:extLst>
            <a:ext uri="{FF2B5EF4-FFF2-40B4-BE49-F238E27FC236}">
              <a16:creationId xmlns:a16="http://schemas.microsoft.com/office/drawing/2014/main" id="{00000000-0008-0000-0100-0000DF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60" name="Text Box 13">
          <a:extLst>
            <a:ext uri="{FF2B5EF4-FFF2-40B4-BE49-F238E27FC236}">
              <a16:creationId xmlns:a16="http://schemas.microsoft.com/office/drawing/2014/main" id="{00000000-0008-0000-0100-0000E0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761" name="Text Box 14">
          <a:extLst>
            <a:ext uri="{FF2B5EF4-FFF2-40B4-BE49-F238E27FC236}">
              <a16:creationId xmlns:a16="http://schemas.microsoft.com/office/drawing/2014/main" id="{00000000-0008-0000-0100-0000E1060000}"/>
            </a:ext>
          </a:extLst>
        </xdr:cNvPr>
        <xdr:cNvSpPr txBox="1">
          <a:spLocks noChangeArrowheads="1"/>
        </xdr:cNvSpPr>
      </xdr:nvSpPr>
      <xdr:spPr bwMode="auto">
        <a:xfrm>
          <a:off x="3901109" y="543413674"/>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62" name="Text Box 15">
          <a:extLst>
            <a:ext uri="{FF2B5EF4-FFF2-40B4-BE49-F238E27FC236}">
              <a16:creationId xmlns:a16="http://schemas.microsoft.com/office/drawing/2014/main" id="{00000000-0008-0000-0100-0000E2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63" name="Text Box 16">
          <a:extLst>
            <a:ext uri="{FF2B5EF4-FFF2-40B4-BE49-F238E27FC236}">
              <a16:creationId xmlns:a16="http://schemas.microsoft.com/office/drawing/2014/main" id="{00000000-0008-0000-0100-0000E3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64" name="Text Box 17">
          <a:extLst>
            <a:ext uri="{FF2B5EF4-FFF2-40B4-BE49-F238E27FC236}">
              <a16:creationId xmlns:a16="http://schemas.microsoft.com/office/drawing/2014/main" id="{00000000-0008-0000-0100-0000E4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65" name="Text Box 18">
          <a:extLst>
            <a:ext uri="{FF2B5EF4-FFF2-40B4-BE49-F238E27FC236}">
              <a16:creationId xmlns:a16="http://schemas.microsoft.com/office/drawing/2014/main" id="{00000000-0008-0000-0100-0000E5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66" name="Text Box 19">
          <a:extLst>
            <a:ext uri="{FF2B5EF4-FFF2-40B4-BE49-F238E27FC236}">
              <a16:creationId xmlns:a16="http://schemas.microsoft.com/office/drawing/2014/main" id="{00000000-0008-0000-0100-0000E6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67" name="Text Box 20">
          <a:extLst>
            <a:ext uri="{FF2B5EF4-FFF2-40B4-BE49-F238E27FC236}">
              <a16:creationId xmlns:a16="http://schemas.microsoft.com/office/drawing/2014/main" id="{00000000-0008-0000-0100-0000E7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68" name="Text Box 21">
          <a:extLst>
            <a:ext uri="{FF2B5EF4-FFF2-40B4-BE49-F238E27FC236}">
              <a16:creationId xmlns:a16="http://schemas.microsoft.com/office/drawing/2014/main" id="{00000000-0008-0000-0100-0000E8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769" name="Text Box 22">
          <a:extLst>
            <a:ext uri="{FF2B5EF4-FFF2-40B4-BE49-F238E27FC236}">
              <a16:creationId xmlns:a16="http://schemas.microsoft.com/office/drawing/2014/main" id="{00000000-0008-0000-0100-0000E9060000}"/>
            </a:ext>
          </a:extLst>
        </xdr:cNvPr>
        <xdr:cNvSpPr txBox="1">
          <a:spLocks noChangeArrowheads="1"/>
        </xdr:cNvSpPr>
      </xdr:nvSpPr>
      <xdr:spPr bwMode="auto">
        <a:xfrm>
          <a:off x="3901109" y="543413674"/>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70" name="Text Box 7">
          <a:extLst>
            <a:ext uri="{FF2B5EF4-FFF2-40B4-BE49-F238E27FC236}">
              <a16:creationId xmlns:a16="http://schemas.microsoft.com/office/drawing/2014/main" id="{00000000-0008-0000-0100-0000EA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71" name="Text Box 8">
          <a:extLst>
            <a:ext uri="{FF2B5EF4-FFF2-40B4-BE49-F238E27FC236}">
              <a16:creationId xmlns:a16="http://schemas.microsoft.com/office/drawing/2014/main" id="{00000000-0008-0000-0100-0000EB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72" name="Text Box 9">
          <a:extLst>
            <a:ext uri="{FF2B5EF4-FFF2-40B4-BE49-F238E27FC236}">
              <a16:creationId xmlns:a16="http://schemas.microsoft.com/office/drawing/2014/main" id="{00000000-0008-0000-0100-0000EC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73" name="Text Box 10">
          <a:extLst>
            <a:ext uri="{FF2B5EF4-FFF2-40B4-BE49-F238E27FC236}">
              <a16:creationId xmlns:a16="http://schemas.microsoft.com/office/drawing/2014/main" id="{00000000-0008-0000-0100-0000ED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74" name="Text Box 11">
          <a:extLst>
            <a:ext uri="{FF2B5EF4-FFF2-40B4-BE49-F238E27FC236}">
              <a16:creationId xmlns:a16="http://schemas.microsoft.com/office/drawing/2014/main" id="{00000000-0008-0000-0100-0000EE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75" name="Text Box 12">
          <a:extLst>
            <a:ext uri="{FF2B5EF4-FFF2-40B4-BE49-F238E27FC236}">
              <a16:creationId xmlns:a16="http://schemas.microsoft.com/office/drawing/2014/main" id="{00000000-0008-0000-0100-0000EF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776" name="Text Box 13">
          <a:extLst>
            <a:ext uri="{FF2B5EF4-FFF2-40B4-BE49-F238E27FC236}">
              <a16:creationId xmlns:a16="http://schemas.microsoft.com/office/drawing/2014/main" id="{00000000-0008-0000-0100-0000F0060000}"/>
            </a:ext>
          </a:extLst>
        </xdr:cNvPr>
        <xdr:cNvSpPr txBox="1">
          <a:spLocks noChangeArrowheads="1"/>
        </xdr:cNvSpPr>
      </xdr:nvSpPr>
      <xdr:spPr bwMode="auto">
        <a:xfrm>
          <a:off x="3901109" y="54341367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777" name="Text Box 14">
          <a:extLst>
            <a:ext uri="{FF2B5EF4-FFF2-40B4-BE49-F238E27FC236}">
              <a16:creationId xmlns:a16="http://schemas.microsoft.com/office/drawing/2014/main" id="{00000000-0008-0000-0100-0000F1060000}"/>
            </a:ext>
          </a:extLst>
        </xdr:cNvPr>
        <xdr:cNvSpPr txBox="1">
          <a:spLocks noChangeArrowheads="1"/>
        </xdr:cNvSpPr>
      </xdr:nvSpPr>
      <xdr:spPr bwMode="auto">
        <a:xfrm>
          <a:off x="3901109" y="543413674"/>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778" name="Text Box 5">
          <a:extLst>
            <a:ext uri="{FF2B5EF4-FFF2-40B4-BE49-F238E27FC236}">
              <a16:creationId xmlns:a16="http://schemas.microsoft.com/office/drawing/2014/main" id="{00000000-0008-0000-0100-0000F2060000}"/>
            </a:ext>
          </a:extLst>
        </xdr:cNvPr>
        <xdr:cNvSpPr txBox="1">
          <a:spLocks noChangeArrowheads="1"/>
        </xdr:cNvSpPr>
      </xdr:nvSpPr>
      <xdr:spPr bwMode="auto">
        <a:xfrm>
          <a:off x="3901109" y="543413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779" name="Text Box 6">
          <a:extLst>
            <a:ext uri="{FF2B5EF4-FFF2-40B4-BE49-F238E27FC236}">
              <a16:creationId xmlns:a16="http://schemas.microsoft.com/office/drawing/2014/main" id="{00000000-0008-0000-0100-0000F3060000}"/>
            </a:ext>
          </a:extLst>
        </xdr:cNvPr>
        <xdr:cNvSpPr txBox="1">
          <a:spLocks noChangeArrowheads="1"/>
        </xdr:cNvSpPr>
      </xdr:nvSpPr>
      <xdr:spPr bwMode="auto">
        <a:xfrm>
          <a:off x="3901109" y="543413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780" name="Text Box 7">
          <a:extLst>
            <a:ext uri="{FF2B5EF4-FFF2-40B4-BE49-F238E27FC236}">
              <a16:creationId xmlns:a16="http://schemas.microsoft.com/office/drawing/2014/main" id="{00000000-0008-0000-0100-0000F4060000}"/>
            </a:ext>
          </a:extLst>
        </xdr:cNvPr>
        <xdr:cNvSpPr txBox="1">
          <a:spLocks noChangeArrowheads="1"/>
        </xdr:cNvSpPr>
      </xdr:nvSpPr>
      <xdr:spPr bwMode="auto">
        <a:xfrm>
          <a:off x="3901109" y="543413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781" name="Text Box 8">
          <a:extLst>
            <a:ext uri="{FF2B5EF4-FFF2-40B4-BE49-F238E27FC236}">
              <a16:creationId xmlns:a16="http://schemas.microsoft.com/office/drawing/2014/main" id="{00000000-0008-0000-0100-0000F5060000}"/>
            </a:ext>
          </a:extLst>
        </xdr:cNvPr>
        <xdr:cNvSpPr txBox="1">
          <a:spLocks noChangeArrowheads="1"/>
        </xdr:cNvSpPr>
      </xdr:nvSpPr>
      <xdr:spPr bwMode="auto">
        <a:xfrm>
          <a:off x="3901109" y="543413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782" name="Text Box 9">
          <a:extLst>
            <a:ext uri="{FF2B5EF4-FFF2-40B4-BE49-F238E27FC236}">
              <a16:creationId xmlns:a16="http://schemas.microsoft.com/office/drawing/2014/main" id="{00000000-0008-0000-0100-0000F6060000}"/>
            </a:ext>
          </a:extLst>
        </xdr:cNvPr>
        <xdr:cNvSpPr txBox="1">
          <a:spLocks noChangeArrowheads="1"/>
        </xdr:cNvSpPr>
      </xdr:nvSpPr>
      <xdr:spPr bwMode="auto">
        <a:xfrm>
          <a:off x="3901109" y="543413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783" name="Text Box 10">
          <a:extLst>
            <a:ext uri="{FF2B5EF4-FFF2-40B4-BE49-F238E27FC236}">
              <a16:creationId xmlns:a16="http://schemas.microsoft.com/office/drawing/2014/main" id="{00000000-0008-0000-0100-0000F7060000}"/>
            </a:ext>
          </a:extLst>
        </xdr:cNvPr>
        <xdr:cNvSpPr txBox="1">
          <a:spLocks noChangeArrowheads="1"/>
        </xdr:cNvSpPr>
      </xdr:nvSpPr>
      <xdr:spPr bwMode="auto">
        <a:xfrm>
          <a:off x="3901109" y="543413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784" name="Text Box 11">
          <a:extLst>
            <a:ext uri="{FF2B5EF4-FFF2-40B4-BE49-F238E27FC236}">
              <a16:creationId xmlns:a16="http://schemas.microsoft.com/office/drawing/2014/main" id="{00000000-0008-0000-0100-0000F8060000}"/>
            </a:ext>
          </a:extLst>
        </xdr:cNvPr>
        <xdr:cNvSpPr txBox="1">
          <a:spLocks noChangeArrowheads="1"/>
        </xdr:cNvSpPr>
      </xdr:nvSpPr>
      <xdr:spPr bwMode="auto">
        <a:xfrm>
          <a:off x="3901109" y="543413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785" name="Text Box 12">
          <a:extLst>
            <a:ext uri="{FF2B5EF4-FFF2-40B4-BE49-F238E27FC236}">
              <a16:creationId xmlns:a16="http://schemas.microsoft.com/office/drawing/2014/main" id="{00000000-0008-0000-0100-0000F9060000}"/>
            </a:ext>
          </a:extLst>
        </xdr:cNvPr>
        <xdr:cNvSpPr txBox="1">
          <a:spLocks noChangeArrowheads="1"/>
        </xdr:cNvSpPr>
      </xdr:nvSpPr>
      <xdr:spPr bwMode="auto">
        <a:xfrm>
          <a:off x="3901109" y="54341367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786" name="Text Box 1">
          <a:extLst>
            <a:ext uri="{FF2B5EF4-FFF2-40B4-BE49-F238E27FC236}">
              <a16:creationId xmlns:a16="http://schemas.microsoft.com/office/drawing/2014/main" id="{00000000-0008-0000-0100-0000FA060000}"/>
            </a:ext>
          </a:extLst>
        </xdr:cNvPr>
        <xdr:cNvSpPr txBox="1">
          <a:spLocks noChangeArrowheads="1"/>
        </xdr:cNvSpPr>
      </xdr:nvSpPr>
      <xdr:spPr bwMode="auto">
        <a:xfrm>
          <a:off x="4580283" y="54341367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787" name="Text Box 1">
          <a:extLst>
            <a:ext uri="{FF2B5EF4-FFF2-40B4-BE49-F238E27FC236}">
              <a16:creationId xmlns:a16="http://schemas.microsoft.com/office/drawing/2014/main" id="{00000000-0008-0000-0100-0000FB060000}"/>
            </a:ext>
          </a:extLst>
        </xdr:cNvPr>
        <xdr:cNvSpPr txBox="1">
          <a:spLocks noChangeArrowheads="1"/>
        </xdr:cNvSpPr>
      </xdr:nvSpPr>
      <xdr:spPr bwMode="auto">
        <a:xfrm>
          <a:off x="4580283" y="54341367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788" name="Text Box 1">
          <a:extLst>
            <a:ext uri="{FF2B5EF4-FFF2-40B4-BE49-F238E27FC236}">
              <a16:creationId xmlns:a16="http://schemas.microsoft.com/office/drawing/2014/main" id="{00000000-0008-0000-0100-0000FC060000}"/>
            </a:ext>
          </a:extLst>
        </xdr:cNvPr>
        <xdr:cNvSpPr txBox="1">
          <a:spLocks noChangeArrowheads="1"/>
        </xdr:cNvSpPr>
      </xdr:nvSpPr>
      <xdr:spPr bwMode="auto">
        <a:xfrm>
          <a:off x="4580283" y="54341367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789" name="Text Box 1">
          <a:extLst>
            <a:ext uri="{FF2B5EF4-FFF2-40B4-BE49-F238E27FC236}">
              <a16:creationId xmlns:a16="http://schemas.microsoft.com/office/drawing/2014/main" id="{00000000-0008-0000-0100-0000FD060000}"/>
            </a:ext>
          </a:extLst>
        </xdr:cNvPr>
        <xdr:cNvSpPr txBox="1">
          <a:spLocks noChangeArrowheads="1"/>
        </xdr:cNvSpPr>
      </xdr:nvSpPr>
      <xdr:spPr bwMode="auto">
        <a:xfrm>
          <a:off x="4580283" y="54341367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90" name="Text Box 5">
          <a:extLst>
            <a:ext uri="{FF2B5EF4-FFF2-40B4-BE49-F238E27FC236}">
              <a16:creationId xmlns:a16="http://schemas.microsoft.com/office/drawing/2014/main" id="{00000000-0008-0000-0100-0000FE060000}"/>
            </a:ext>
          </a:extLst>
        </xdr:cNvPr>
        <xdr:cNvSpPr txBox="1">
          <a:spLocks noChangeArrowheads="1"/>
        </xdr:cNvSpPr>
      </xdr:nvSpPr>
      <xdr:spPr bwMode="auto">
        <a:xfrm>
          <a:off x="3901109" y="554147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791" name="Text Box 6">
          <a:extLst>
            <a:ext uri="{FF2B5EF4-FFF2-40B4-BE49-F238E27FC236}">
              <a16:creationId xmlns:a16="http://schemas.microsoft.com/office/drawing/2014/main" id="{00000000-0008-0000-0100-0000FF060000}"/>
            </a:ext>
          </a:extLst>
        </xdr:cNvPr>
        <xdr:cNvSpPr txBox="1">
          <a:spLocks noChangeArrowheads="1"/>
        </xdr:cNvSpPr>
      </xdr:nvSpPr>
      <xdr:spPr bwMode="auto">
        <a:xfrm>
          <a:off x="3901109" y="554147935"/>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92" name="Text Box 16">
          <a:extLst>
            <a:ext uri="{FF2B5EF4-FFF2-40B4-BE49-F238E27FC236}">
              <a16:creationId xmlns:a16="http://schemas.microsoft.com/office/drawing/2014/main" id="{00000000-0008-0000-0100-000000070000}"/>
            </a:ext>
          </a:extLst>
        </xdr:cNvPr>
        <xdr:cNvSpPr txBox="1">
          <a:spLocks noChangeArrowheads="1"/>
        </xdr:cNvSpPr>
      </xdr:nvSpPr>
      <xdr:spPr bwMode="auto">
        <a:xfrm>
          <a:off x="3901109" y="554147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93" name="Text Box 17">
          <a:extLst>
            <a:ext uri="{FF2B5EF4-FFF2-40B4-BE49-F238E27FC236}">
              <a16:creationId xmlns:a16="http://schemas.microsoft.com/office/drawing/2014/main" id="{00000000-0008-0000-0100-000001070000}"/>
            </a:ext>
          </a:extLst>
        </xdr:cNvPr>
        <xdr:cNvSpPr txBox="1">
          <a:spLocks noChangeArrowheads="1"/>
        </xdr:cNvSpPr>
      </xdr:nvSpPr>
      <xdr:spPr bwMode="auto">
        <a:xfrm>
          <a:off x="3901109" y="554147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94" name="Text Box 18">
          <a:extLst>
            <a:ext uri="{FF2B5EF4-FFF2-40B4-BE49-F238E27FC236}">
              <a16:creationId xmlns:a16="http://schemas.microsoft.com/office/drawing/2014/main" id="{00000000-0008-0000-0100-000002070000}"/>
            </a:ext>
          </a:extLst>
        </xdr:cNvPr>
        <xdr:cNvSpPr txBox="1">
          <a:spLocks noChangeArrowheads="1"/>
        </xdr:cNvSpPr>
      </xdr:nvSpPr>
      <xdr:spPr bwMode="auto">
        <a:xfrm>
          <a:off x="3901109" y="554147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95" name="Text Box 19">
          <a:extLst>
            <a:ext uri="{FF2B5EF4-FFF2-40B4-BE49-F238E27FC236}">
              <a16:creationId xmlns:a16="http://schemas.microsoft.com/office/drawing/2014/main" id="{00000000-0008-0000-0100-000003070000}"/>
            </a:ext>
          </a:extLst>
        </xdr:cNvPr>
        <xdr:cNvSpPr txBox="1">
          <a:spLocks noChangeArrowheads="1"/>
        </xdr:cNvSpPr>
      </xdr:nvSpPr>
      <xdr:spPr bwMode="auto">
        <a:xfrm>
          <a:off x="3901109" y="554147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96" name="Text Box 20">
          <a:extLst>
            <a:ext uri="{FF2B5EF4-FFF2-40B4-BE49-F238E27FC236}">
              <a16:creationId xmlns:a16="http://schemas.microsoft.com/office/drawing/2014/main" id="{00000000-0008-0000-0100-000004070000}"/>
            </a:ext>
          </a:extLst>
        </xdr:cNvPr>
        <xdr:cNvSpPr txBox="1">
          <a:spLocks noChangeArrowheads="1"/>
        </xdr:cNvSpPr>
      </xdr:nvSpPr>
      <xdr:spPr bwMode="auto">
        <a:xfrm>
          <a:off x="3901109" y="554147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797" name="Text Box 21">
          <a:extLst>
            <a:ext uri="{FF2B5EF4-FFF2-40B4-BE49-F238E27FC236}">
              <a16:creationId xmlns:a16="http://schemas.microsoft.com/office/drawing/2014/main" id="{00000000-0008-0000-0100-000005070000}"/>
            </a:ext>
          </a:extLst>
        </xdr:cNvPr>
        <xdr:cNvSpPr txBox="1">
          <a:spLocks noChangeArrowheads="1"/>
        </xdr:cNvSpPr>
      </xdr:nvSpPr>
      <xdr:spPr bwMode="auto">
        <a:xfrm>
          <a:off x="3901109" y="55414793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798" name="Text Box 22">
          <a:extLst>
            <a:ext uri="{FF2B5EF4-FFF2-40B4-BE49-F238E27FC236}">
              <a16:creationId xmlns:a16="http://schemas.microsoft.com/office/drawing/2014/main" id="{00000000-0008-0000-0100-000006070000}"/>
            </a:ext>
          </a:extLst>
        </xdr:cNvPr>
        <xdr:cNvSpPr txBox="1">
          <a:spLocks noChangeArrowheads="1"/>
        </xdr:cNvSpPr>
      </xdr:nvSpPr>
      <xdr:spPr bwMode="auto">
        <a:xfrm>
          <a:off x="3901109" y="554147935"/>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799" name="Text Box 1">
          <a:extLst>
            <a:ext uri="{FF2B5EF4-FFF2-40B4-BE49-F238E27FC236}">
              <a16:creationId xmlns:a16="http://schemas.microsoft.com/office/drawing/2014/main" id="{00000000-0008-0000-0100-000007070000}"/>
            </a:ext>
          </a:extLst>
        </xdr:cNvPr>
        <xdr:cNvSpPr txBox="1">
          <a:spLocks noChangeArrowheads="1"/>
        </xdr:cNvSpPr>
      </xdr:nvSpPr>
      <xdr:spPr bwMode="auto">
        <a:xfrm>
          <a:off x="4580283" y="5541479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800" name="Text Box 1">
          <a:extLst>
            <a:ext uri="{FF2B5EF4-FFF2-40B4-BE49-F238E27FC236}">
              <a16:creationId xmlns:a16="http://schemas.microsoft.com/office/drawing/2014/main" id="{00000000-0008-0000-0100-000008070000}"/>
            </a:ext>
          </a:extLst>
        </xdr:cNvPr>
        <xdr:cNvSpPr txBox="1">
          <a:spLocks noChangeArrowheads="1"/>
        </xdr:cNvSpPr>
      </xdr:nvSpPr>
      <xdr:spPr bwMode="auto">
        <a:xfrm>
          <a:off x="4580283" y="5541479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801" name="Text Box 1">
          <a:extLst>
            <a:ext uri="{FF2B5EF4-FFF2-40B4-BE49-F238E27FC236}">
              <a16:creationId xmlns:a16="http://schemas.microsoft.com/office/drawing/2014/main" id="{00000000-0008-0000-0100-000009070000}"/>
            </a:ext>
          </a:extLst>
        </xdr:cNvPr>
        <xdr:cNvSpPr txBox="1">
          <a:spLocks noChangeArrowheads="1"/>
        </xdr:cNvSpPr>
      </xdr:nvSpPr>
      <xdr:spPr bwMode="auto">
        <a:xfrm>
          <a:off x="4580283" y="5541479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802" name="Text Box 1">
          <a:extLst>
            <a:ext uri="{FF2B5EF4-FFF2-40B4-BE49-F238E27FC236}">
              <a16:creationId xmlns:a16="http://schemas.microsoft.com/office/drawing/2014/main" id="{00000000-0008-0000-0100-00000A070000}"/>
            </a:ext>
          </a:extLst>
        </xdr:cNvPr>
        <xdr:cNvSpPr txBox="1">
          <a:spLocks noChangeArrowheads="1"/>
        </xdr:cNvSpPr>
      </xdr:nvSpPr>
      <xdr:spPr bwMode="auto">
        <a:xfrm>
          <a:off x="4580283" y="55414793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03" name="Text Box 5">
          <a:extLst>
            <a:ext uri="{FF2B5EF4-FFF2-40B4-BE49-F238E27FC236}">
              <a16:creationId xmlns:a16="http://schemas.microsoft.com/office/drawing/2014/main" id="{00000000-0008-0000-0100-00000B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04" name="Text Box 6">
          <a:extLst>
            <a:ext uri="{FF2B5EF4-FFF2-40B4-BE49-F238E27FC236}">
              <a16:creationId xmlns:a16="http://schemas.microsoft.com/office/drawing/2014/main" id="{00000000-0008-0000-0100-00000C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05" name="Text Box 7">
          <a:extLst>
            <a:ext uri="{FF2B5EF4-FFF2-40B4-BE49-F238E27FC236}">
              <a16:creationId xmlns:a16="http://schemas.microsoft.com/office/drawing/2014/main" id="{00000000-0008-0000-0100-00000D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06" name="Text Box 8">
          <a:extLst>
            <a:ext uri="{FF2B5EF4-FFF2-40B4-BE49-F238E27FC236}">
              <a16:creationId xmlns:a16="http://schemas.microsoft.com/office/drawing/2014/main" id="{00000000-0008-0000-0100-00000E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07" name="Text Box 9">
          <a:extLst>
            <a:ext uri="{FF2B5EF4-FFF2-40B4-BE49-F238E27FC236}">
              <a16:creationId xmlns:a16="http://schemas.microsoft.com/office/drawing/2014/main" id="{00000000-0008-0000-0100-00000F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08" name="Text Box 10">
          <a:extLst>
            <a:ext uri="{FF2B5EF4-FFF2-40B4-BE49-F238E27FC236}">
              <a16:creationId xmlns:a16="http://schemas.microsoft.com/office/drawing/2014/main" id="{00000000-0008-0000-0100-000010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09" name="Text Box 11">
          <a:extLst>
            <a:ext uri="{FF2B5EF4-FFF2-40B4-BE49-F238E27FC236}">
              <a16:creationId xmlns:a16="http://schemas.microsoft.com/office/drawing/2014/main" id="{00000000-0008-0000-0100-000011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0" name="Text Box 12">
          <a:extLst>
            <a:ext uri="{FF2B5EF4-FFF2-40B4-BE49-F238E27FC236}">
              <a16:creationId xmlns:a16="http://schemas.microsoft.com/office/drawing/2014/main" id="{00000000-0008-0000-0100-000012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1" name="Text Box 13">
          <a:extLst>
            <a:ext uri="{FF2B5EF4-FFF2-40B4-BE49-F238E27FC236}">
              <a16:creationId xmlns:a16="http://schemas.microsoft.com/office/drawing/2014/main" id="{00000000-0008-0000-0100-000013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812" name="Text Box 14">
          <a:extLst>
            <a:ext uri="{FF2B5EF4-FFF2-40B4-BE49-F238E27FC236}">
              <a16:creationId xmlns:a16="http://schemas.microsoft.com/office/drawing/2014/main" id="{00000000-0008-0000-0100-000014070000}"/>
            </a:ext>
          </a:extLst>
        </xdr:cNvPr>
        <xdr:cNvSpPr txBox="1">
          <a:spLocks noChangeArrowheads="1"/>
        </xdr:cNvSpPr>
      </xdr:nvSpPr>
      <xdr:spPr bwMode="auto">
        <a:xfrm>
          <a:off x="3901109" y="564882196"/>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3" name="Text Box 15">
          <a:extLst>
            <a:ext uri="{FF2B5EF4-FFF2-40B4-BE49-F238E27FC236}">
              <a16:creationId xmlns:a16="http://schemas.microsoft.com/office/drawing/2014/main" id="{00000000-0008-0000-0100-000015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4" name="Text Box 16">
          <a:extLst>
            <a:ext uri="{FF2B5EF4-FFF2-40B4-BE49-F238E27FC236}">
              <a16:creationId xmlns:a16="http://schemas.microsoft.com/office/drawing/2014/main" id="{00000000-0008-0000-0100-000016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5" name="Text Box 17">
          <a:extLst>
            <a:ext uri="{FF2B5EF4-FFF2-40B4-BE49-F238E27FC236}">
              <a16:creationId xmlns:a16="http://schemas.microsoft.com/office/drawing/2014/main" id="{00000000-0008-0000-0100-000017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6" name="Text Box 18">
          <a:extLst>
            <a:ext uri="{FF2B5EF4-FFF2-40B4-BE49-F238E27FC236}">
              <a16:creationId xmlns:a16="http://schemas.microsoft.com/office/drawing/2014/main" id="{00000000-0008-0000-0100-000018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7" name="Text Box 19">
          <a:extLst>
            <a:ext uri="{FF2B5EF4-FFF2-40B4-BE49-F238E27FC236}">
              <a16:creationId xmlns:a16="http://schemas.microsoft.com/office/drawing/2014/main" id="{00000000-0008-0000-0100-000019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8" name="Text Box 20">
          <a:extLst>
            <a:ext uri="{FF2B5EF4-FFF2-40B4-BE49-F238E27FC236}">
              <a16:creationId xmlns:a16="http://schemas.microsoft.com/office/drawing/2014/main" id="{00000000-0008-0000-0100-00001A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19" name="Text Box 21">
          <a:extLst>
            <a:ext uri="{FF2B5EF4-FFF2-40B4-BE49-F238E27FC236}">
              <a16:creationId xmlns:a16="http://schemas.microsoft.com/office/drawing/2014/main" id="{00000000-0008-0000-0100-00001B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0" name="Text Box 22">
          <a:extLst>
            <a:ext uri="{FF2B5EF4-FFF2-40B4-BE49-F238E27FC236}">
              <a16:creationId xmlns:a16="http://schemas.microsoft.com/office/drawing/2014/main" id="{00000000-0008-0000-0100-00001C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1" name="Text Box 7">
          <a:extLst>
            <a:ext uri="{FF2B5EF4-FFF2-40B4-BE49-F238E27FC236}">
              <a16:creationId xmlns:a16="http://schemas.microsoft.com/office/drawing/2014/main" id="{00000000-0008-0000-0100-00001D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2" name="Text Box 8">
          <a:extLst>
            <a:ext uri="{FF2B5EF4-FFF2-40B4-BE49-F238E27FC236}">
              <a16:creationId xmlns:a16="http://schemas.microsoft.com/office/drawing/2014/main" id="{00000000-0008-0000-0100-00001E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3" name="Text Box 9">
          <a:extLst>
            <a:ext uri="{FF2B5EF4-FFF2-40B4-BE49-F238E27FC236}">
              <a16:creationId xmlns:a16="http://schemas.microsoft.com/office/drawing/2014/main" id="{00000000-0008-0000-0100-00001F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4" name="Text Box 10">
          <a:extLst>
            <a:ext uri="{FF2B5EF4-FFF2-40B4-BE49-F238E27FC236}">
              <a16:creationId xmlns:a16="http://schemas.microsoft.com/office/drawing/2014/main" id="{00000000-0008-0000-0100-000020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5" name="Text Box 11">
          <a:extLst>
            <a:ext uri="{FF2B5EF4-FFF2-40B4-BE49-F238E27FC236}">
              <a16:creationId xmlns:a16="http://schemas.microsoft.com/office/drawing/2014/main" id="{00000000-0008-0000-0100-000021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6" name="Text Box 12">
          <a:extLst>
            <a:ext uri="{FF2B5EF4-FFF2-40B4-BE49-F238E27FC236}">
              <a16:creationId xmlns:a16="http://schemas.microsoft.com/office/drawing/2014/main" id="{00000000-0008-0000-0100-000022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7" name="Text Box 13">
          <a:extLst>
            <a:ext uri="{FF2B5EF4-FFF2-40B4-BE49-F238E27FC236}">
              <a16:creationId xmlns:a16="http://schemas.microsoft.com/office/drawing/2014/main" id="{00000000-0008-0000-0100-000023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828" name="Text Box 14">
          <a:extLst>
            <a:ext uri="{FF2B5EF4-FFF2-40B4-BE49-F238E27FC236}">
              <a16:creationId xmlns:a16="http://schemas.microsoft.com/office/drawing/2014/main" id="{00000000-0008-0000-0100-000024070000}"/>
            </a:ext>
          </a:extLst>
        </xdr:cNvPr>
        <xdr:cNvSpPr txBox="1">
          <a:spLocks noChangeArrowheads="1"/>
        </xdr:cNvSpPr>
      </xdr:nvSpPr>
      <xdr:spPr bwMode="auto">
        <a:xfrm>
          <a:off x="3901109" y="564882196"/>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829" name="Text Box 15">
          <a:extLst>
            <a:ext uri="{FF2B5EF4-FFF2-40B4-BE49-F238E27FC236}">
              <a16:creationId xmlns:a16="http://schemas.microsoft.com/office/drawing/2014/main" id="{00000000-0008-0000-0100-000025070000}"/>
            </a:ext>
          </a:extLst>
        </xdr:cNvPr>
        <xdr:cNvSpPr txBox="1">
          <a:spLocks noChangeArrowheads="1"/>
        </xdr:cNvSpPr>
      </xdr:nvSpPr>
      <xdr:spPr bwMode="auto">
        <a:xfrm>
          <a:off x="3901109" y="56488219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30" name="Text Box 5">
          <a:extLst>
            <a:ext uri="{FF2B5EF4-FFF2-40B4-BE49-F238E27FC236}">
              <a16:creationId xmlns:a16="http://schemas.microsoft.com/office/drawing/2014/main" id="{00000000-0008-0000-0100-000026070000}"/>
            </a:ext>
          </a:extLst>
        </xdr:cNvPr>
        <xdr:cNvSpPr txBox="1">
          <a:spLocks noChangeArrowheads="1"/>
        </xdr:cNvSpPr>
      </xdr:nvSpPr>
      <xdr:spPr bwMode="auto">
        <a:xfrm>
          <a:off x="3901109" y="5648821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831" name="Text Box 6">
          <a:extLst>
            <a:ext uri="{FF2B5EF4-FFF2-40B4-BE49-F238E27FC236}">
              <a16:creationId xmlns:a16="http://schemas.microsoft.com/office/drawing/2014/main" id="{00000000-0008-0000-0100-000027070000}"/>
            </a:ext>
          </a:extLst>
        </xdr:cNvPr>
        <xdr:cNvSpPr txBox="1">
          <a:spLocks noChangeArrowheads="1"/>
        </xdr:cNvSpPr>
      </xdr:nvSpPr>
      <xdr:spPr bwMode="auto">
        <a:xfrm>
          <a:off x="3901109" y="564882196"/>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32" name="Text Box 7">
          <a:extLst>
            <a:ext uri="{FF2B5EF4-FFF2-40B4-BE49-F238E27FC236}">
              <a16:creationId xmlns:a16="http://schemas.microsoft.com/office/drawing/2014/main" id="{00000000-0008-0000-0100-000028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33" name="Text Box 8">
          <a:extLst>
            <a:ext uri="{FF2B5EF4-FFF2-40B4-BE49-F238E27FC236}">
              <a16:creationId xmlns:a16="http://schemas.microsoft.com/office/drawing/2014/main" id="{00000000-0008-0000-0100-000029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34" name="Text Box 9">
          <a:extLst>
            <a:ext uri="{FF2B5EF4-FFF2-40B4-BE49-F238E27FC236}">
              <a16:creationId xmlns:a16="http://schemas.microsoft.com/office/drawing/2014/main" id="{00000000-0008-0000-0100-00002A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35" name="Text Box 10">
          <a:extLst>
            <a:ext uri="{FF2B5EF4-FFF2-40B4-BE49-F238E27FC236}">
              <a16:creationId xmlns:a16="http://schemas.microsoft.com/office/drawing/2014/main" id="{00000000-0008-0000-0100-00002B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36" name="Text Box 11">
          <a:extLst>
            <a:ext uri="{FF2B5EF4-FFF2-40B4-BE49-F238E27FC236}">
              <a16:creationId xmlns:a16="http://schemas.microsoft.com/office/drawing/2014/main" id="{00000000-0008-0000-0100-00002C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37" name="Text Box 12">
          <a:extLst>
            <a:ext uri="{FF2B5EF4-FFF2-40B4-BE49-F238E27FC236}">
              <a16:creationId xmlns:a16="http://schemas.microsoft.com/office/drawing/2014/main" id="{00000000-0008-0000-0100-00002D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38" name="Text Box 13">
          <a:extLst>
            <a:ext uri="{FF2B5EF4-FFF2-40B4-BE49-F238E27FC236}">
              <a16:creationId xmlns:a16="http://schemas.microsoft.com/office/drawing/2014/main" id="{00000000-0008-0000-0100-00002E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839" name="Text Box 14">
          <a:extLst>
            <a:ext uri="{FF2B5EF4-FFF2-40B4-BE49-F238E27FC236}">
              <a16:creationId xmlns:a16="http://schemas.microsoft.com/office/drawing/2014/main" id="{00000000-0008-0000-0100-00002F070000}"/>
            </a:ext>
          </a:extLst>
        </xdr:cNvPr>
        <xdr:cNvSpPr txBox="1">
          <a:spLocks noChangeArrowheads="1"/>
        </xdr:cNvSpPr>
      </xdr:nvSpPr>
      <xdr:spPr bwMode="auto">
        <a:xfrm>
          <a:off x="3901109" y="564882196"/>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40" name="Text Box 15">
          <a:extLst>
            <a:ext uri="{FF2B5EF4-FFF2-40B4-BE49-F238E27FC236}">
              <a16:creationId xmlns:a16="http://schemas.microsoft.com/office/drawing/2014/main" id="{00000000-0008-0000-0100-000030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41" name="Text Box 16">
          <a:extLst>
            <a:ext uri="{FF2B5EF4-FFF2-40B4-BE49-F238E27FC236}">
              <a16:creationId xmlns:a16="http://schemas.microsoft.com/office/drawing/2014/main" id="{00000000-0008-0000-0100-000031070000}"/>
            </a:ext>
          </a:extLst>
        </xdr:cNvPr>
        <xdr:cNvSpPr txBox="1">
          <a:spLocks noChangeArrowheads="1"/>
        </xdr:cNvSpPr>
      </xdr:nvSpPr>
      <xdr:spPr bwMode="auto">
        <a:xfrm>
          <a:off x="3901109" y="5648821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42" name="Text Box 17">
          <a:extLst>
            <a:ext uri="{FF2B5EF4-FFF2-40B4-BE49-F238E27FC236}">
              <a16:creationId xmlns:a16="http://schemas.microsoft.com/office/drawing/2014/main" id="{00000000-0008-0000-0100-000032070000}"/>
            </a:ext>
          </a:extLst>
        </xdr:cNvPr>
        <xdr:cNvSpPr txBox="1">
          <a:spLocks noChangeArrowheads="1"/>
        </xdr:cNvSpPr>
      </xdr:nvSpPr>
      <xdr:spPr bwMode="auto">
        <a:xfrm>
          <a:off x="3901109" y="5648821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43" name="Text Box 18">
          <a:extLst>
            <a:ext uri="{FF2B5EF4-FFF2-40B4-BE49-F238E27FC236}">
              <a16:creationId xmlns:a16="http://schemas.microsoft.com/office/drawing/2014/main" id="{00000000-0008-0000-0100-000033070000}"/>
            </a:ext>
          </a:extLst>
        </xdr:cNvPr>
        <xdr:cNvSpPr txBox="1">
          <a:spLocks noChangeArrowheads="1"/>
        </xdr:cNvSpPr>
      </xdr:nvSpPr>
      <xdr:spPr bwMode="auto">
        <a:xfrm>
          <a:off x="3901109" y="5648821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44" name="Text Box 19">
          <a:extLst>
            <a:ext uri="{FF2B5EF4-FFF2-40B4-BE49-F238E27FC236}">
              <a16:creationId xmlns:a16="http://schemas.microsoft.com/office/drawing/2014/main" id="{00000000-0008-0000-0100-000034070000}"/>
            </a:ext>
          </a:extLst>
        </xdr:cNvPr>
        <xdr:cNvSpPr txBox="1">
          <a:spLocks noChangeArrowheads="1"/>
        </xdr:cNvSpPr>
      </xdr:nvSpPr>
      <xdr:spPr bwMode="auto">
        <a:xfrm>
          <a:off x="3901109" y="5648821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45" name="Text Box 20">
          <a:extLst>
            <a:ext uri="{FF2B5EF4-FFF2-40B4-BE49-F238E27FC236}">
              <a16:creationId xmlns:a16="http://schemas.microsoft.com/office/drawing/2014/main" id="{00000000-0008-0000-0100-000035070000}"/>
            </a:ext>
          </a:extLst>
        </xdr:cNvPr>
        <xdr:cNvSpPr txBox="1">
          <a:spLocks noChangeArrowheads="1"/>
        </xdr:cNvSpPr>
      </xdr:nvSpPr>
      <xdr:spPr bwMode="auto">
        <a:xfrm>
          <a:off x="3901109" y="5648821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46" name="Text Box 21">
          <a:extLst>
            <a:ext uri="{FF2B5EF4-FFF2-40B4-BE49-F238E27FC236}">
              <a16:creationId xmlns:a16="http://schemas.microsoft.com/office/drawing/2014/main" id="{00000000-0008-0000-0100-000036070000}"/>
            </a:ext>
          </a:extLst>
        </xdr:cNvPr>
        <xdr:cNvSpPr txBox="1">
          <a:spLocks noChangeArrowheads="1"/>
        </xdr:cNvSpPr>
      </xdr:nvSpPr>
      <xdr:spPr bwMode="auto">
        <a:xfrm>
          <a:off x="3901109" y="56488219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847" name="Text Box 22">
          <a:extLst>
            <a:ext uri="{FF2B5EF4-FFF2-40B4-BE49-F238E27FC236}">
              <a16:creationId xmlns:a16="http://schemas.microsoft.com/office/drawing/2014/main" id="{00000000-0008-0000-0100-000037070000}"/>
            </a:ext>
          </a:extLst>
        </xdr:cNvPr>
        <xdr:cNvSpPr txBox="1">
          <a:spLocks noChangeArrowheads="1"/>
        </xdr:cNvSpPr>
      </xdr:nvSpPr>
      <xdr:spPr bwMode="auto">
        <a:xfrm>
          <a:off x="3901109" y="564882196"/>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48" name="Text Box 7">
          <a:extLst>
            <a:ext uri="{FF2B5EF4-FFF2-40B4-BE49-F238E27FC236}">
              <a16:creationId xmlns:a16="http://schemas.microsoft.com/office/drawing/2014/main" id="{00000000-0008-0000-0100-000038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49" name="Text Box 8">
          <a:extLst>
            <a:ext uri="{FF2B5EF4-FFF2-40B4-BE49-F238E27FC236}">
              <a16:creationId xmlns:a16="http://schemas.microsoft.com/office/drawing/2014/main" id="{00000000-0008-0000-0100-000039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50" name="Text Box 9">
          <a:extLst>
            <a:ext uri="{FF2B5EF4-FFF2-40B4-BE49-F238E27FC236}">
              <a16:creationId xmlns:a16="http://schemas.microsoft.com/office/drawing/2014/main" id="{00000000-0008-0000-0100-00003A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51" name="Text Box 10">
          <a:extLst>
            <a:ext uri="{FF2B5EF4-FFF2-40B4-BE49-F238E27FC236}">
              <a16:creationId xmlns:a16="http://schemas.microsoft.com/office/drawing/2014/main" id="{00000000-0008-0000-0100-00003B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52" name="Text Box 11">
          <a:extLst>
            <a:ext uri="{FF2B5EF4-FFF2-40B4-BE49-F238E27FC236}">
              <a16:creationId xmlns:a16="http://schemas.microsoft.com/office/drawing/2014/main" id="{00000000-0008-0000-0100-00003C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53" name="Text Box 12">
          <a:extLst>
            <a:ext uri="{FF2B5EF4-FFF2-40B4-BE49-F238E27FC236}">
              <a16:creationId xmlns:a16="http://schemas.microsoft.com/office/drawing/2014/main" id="{00000000-0008-0000-0100-00003D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54" name="Text Box 13">
          <a:extLst>
            <a:ext uri="{FF2B5EF4-FFF2-40B4-BE49-F238E27FC236}">
              <a16:creationId xmlns:a16="http://schemas.microsoft.com/office/drawing/2014/main" id="{00000000-0008-0000-0100-00003E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855" name="Text Box 14">
          <a:extLst>
            <a:ext uri="{FF2B5EF4-FFF2-40B4-BE49-F238E27FC236}">
              <a16:creationId xmlns:a16="http://schemas.microsoft.com/office/drawing/2014/main" id="{00000000-0008-0000-0100-00003F070000}"/>
            </a:ext>
          </a:extLst>
        </xdr:cNvPr>
        <xdr:cNvSpPr txBox="1">
          <a:spLocks noChangeArrowheads="1"/>
        </xdr:cNvSpPr>
      </xdr:nvSpPr>
      <xdr:spPr bwMode="auto">
        <a:xfrm>
          <a:off x="3901109" y="564882196"/>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856" name="Text Box 15">
          <a:extLst>
            <a:ext uri="{FF2B5EF4-FFF2-40B4-BE49-F238E27FC236}">
              <a16:creationId xmlns:a16="http://schemas.microsoft.com/office/drawing/2014/main" id="{00000000-0008-0000-0100-000040070000}"/>
            </a:ext>
          </a:extLst>
        </xdr:cNvPr>
        <xdr:cNvSpPr txBox="1">
          <a:spLocks noChangeArrowheads="1"/>
        </xdr:cNvSpPr>
      </xdr:nvSpPr>
      <xdr:spPr bwMode="auto">
        <a:xfrm>
          <a:off x="3901109" y="56488219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57" name="Text Box 5">
          <a:extLst>
            <a:ext uri="{FF2B5EF4-FFF2-40B4-BE49-F238E27FC236}">
              <a16:creationId xmlns:a16="http://schemas.microsoft.com/office/drawing/2014/main" id="{00000000-0008-0000-0100-000041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858" name="Text Box 6">
          <a:extLst>
            <a:ext uri="{FF2B5EF4-FFF2-40B4-BE49-F238E27FC236}">
              <a16:creationId xmlns:a16="http://schemas.microsoft.com/office/drawing/2014/main" id="{00000000-0008-0000-0100-000042070000}"/>
            </a:ext>
          </a:extLst>
        </xdr:cNvPr>
        <xdr:cNvSpPr txBox="1">
          <a:spLocks noChangeArrowheads="1"/>
        </xdr:cNvSpPr>
      </xdr:nvSpPr>
      <xdr:spPr bwMode="auto">
        <a:xfrm>
          <a:off x="3901109" y="564882196"/>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59" name="Text Box 7">
          <a:extLst>
            <a:ext uri="{FF2B5EF4-FFF2-40B4-BE49-F238E27FC236}">
              <a16:creationId xmlns:a16="http://schemas.microsoft.com/office/drawing/2014/main" id="{00000000-0008-0000-0100-000043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0" name="Text Box 8">
          <a:extLst>
            <a:ext uri="{FF2B5EF4-FFF2-40B4-BE49-F238E27FC236}">
              <a16:creationId xmlns:a16="http://schemas.microsoft.com/office/drawing/2014/main" id="{00000000-0008-0000-0100-000044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1" name="Text Box 9">
          <a:extLst>
            <a:ext uri="{FF2B5EF4-FFF2-40B4-BE49-F238E27FC236}">
              <a16:creationId xmlns:a16="http://schemas.microsoft.com/office/drawing/2014/main" id="{00000000-0008-0000-0100-000045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2" name="Text Box 10">
          <a:extLst>
            <a:ext uri="{FF2B5EF4-FFF2-40B4-BE49-F238E27FC236}">
              <a16:creationId xmlns:a16="http://schemas.microsoft.com/office/drawing/2014/main" id="{00000000-0008-0000-0100-000046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3" name="Text Box 11">
          <a:extLst>
            <a:ext uri="{FF2B5EF4-FFF2-40B4-BE49-F238E27FC236}">
              <a16:creationId xmlns:a16="http://schemas.microsoft.com/office/drawing/2014/main" id="{00000000-0008-0000-0100-000047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4" name="Text Box 12">
          <a:extLst>
            <a:ext uri="{FF2B5EF4-FFF2-40B4-BE49-F238E27FC236}">
              <a16:creationId xmlns:a16="http://schemas.microsoft.com/office/drawing/2014/main" id="{00000000-0008-0000-0100-000048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5" name="Text Box 13">
          <a:extLst>
            <a:ext uri="{FF2B5EF4-FFF2-40B4-BE49-F238E27FC236}">
              <a16:creationId xmlns:a16="http://schemas.microsoft.com/office/drawing/2014/main" id="{00000000-0008-0000-0100-000049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866" name="Text Box 14">
          <a:extLst>
            <a:ext uri="{FF2B5EF4-FFF2-40B4-BE49-F238E27FC236}">
              <a16:creationId xmlns:a16="http://schemas.microsoft.com/office/drawing/2014/main" id="{00000000-0008-0000-0100-00004A070000}"/>
            </a:ext>
          </a:extLst>
        </xdr:cNvPr>
        <xdr:cNvSpPr txBox="1">
          <a:spLocks noChangeArrowheads="1"/>
        </xdr:cNvSpPr>
      </xdr:nvSpPr>
      <xdr:spPr bwMode="auto">
        <a:xfrm>
          <a:off x="3901109" y="564882196"/>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7" name="Text Box 15">
          <a:extLst>
            <a:ext uri="{FF2B5EF4-FFF2-40B4-BE49-F238E27FC236}">
              <a16:creationId xmlns:a16="http://schemas.microsoft.com/office/drawing/2014/main" id="{00000000-0008-0000-0100-00004B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8" name="Text Box 16">
          <a:extLst>
            <a:ext uri="{FF2B5EF4-FFF2-40B4-BE49-F238E27FC236}">
              <a16:creationId xmlns:a16="http://schemas.microsoft.com/office/drawing/2014/main" id="{00000000-0008-0000-0100-00004C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69" name="Text Box 17">
          <a:extLst>
            <a:ext uri="{FF2B5EF4-FFF2-40B4-BE49-F238E27FC236}">
              <a16:creationId xmlns:a16="http://schemas.microsoft.com/office/drawing/2014/main" id="{00000000-0008-0000-0100-00004D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0" name="Text Box 18">
          <a:extLst>
            <a:ext uri="{FF2B5EF4-FFF2-40B4-BE49-F238E27FC236}">
              <a16:creationId xmlns:a16="http://schemas.microsoft.com/office/drawing/2014/main" id="{00000000-0008-0000-0100-00004E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1" name="Text Box 19">
          <a:extLst>
            <a:ext uri="{FF2B5EF4-FFF2-40B4-BE49-F238E27FC236}">
              <a16:creationId xmlns:a16="http://schemas.microsoft.com/office/drawing/2014/main" id="{00000000-0008-0000-0100-00004F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2" name="Text Box 20">
          <a:extLst>
            <a:ext uri="{FF2B5EF4-FFF2-40B4-BE49-F238E27FC236}">
              <a16:creationId xmlns:a16="http://schemas.microsoft.com/office/drawing/2014/main" id="{00000000-0008-0000-0100-000050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3" name="Text Box 21">
          <a:extLst>
            <a:ext uri="{FF2B5EF4-FFF2-40B4-BE49-F238E27FC236}">
              <a16:creationId xmlns:a16="http://schemas.microsoft.com/office/drawing/2014/main" id="{00000000-0008-0000-0100-000051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874" name="Text Box 22">
          <a:extLst>
            <a:ext uri="{FF2B5EF4-FFF2-40B4-BE49-F238E27FC236}">
              <a16:creationId xmlns:a16="http://schemas.microsoft.com/office/drawing/2014/main" id="{00000000-0008-0000-0100-000052070000}"/>
            </a:ext>
          </a:extLst>
        </xdr:cNvPr>
        <xdr:cNvSpPr txBox="1">
          <a:spLocks noChangeArrowheads="1"/>
        </xdr:cNvSpPr>
      </xdr:nvSpPr>
      <xdr:spPr bwMode="auto">
        <a:xfrm>
          <a:off x="3901109" y="564882196"/>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5" name="Text Box 7">
          <a:extLst>
            <a:ext uri="{FF2B5EF4-FFF2-40B4-BE49-F238E27FC236}">
              <a16:creationId xmlns:a16="http://schemas.microsoft.com/office/drawing/2014/main" id="{00000000-0008-0000-0100-000053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6" name="Text Box 8">
          <a:extLst>
            <a:ext uri="{FF2B5EF4-FFF2-40B4-BE49-F238E27FC236}">
              <a16:creationId xmlns:a16="http://schemas.microsoft.com/office/drawing/2014/main" id="{00000000-0008-0000-0100-000054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7" name="Text Box 9">
          <a:extLst>
            <a:ext uri="{FF2B5EF4-FFF2-40B4-BE49-F238E27FC236}">
              <a16:creationId xmlns:a16="http://schemas.microsoft.com/office/drawing/2014/main" id="{00000000-0008-0000-0100-000055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8" name="Text Box 10">
          <a:extLst>
            <a:ext uri="{FF2B5EF4-FFF2-40B4-BE49-F238E27FC236}">
              <a16:creationId xmlns:a16="http://schemas.microsoft.com/office/drawing/2014/main" id="{00000000-0008-0000-0100-000056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79" name="Text Box 11">
          <a:extLst>
            <a:ext uri="{FF2B5EF4-FFF2-40B4-BE49-F238E27FC236}">
              <a16:creationId xmlns:a16="http://schemas.microsoft.com/office/drawing/2014/main" id="{00000000-0008-0000-0100-000057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80" name="Text Box 12">
          <a:extLst>
            <a:ext uri="{FF2B5EF4-FFF2-40B4-BE49-F238E27FC236}">
              <a16:creationId xmlns:a16="http://schemas.microsoft.com/office/drawing/2014/main" id="{00000000-0008-0000-0100-000058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881" name="Text Box 13">
          <a:extLst>
            <a:ext uri="{FF2B5EF4-FFF2-40B4-BE49-F238E27FC236}">
              <a16:creationId xmlns:a16="http://schemas.microsoft.com/office/drawing/2014/main" id="{00000000-0008-0000-0100-000059070000}"/>
            </a:ext>
          </a:extLst>
        </xdr:cNvPr>
        <xdr:cNvSpPr txBox="1">
          <a:spLocks noChangeArrowheads="1"/>
        </xdr:cNvSpPr>
      </xdr:nvSpPr>
      <xdr:spPr bwMode="auto">
        <a:xfrm>
          <a:off x="3901109" y="56488219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882" name="Text Box 14">
          <a:extLst>
            <a:ext uri="{FF2B5EF4-FFF2-40B4-BE49-F238E27FC236}">
              <a16:creationId xmlns:a16="http://schemas.microsoft.com/office/drawing/2014/main" id="{00000000-0008-0000-0100-00005A070000}"/>
            </a:ext>
          </a:extLst>
        </xdr:cNvPr>
        <xdr:cNvSpPr txBox="1">
          <a:spLocks noChangeArrowheads="1"/>
        </xdr:cNvSpPr>
      </xdr:nvSpPr>
      <xdr:spPr bwMode="auto">
        <a:xfrm>
          <a:off x="3901109" y="564882196"/>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883" name="Text Box 5">
          <a:extLst>
            <a:ext uri="{FF2B5EF4-FFF2-40B4-BE49-F238E27FC236}">
              <a16:creationId xmlns:a16="http://schemas.microsoft.com/office/drawing/2014/main" id="{00000000-0008-0000-0100-00005B070000}"/>
            </a:ext>
          </a:extLst>
        </xdr:cNvPr>
        <xdr:cNvSpPr txBox="1">
          <a:spLocks noChangeArrowheads="1"/>
        </xdr:cNvSpPr>
      </xdr:nvSpPr>
      <xdr:spPr bwMode="auto">
        <a:xfrm>
          <a:off x="3901109" y="56488219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884" name="Text Box 6">
          <a:extLst>
            <a:ext uri="{FF2B5EF4-FFF2-40B4-BE49-F238E27FC236}">
              <a16:creationId xmlns:a16="http://schemas.microsoft.com/office/drawing/2014/main" id="{00000000-0008-0000-0100-00005C070000}"/>
            </a:ext>
          </a:extLst>
        </xdr:cNvPr>
        <xdr:cNvSpPr txBox="1">
          <a:spLocks noChangeArrowheads="1"/>
        </xdr:cNvSpPr>
      </xdr:nvSpPr>
      <xdr:spPr bwMode="auto">
        <a:xfrm>
          <a:off x="3901109" y="56488219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885" name="Text Box 7">
          <a:extLst>
            <a:ext uri="{FF2B5EF4-FFF2-40B4-BE49-F238E27FC236}">
              <a16:creationId xmlns:a16="http://schemas.microsoft.com/office/drawing/2014/main" id="{00000000-0008-0000-0100-00005D070000}"/>
            </a:ext>
          </a:extLst>
        </xdr:cNvPr>
        <xdr:cNvSpPr txBox="1">
          <a:spLocks noChangeArrowheads="1"/>
        </xdr:cNvSpPr>
      </xdr:nvSpPr>
      <xdr:spPr bwMode="auto">
        <a:xfrm>
          <a:off x="3901109" y="56488219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886" name="Text Box 8">
          <a:extLst>
            <a:ext uri="{FF2B5EF4-FFF2-40B4-BE49-F238E27FC236}">
              <a16:creationId xmlns:a16="http://schemas.microsoft.com/office/drawing/2014/main" id="{00000000-0008-0000-0100-00005E070000}"/>
            </a:ext>
          </a:extLst>
        </xdr:cNvPr>
        <xdr:cNvSpPr txBox="1">
          <a:spLocks noChangeArrowheads="1"/>
        </xdr:cNvSpPr>
      </xdr:nvSpPr>
      <xdr:spPr bwMode="auto">
        <a:xfrm>
          <a:off x="3901109" y="56488219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887" name="Text Box 9">
          <a:extLst>
            <a:ext uri="{FF2B5EF4-FFF2-40B4-BE49-F238E27FC236}">
              <a16:creationId xmlns:a16="http://schemas.microsoft.com/office/drawing/2014/main" id="{00000000-0008-0000-0100-00005F070000}"/>
            </a:ext>
          </a:extLst>
        </xdr:cNvPr>
        <xdr:cNvSpPr txBox="1">
          <a:spLocks noChangeArrowheads="1"/>
        </xdr:cNvSpPr>
      </xdr:nvSpPr>
      <xdr:spPr bwMode="auto">
        <a:xfrm>
          <a:off x="3901109" y="56488219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888" name="Text Box 10">
          <a:extLst>
            <a:ext uri="{FF2B5EF4-FFF2-40B4-BE49-F238E27FC236}">
              <a16:creationId xmlns:a16="http://schemas.microsoft.com/office/drawing/2014/main" id="{00000000-0008-0000-0100-000060070000}"/>
            </a:ext>
          </a:extLst>
        </xdr:cNvPr>
        <xdr:cNvSpPr txBox="1">
          <a:spLocks noChangeArrowheads="1"/>
        </xdr:cNvSpPr>
      </xdr:nvSpPr>
      <xdr:spPr bwMode="auto">
        <a:xfrm>
          <a:off x="3901109" y="56488219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889" name="Text Box 11">
          <a:extLst>
            <a:ext uri="{FF2B5EF4-FFF2-40B4-BE49-F238E27FC236}">
              <a16:creationId xmlns:a16="http://schemas.microsoft.com/office/drawing/2014/main" id="{00000000-0008-0000-0100-000061070000}"/>
            </a:ext>
          </a:extLst>
        </xdr:cNvPr>
        <xdr:cNvSpPr txBox="1">
          <a:spLocks noChangeArrowheads="1"/>
        </xdr:cNvSpPr>
      </xdr:nvSpPr>
      <xdr:spPr bwMode="auto">
        <a:xfrm>
          <a:off x="3901109" y="56488219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890" name="Text Box 12">
          <a:extLst>
            <a:ext uri="{FF2B5EF4-FFF2-40B4-BE49-F238E27FC236}">
              <a16:creationId xmlns:a16="http://schemas.microsoft.com/office/drawing/2014/main" id="{00000000-0008-0000-0100-000062070000}"/>
            </a:ext>
          </a:extLst>
        </xdr:cNvPr>
        <xdr:cNvSpPr txBox="1">
          <a:spLocks noChangeArrowheads="1"/>
        </xdr:cNvSpPr>
      </xdr:nvSpPr>
      <xdr:spPr bwMode="auto">
        <a:xfrm>
          <a:off x="3901109" y="56488219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891" name="Text Box 1">
          <a:extLst>
            <a:ext uri="{FF2B5EF4-FFF2-40B4-BE49-F238E27FC236}">
              <a16:creationId xmlns:a16="http://schemas.microsoft.com/office/drawing/2014/main" id="{00000000-0008-0000-0100-000063070000}"/>
            </a:ext>
          </a:extLst>
        </xdr:cNvPr>
        <xdr:cNvSpPr txBox="1">
          <a:spLocks noChangeArrowheads="1"/>
        </xdr:cNvSpPr>
      </xdr:nvSpPr>
      <xdr:spPr bwMode="auto">
        <a:xfrm>
          <a:off x="4580283" y="56488219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892" name="Text Box 1">
          <a:extLst>
            <a:ext uri="{FF2B5EF4-FFF2-40B4-BE49-F238E27FC236}">
              <a16:creationId xmlns:a16="http://schemas.microsoft.com/office/drawing/2014/main" id="{00000000-0008-0000-0100-000064070000}"/>
            </a:ext>
          </a:extLst>
        </xdr:cNvPr>
        <xdr:cNvSpPr txBox="1">
          <a:spLocks noChangeArrowheads="1"/>
        </xdr:cNvSpPr>
      </xdr:nvSpPr>
      <xdr:spPr bwMode="auto">
        <a:xfrm>
          <a:off x="4580283" y="56488219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893" name="Text Box 1">
          <a:extLst>
            <a:ext uri="{FF2B5EF4-FFF2-40B4-BE49-F238E27FC236}">
              <a16:creationId xmlns:a16="http://schemas.microsoft.com/office/drawing/2014/main" id="{00000000-0008-0000-0100-000065070000}"/>
            </a:ext>
          </a:extLst>
        </xdr:cNvPr>
        <xdr:cNvSpPr txBox="1">
          <a:spLocks noChangeArrowheads="1"/>
        </xdr:cNvSpPr>
      </xdr:nvSpPr>
      <xdr:spPr bwMode="auto">
        <a:xfrm>
          <a:off x="4580283" y="56488219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894" name="Text Box 1">
          <a:extLst>
            <a:ext uri="{FF2B5EF4-FFF2-40B4-BE49-F238E27FC236}">
              <a16:creationId xmlns:a16="http://schemas.microsoft.com/office/drawing/2014/main" id="{00000000-0008-0000-0100-000066070000}"/>
            </a:ext>
          </a:extLst>
        </xdr:cNvPr>
        <xdr:cNvSpPr txBox="1">
          <a:spLocks noChangeArrowheads="1"/>
        </xdr:cNvSpPr>
      </xdr:nvSpPr>
      <xdr:spPr bwMode="auto">
        <a:xfrm>
          <a:off x="4580283" y="56488219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95" name="Text Box 5">
          <a:extLst>
            <a:ext uri="{FF2B5EF4-FFF2-40B4-BE49-F238E27FC236}">
              <a16:creationId xmlns:a16="http://schemas.microsoft.com/office/drawing/2014/main" id="{00000000-0008-0000-0100-000067070000}"/>
            </a:ext>
          </a:extLst>
        </xdr:cNvPr>
        <xdr:cNvSpPr txBox="1">
          <a:spLocks noChangeArrowheads="1"/>
        </xdr:cNvSpPr>
      </xdr:nvSpPr>
      <xdr:spPr bwMode="auto">
        <a:xfrm>
          <a:off x="3901109" y="48889754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896" name="Text Box 6">
          <a:extLst>
            <a:ext uri="{FF2B5EF4-FFF2-40B4-BE49-F238E27FC236}">
              <a16:creationId xmlns:a16="http://schemas.microsoft.com/office/drawing/2014/main" id="{00000000-0008-0000-0100-000068070000}"/>
            </a:ext>
          </a:extLst>
        </xdr:cNvPr>
        <xdr:cNvSpPr txBox="1">
          <a:spLocks noChangeArrowheads="1"/>
        </xdr:cNvSpPr>
      </xdr:nvSpPr>
      <xdr:spPr bwMode="auto">
        <a:xfrm>
          <a:off x="3901109" y="48889754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97" name="Text Box 16">
          <a:extLst>
            <a:ext uri="{FF2B5EF4-FFF2-40B4-BE49-F238E27FC236}">
              <a16:creationId xmlns:a16="http://schemas.microsoft.com/office/drawing/2014/main" id="{00000000-0008-0000-0100-000069070000}"/>
            </a:ext>
          </a:extLst>
        </xdr:cNvPr>
        <xdr:cNvSpPr txBox="1">
          <a:spLocks noChangeArrowheads="1"/>
        </xdr:cNvSpPr>
      </xdr:nvSpPr>
      <xdr:spPr bwMode="auto">
        <a:xfrm>
          <a:off x="3901109" y="48889754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98" name="Text Box 17">
          <a:extLst>
            <a:ext uri="{FF2B5EF4-FFF2-40B4-BE49-F238E27FC236}">
              <a16:creationId xmlns:a16="http://schemas.microsoft.com/office/drawing/2014/main" id="{00000000-0008-0000-0100-00006A070000}"/>
            </a:ext>
          </a:extLst>
        </xdr:cNvPr>
        <xdr:cNvSpPr txBox="1">
          <a:spLocks noChangeArrowheads="1"/>
        </xdr:cNvSpPr>
      </xdr:nvSpPr>
      <xdr:spPr bwMode="auto">
        <a:xfrm>
          <a:off x="3901109" y="48889754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899" name="Text Box 18">
          <a:extLst>
            <a:ext uri="{FF2B5EF4-FFF2-40B4-BE49-F238E27FC236}">
              <a16:creationId xmlns:a16="http://schemas.microsoft.com/office/drawing/2014/main" id="{00000000-0008-0000-0100-00006B070000}"/>
            </a:ext>
          </a:extLst>
        </xdr:cNvPr>
        <xdr:cNvSpPr txBox="1">
          <a:spLocks noChangeArrowheads="1"/>
        </xdr:cNvSpPr>
      </xdr:nvSpPr>
      <xdr:spPr bwMode="auto">
        <a:xfrm>
          <a:off x="3901109" y="48889754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00" name="Text Box 19">
          <a:extLst>
            <a:ext uri="{FF2B5EF4-FFF2-40B4-BE49-F238E27FC236}">
              <a16:creationId xmlns:a16="http://schemas.microsoft.com/office/drawing/2014/main" id="{00000000-0008-0000-0100-00006C070000}"/>
            </a:ext>
          </a:extLst>
        </xdr:cNvPr>
        <xdr:cNvSpPr txBox="1">
          <a:spLocks noChangeArrowheads="1"/>
        </xdr:cNvSpPr>
      </xdr:nvSpPr>
      <xdr:spPr bwMode="auto">
        <a:xfrm>
          <a:off x="3901109" y="48889754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01" name="Text Box 20">
          <a:extLst>
            <a:ext uri="{FF2B5EF4-FFF2-40B4-BE49-F238E27FC236}">
              <a16:creationId xmlns:a16="http://schemas.microsoft.com/office/drawing/2014/main" id="{00000000-0008-0000-0100-00006D070000}"/>
            </a:ext>
          </a:extLst>
        </xdr:cNvPr>
        <xdr:cNvSpPr txBox="1">
          <a:spLocks noChangeArrowheads="1"/>
        </xdr:cNvSpPr>
      </xdr:nvSpPr>
      <xdr:spPr bwMode="auto">
        <a:xfrm>
          <a:off x="3901109" y="48889754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02" name="Text Box 21">
          <a:extLst>
            <a:ext uri="{FF2B5EF4-FFF2-40B4-BE49-F238E27FC236}">
              <a16:creationId xmlns:a16="http://schemas.microsoft.com/office/drawing/2014/main" id="{00000000-0008-0000-0100-00006E070000}"/>
            </a:ext>
          </a:extLst>
        </xdr:cNvPr>
        <xdr:cNvSpPr txBox="1">
          <a:spLocks noChangeArrowheads="1"/>
        </xdr:cNvSpPr>
      </xdr:nvSpPr>
      <xdr:spPr bwMode="auto">
        <a:xfrm>
          <a:off x="3901109" y="48889754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903" name="Text Box 22">
          <a:extLst>
            <a:ext uri="{FF2B5EF4-FFF2-40B4-BE49-F238E27FC236}">
              <a16:creationId xmlns:a16="http://schemas.microsoft.com/office/drawing/2014/main" id="{00000000-0008-0000-0100-00006F070000}"/>
            </a:ext>
          </a:extLst>
        </xdr:cNvPr>
        <xdr:cNvSpPr txBox="1">
          <a:spLocks noChangeArrowheads="1"/>
        </xdr:cNvSpPr>
      </xdr:nvSpPr>
      <xdr:spPr bwMode="auto">
        <a:xfrm>
          <a:off x="3901109" y="48889754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04" name="Text Box 5">
          <a:extLst>
            <a:ext uri="{FF2B5EF4-FFF2-40B4-BE49-F238E27FC236}">
              <a16:creationId xmlns:a16="http://schemas.microsoft.com/office/drawing/2014/main" id="{00000000-0008-0000-0100-000070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05" name="Text Box 6">
          <a:extLst>
            <a:ext uri="{FF2B5EF4-FFF2-40B4-BE49-F238E27FC236}">
              <a16:creationId xmlns:a16="http://schemas.microsoft.com/office/drawing/2014/main" id="{00000000-0008-0000-0100-000071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06" name="Text Box 7">
          <a:extLst>
            <a:ext uri="{FF2B5EF4-FFF2-40B4-BE49-F238E27FC236}">
              <a16:creationId xmlns:a16="http://schemas.microsoft.com/office/drawing/2014/main" id="{00000000-0008-0000-0100-000072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07" name="Text Box 8">
          <a:extLst>
            <a:ext uri="{FF2B5EF4-FFF2-40B4-BE49-F238E27FC236}">
              <a16:creationId xmlns:a16="http://schemas.microsoft.com/office/drawing/2014/main" id="{00000000-0008-0000-0100-000073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08" name="Text Box 9">
          <a:extLst>
            <a:ext uri="{FF2B5EF4-FFF2-40B4-BE49-F238E27FC236}">
              <a16:creationId xmlns:a16="http://schemas.microsoft.com/office/drawing/2014/main" id="{00000000-0008-0000-0100-000074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09" name="Text Box 10">
          <a:extLst>
            <a:ext uri="{FF2B5EF4-FFF2-40B4-BE49-F238E27FC236}">
              <a16:creationId xmlns:a16="http://schemas.microsoft.com/office/drawing/2014/main" id="{00000000-0008-0000-0100-000075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0" name="Text Box 11">
          <a:extLst>
            <a:ext uri="{FF2B5EF4-FFF2-40B4-BE49-F238E27FC236}">
              <a16:creationId xmlns:a16="http://schemas.microsoft.com/office/drawing/2014/main" id="{00000000-0008-0000-0100-000076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1" name="Text Box 12">
          <a:extLst>
            <a:ext uri="{FF2B5EF4-FFF2-40B4-BE49-F238E27FC236}">
              <a16:creationId xmlns:a16="http://schemas.microsoft.com/office/drawing/2014/main" id="{00000000-0008-0000-0100-000077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2" name="Text Box 13">
          <a:extLst>
            <a:ext uri="{FF2B5EF4-FFF2-40B4-BE49-F238E27FC236}">
              <a16:creationId xmlns:a16="http://schemas.microsoft.com/office/drawing/2014/main" id="{00000000-0008-0000-0100-000078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913" name="Text Box 14">
          <a:extLst>
            <a:ext uri="{FF2B5EF4-FFF2-40B4-BE49-F238E27FC236}">
              <a16:creationId xmlns:a16="http://schemas.microsoft.com/office/drawing/2014/main" id="{00000000-0008-0000-0100-000079070000}"/>
            </a:ext>
          </a:extLst>
        </xdr:cNvPr>
        <xdr:cNvSpPr txBox="1">
          <a:spLocks noChangeArrowheads="1"/>
        </xdr:cNvSpPr>
      </xdr:nvSpPr>
      <xdr:spPr bwMode="auto">
        <a:xfrm>
          <a:off x="3901109" y="50031097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4" name="Text Box 15">
          <a:extLst>
            <a:ext uri="{FF2B5EF4-FFF2-40B4-BE49-F238E27FC236}">
              <a16:creationId xmlns:a16="http://schemas.microsoft.com/office/drawing/2014/main" id="{00000000-0008-0000-0100-00007A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5" name="Text Box 16">
          <a:extLst>
            <a:ext uri="{FF2B5EF4-FFF2-40B4-BE49-F238E27FC236}">
              <a16:creationId xmlns:a16="http://schemas.microsoft.com/office/drawing/2014/main" id="{00000000-0008-0000-0100-00007B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6" name="Text Box 17">
          <a:extLst>
            <a:ext uri="{FF2B5EF4-FFF2-40B4-BE49-F238E27FC236}">
              <a16:creationId xmlns:a16="http://schemas.microsoft.com/office/drawing/2014/main" id="{00000000-0008-0000-0100-00007C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7" name="Text Box 18">
          <a:extLst>
            <a:ext uri="{FF2B5EF4-FFF2-40B4-BE49-F238E27FC236}">
              <a16:creationId xmlns:a16="http://schemas.microsoft.com/office/drawing/2014/main" id="{00000000-0008-0000-0100-00007D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8" name="Text Box 19">
          <a:extLst>
            <a:ext uri="{FF2B5EF4-FFF2-40B4-BE49-F238E27FC236}">
              <a16:creationId xmlns:a16="http://schemas.microsoft.com/office/drawing/2014/main" id="{00000000-0008-0000-0100-00007E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19" name="Text Box 20">
          <a:extLst>
            <a:ext uri="{FF2B5EF4-FFF2-40B4-BE49-F238E27FC236}">
              <a16:creationId xmlns:a16="http://schemas.microsoft.com/office/drawing/2014/main" id="{00000000-0008-0000-0100-00007F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0" name="Text Box 21">
          <a:extLst>
            <a:ext uri="{FF2B5EF4-FFF2-40B4-BE49-F238E27FC236}">
              <a16:creationId xmlns:a16="http://schemas.microsoft.com/office/drawing/2014/main" id="{00000000-0008-0000-0100-000080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1" name="Text Box 22">
          <a:extLst>
            <a:ext uri="{FF2B5EF4-FFF2-40B4-BE49-F238E27FC236}">
              <a16:creationId xmlns:a16="http://schemas.microsoft.com/office/drawing/2014/main" id="{00000000-0008-0000-0100-000081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2" name="Text Box 7">
          <a:extLst>
            <a:ext uri="{FF2B5EF4-FFF2-40B4-BE49-F238E27FC236}">
              <a16:creationId xmlns:a16="http://schemas.microsoft.com/office/drawing/2014/main" id="{00000000-0008-0000-0100-000082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3" name="Text Box 8">
          <a:extLst>
            <a:ext uri="{FF2B5EF4-FFF2-40B4-BE49-F238E27FC236}">
              <a16:creationId xmlns:a16="http://schemas.microsoft.com/office/drawing/2014/main" id="{00000000-0008-0000-0100-000083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4" name="Text Box 9">
          <a:extLst>
            <a:ext uri="{FF2B5EF4-FFF2-40B4-BE49-F238E27FC236}">
              <a16:creationId xmlns:a16="http://schemas.microsoft.com/office/drawing/2014/main" id="{00000000-0008-0000-0100-000084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5" name="Text Box 10">
          <a:extLst>
            <a:ext uri="{FF2B5EF4-FFF2-40B4-BE49-F238E27FC236}">
              <a16:creationId xmlns:a16="http://schemas.microsoft.com/office/drawing/2014/main" id="{00000000-0008-0000-0100-000085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6" name="Text Box 11">
          <a:extLst>
            <a:ext uri="{FF2B5EF4-FFF2-40B4-BE49-F238E27FC236}">
              <a16:creationId xmlns:a16="http://schemas.microsoft.com/office/drawing/2014/main" id="{00000000-0008-0000-0100-000086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7" name="Text Box 12">
          <a:extLst>
            <a:ext uri="{FF2B5EF4-FFF2-40B4-BE49-F238E27FC236}">
              <a16:creationId xmlns:a16="http://schemas.microsoft.com/office/drawing/2014/main" id="{00000000-0008-0000-0100-000087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28" name="Text Box 13">
          <a:extLst>
            <a:ext uri="{FF2B5EF4-FFF2-40B4-BE49-F238E27FC236}">
              <a16:creationId xmlns:a16="http://schemas.microsoft.com/office/drawing/2014/main" id="{00000000-0008-0000-0100-000088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1929" name="Text Box 14">
          <a:extLst>
            <a:ext uri="{FF2B5EF4-FFF2-40B4-BE49-F238E27FC236}">
              <a16:creationId xmlns:a16="http://schemas.microsoft.com/office/drawing/2014/main" id="{00000000-0008-0000-0100-000089070000}"/>
            </a:ext>
          </a:extLst>
        </xdr:cNvPr>
        <xdr:cNvSpPr txBox="1">
          <a:spLocks noChangeArrowheads="1"/>
        </xdr:cNvSpPr>
      </xdr:nvSpPr>
      <xdr:spPr bwMode="auto">
        <a:xfrm>
          <a:off x="3901109" y="50031097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1930" name="Text Box 15">
          <a:extLst>
            <a:ext uri="{FF2B5EF4-FFF2-40B4-BE49-F238E27FC236}">
              <a16:creationId xmlns:a16="http://schemas.microsoft.com/office/drawing/2014/main" id="{00000000-0008-0000-0100-00008A070000}"/>
            </a:ext>
          </a:extLst>
        </xdr:cNvPr>
        <xdr:cNvSpPr txBox="1">
          <a:spLocks noChangeArrowheads="1"/>
        </xdr:cNvSpPr>
      </xdr:nvSpPr>
      <xdr:spPr bwMode="auto">
        <a:xfrm>
          <a:off x="3901109" y="50031097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31" name="Text Box 5">
          <a:extLst>
            <a:ext uri="{FF2B5EF4-FFF2-40B4-BE49-F238E27FC236}">
              <a16:creationId xmlns:a16="http://schemas.microsoft.com/office/drawing/2014/main" id="{00000000-0008-0000-0100-00008B070000}"/>
            </a:ext>
          </a:extLst>
        </xdr:cNvPr>
        <xdr:cNvSpPr txBox="1">
          <a:spLocks noChangeArrowheads="1"/>
        </xdr:cNvSpPr>
      </xdr:nvSpPr>
      <xdr:spPr bwMode="auto">
        <a:xfrm>
          <a:off x="3901109" y="500310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932" name="Text Box 6">
          <a:extLst>
            <a:ext uri="{FF2B5EF4-FFF2-40B4-BE49-F238E27FC236}">
              <a16:creationId xmlns:a16="http://schemas.microsoft.com/office/drawing/2014/main" id="{00000000-0008-0000-0100-00008C070000}"/>
            </a:ext>
          </a:extLst>
        </xdr:cNvPr>
        <xdr:cNvSpPr txBox="1">
          <a:spLocks noChangeArrowheads="1"/>
        </xdr:cNvSpPr>
      </xdr:nvSpPr>
      <xdr:spPr bwMode="auto">
        <a:xfrm>
          <a:off x="3901109" y="50031097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33" name="Text Box 7">
          <a:extLst>
            <a:ext uri="{FF2B5EF4-FFF2-40B4-BE49-F238E27FC236}">
              <a16:creationId xmlns:a16="http://schemas.microsoft.com/office/drawing/2014/main" id="{00000000-0008-0000-0100-00008D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34" name="Text Box 8">
          <a:extLst>
            <a:ext uri="{FF2B5EF4-FFF2-40B4-BE49-F238E27FC236}">
              <a16:creationId xmlns:a16="http://schemas.microsoft.com/office/drawing/2014/main" id="{00000000-0008-0000-0100-00008E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35" name="Text Box 9">
          <a:extLst>
            <a:ext uri="{FF2B5EF4-FFF2-40B4-BE49-F238E27FC236}">
              <a16:creationId xmlns:a16="http://schemas.microsoft.com/office/drawing/2014/main" id="{00000000-0008-0000-0100-00008F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36" name="Text Box 10">
          <a:extLst>
            <a:ext uri="{FF2B5EF4-FFF2-40B4-BE49-F238E27FC236}">
              <a16:creationId xmlns:a16="http://schemas.microsoft.com/office/drawing/2014/main" id="{00000000-0008-0000-0100-000090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37" name="Text Box 11">
          <a:extLst>
            <a:ext uri="{FF2B5EF4-FFF2-40B4-BE49-F238E27FC236}">
              <a16:creationId xmlns:a16="http://schemas.microsoft.com/office/drawing/2014/main" id="{00000000-0008-0000-0100-000091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38" name="Text Box 12">
          <a:extLst>
            <a:ext uri="{FF2B5EF4-FFF2-40B4-BE49-F238E27FC236}">
              <a16:creationId xmlns:a16="http://schemas.microsoft.com/office/drawing/2014/main" id="{00000000-0008-0000-0100-000092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39" name="Text Box 13">
          <a:extLst>
            <a:ext uri="{FF2B5EF4-FFF2-40B4-BE49-F238E27FC236}">
              <a16:creationId xmlns:a16="http://schemas.microsoft.com/office/drawing/2014/main" id="{00000000-0008-0000-0100-000093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940" name="Text Box 14">
          <a:extLst>
            <a:ext uri="{FF2B5EF4-FFF2-40B4-BE49-F238E27FC236}">
              <a16:creationId xmlns:a16="http://schemas.microsoft.com/office/drawing/2014/main" id="{00000000-0008-0000-0100-000094070000}"/>
            </a:ext>
          </a:extLst>
        </xdr:cNvPr>
        <xdr:cNvSpPr txBox="1">
          <a:spLocks noChangeArrowheads="1"/>
        </xdr:cNvSpPr>
      </xdr:nvSpPr>
      <xdr:spPr bwMode="auto">
        <a:xfrm>
          <a:off x="3901109" y="50031097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41" name="Text Box 15">
          <a:extLst>
            <a:ext uri="{FF2B5EF4-FFF2-40B4-BE49-F238E27FC236}">
              <a16:creationId xmlns:a16="http://schemas.microsoft.com/office/drawing/2014/main" id="{00000000-0008-0000-0100-000095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42" name="Text Box 16">
          <a:extLst>
            <a:ext uri="{FF2B5EF4-FFF2-40B4-BE49-F238E27FC236}">
              <a16:creationId xmlns:a16="http://schemas.microsoft.com/office/drawing/2014/main" id="{00000000-0008-0000-0100-000096070000}"/>
            </a:ext>
          </a:extLst>
        </xdr:cNvPr>
        <xdr:cNvSpPr txBox="1">
          <a:spLocks noChangeArrowheads="1"/>
        </xdr:cNvSpPr>
      </xdr:nvSpPr>
      <xdr:spPr bwMode="auto">
        <a:xfrm>
          <a:off x="3901109" y="500310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43" name="Text Box 17">
          <a:extLst>
            <a:ext uri="{FF2B5EF4-FFF2-40B4-BE49-F238E27FC236}">
              <a16:creationId xmlns:a16="http://schemas.microsoft.com/office/drawing/2014/main" id="{00000000-0008-0000-0100-000097070000}"/>
            </a:ext>
          </a:extLst>
        </xdr:cNvPr>
        <xdr:cNvSpPr txBox="1">
          <a:spLocks noChangeArrowheads="1"/>
        </xdr:cNvSpPr>
      </xdr:nvSpPr>
      <xdr:spPr bwMode="auto">
        <a:xfrm>
          <a:off x="3901109" y="500310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44" name="Text Box 18">
          <a:extLst>
            <a:ext uri="{FF2B5EF4-FFF2-40B4-BE49-F238E27FC236}">
              <a16:creationId xmlns:a16="http://schemas.microsoft.com/office/drawing/2014/main" id="{00000000-0008-0000-0100-000098070000}"/>
            </a:ext>
          </a:extLst>
        </xdr:cNvPr>
        <xdr:cNvSpPr txBox="1">
          <a:spLocks noChangeArrowheads="1"/>
        </xdr:cNvSpPr>
      </xdr:nvSpPr>
      <xdr:spPr bwMode="auto">
        <a:xfrm>
          <a:off x="3901109" y="500310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45" name="Text Box 19">
          <a:extLst>
            <a:ext uri="{FF2B5EF4-FFF2-40B4-BE49-F238E27FC236}">
              <a16:creationId xmlns:a16="http://schemas.microsoft.com/office/drawing/2014/main" id="{00000000-0008-0000-0100-000099070000}"/>
            </a:ext>
          </a:extLst>
        </xdr:cNvPr>
        <xdr:cNvSpPr txBox="1">
          <a:spLocks noChangeArrowheads="1"/>
        </xdr:cNvSpPr>
      </xdr:nvSpPr>
      <xdr:spPr bwMode="auto">
        <a:xfrm>
          <a:off x="3901109" y="500310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46" name="Text Box 20">
          <a:extLst>
            <a:ext uri="{FF2B5EF4-FFF2-40B4-BE49-F238E27FC236}">
              <a16:creationId xmlns:a16="http://schemas.microsoft.com/office/drawing/2014/main" id="{00000000-0008-0000-0100-00009A070000}"/>
            </a:ext>
          </a:extLst>
        </xdr:cNvPr>
        <xdr:cNvSpPr txBox="1">
          <a:spLocks noChangeArrowheads="1"/>
        </xdr:cNvSpPr>
      </xdr:nvSpPr>
      <xdr:spPr bwMode="auto">
        <a:xfrm>
          <a:off x="3901109" y="500310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47" name="Text Box 21">
          <a:extLst>
            <a:ext uri="{FF2B5EF4-FFF2-40B4-BE49-F238E27FC236}">
              <a16:creationId xmlns:a16="http://schemas.microsoft.com/office/drawing/2014/main" id="{00000000-0008-0000-0100-00009B070000}"/>
            </a:ext>
          </a:extLst>
        </xdr:cNvPr>
        <xdr:cNvSpPr txBox="1">
          <a:spLocks noChangeArrowheads="1"/>
        </xdr:cNvSpPr>
      </xdr:nvSpPr>
      <xdr:spPr bwMode="auto">
        <a:xfrm>
          <a:off x="3901109" y="50031097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948" name="Text Box 22">
          <a:extLst>
            <a:ext uri="{FF2B5EF4-FFF2-40B4-BE49-F238E27FC236}">
              <a16:creationId xmlns:a16="http://schemas.microsoft.com/office/drawing/2014/main" id="{00000000-0008-0000-0100-00009C070000}"/>
            </a:ext>
          </a:extLst>
        </xdr:cNvPr>
        <xdr:cNvSpPr txBox="1">
          <a:spLocks noChangeArrowheads="1"/>
        </xdr:cNvSpPr>
      </xdr:nvSpPr>
      <xdr:spPr bwMode="auto">
        <a:xfrm>
          <a:off x="3901109" y="50031097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49" name="Text Box 7">
          <a:extLst>
            <a:ext uri="{FF2B5EF4-FFF2-40B4-BE49-F238E27FC236}">
              <a16:creationId xmlns:a16="http://schemas.microsoft.com/office/drawing/2014/main" id="{00000000-0008-0000-0100-00009D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50" name="Text Box 8">
          <a:extLst>
            <a:ext uri="{FF2B5EF4-FFF2-40B4-BE49-F238E27FC236}">
              <a16:creationId xmlns:a16="http://schemas.microsoft.com/office/drawing/2014/main" id="{00000000-0008-0000-0100-00009E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51" name="Text Box 9">
          <a:extLst>
            <a:ext uri="{FF2B5EF4-FFF2-40B4-BE49-F238E27FC236}">
              <a16:creationId xmlns:a16="http://schemas.microsoft.com/office/drawing/2014/main" id="{00000000-0008-0000-0100-00009F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52" name="Text Box 10">
          <a:extLst>
            <a:ext uri="{FF2B5EF4-FFF2-40B4-BE49-F238E27FC236}">
              <a16:creationId xmlns:a16="http://schemas.microsoft.com/office/drawing/2014/main" id="{00000000-0008-0000-0100-0000A0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53" name="Text Box 11">
          <a:extLst>
            <a:ext uri="{FF2B5EF4-FFF2-40B4-BE49-F238E27FC236}">
              <a16:creationId xmlns:a16="http://schemas.microsoft.com/office/drawing/2014/main" id="{00000000-0008-0000-0100-0000A1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54" name="Text Box 12">
          <a:extLst>
            <a:ext uri="{FF2B5EF4-FFF2-40B4-BE49-F238E27FC236}">
              <a16:creationId xmlns:a16="http://schemas.microsoft.com/office/drawing/2014/main" id="{00000000-0008-0000-0100-0000A2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55" name="Text Box 13">
          <a:extLst>
            <a:ext uri="{FF2B5EF4-FFF2-40B4-BE49-F238E27FC236}">
              <a16:creationId xmlns:a16="http://schemas.microsoft.com/office/drawing/2014/main" id="{00000000-0008-0000-0100-0000A3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1956" name="Text Box 14">
          <a:extLst>
            <a:ext uri="{FF2B5EF4-FFF2-40B4-BE49-F238E27FC236}">
              <a16:creationId xmlns:a16="http://schemas.microsoft.com/office/drawing/2014/main" id="{00000000-0008-0000-0100-0000A4070000}"/>
            </a:ext>
          </a:extLst>
        </xdr:cNvPr>
        <xdr:cNvSpPr txBox="1">
          <a:spLocks noChangeArrowheads="1"/>
        </xdr:cNvSpPr>
      </xdr:nvSpPr>
      <xdr:spPr bwMode="auto">
        <a:xfrm>
          <a:off x="3901109" y="50031097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1957" name="Text Box 15">
          <a:extLst>
            <a:ext uri="{FF2B5EF4-FFF2-40B4-BE49-F238E27FC236}">
              <a16:creationId xmlns:a16="http://schemas.microsoft.com/office/drawing/2014/main" id="{00000000-0008-0000-0100-0000A5070000}"/>
            </a:ext>
          </a:extLst>
        </xdr:cNvPr>
        <xdr:cNvSpPr txBox="1">
          <a:spLocks noChangeArrowheads="1"/>
        </xdr:cNvSpPr>
      </xdr:nvSpPr>
      <xdr:spPr bwMode="auto">
        <a:xfrm>
          <a:off x="3901109" y="50031097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58" name="Text Box 5">
          <a:extLst>
            <a:ext uri="{FF2B5EF4-FFF2-40B4-BE49-F238E27FC236}">
              <a16:creationId xmlns:a16="http://schemas.microsoft.com/office/drawing/2014/main" id="{00000000-0008-0000-0100-0000A6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959" name="Text Box 6">
          <a:extLst>
            <a:ext uri="{FF2B5EF4-FFF2-40B4-BE49-F238E27FC236}">
              <a16:creationId xmlns:a16="http://schemas.microsoft.com/office/drawing/2014/main" id="{00000000-0008-0000-0100-0000A7070000}"/>
            </a:ext>
          </a:extLst>
        </xdr:cNvPr>
        <xdr:cNvSpPr txBox="1">
          <a:spLocks noChangeArrowheads="1"/>
        </xdr:cNvSpPr>
      </xdr:nvSpPr>
      <xdr:spPr bwMode="auto">
        <a:xfrm>
          <a:off x="3901109" y="50031097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0" name="Text Box 7">
          <a:extLst>
            <a:ext uri="{FF2B5EF4-FFF2-40B4-BE49-F238E27FC236}">
              <a16:creationId xmlns:a16="http://schemas.microsoft.com/office/drawing/2014/main" id="{00000000-0008-0000-0100-0000A8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1" name="Text Box 8">
          <a:extLst>
            <a:ext uri="{FF2B5EF4-FFF2-40B4-BE49-F238E27FC236}">
              <a16:creationId xmlns:a16="http://schemas.microsoft.com/office/drawing/2014/main" id="{00000000-0008-0000-0100-0000A9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2" name="Text Box 9">
          <a:extLst>
            <a:ext uri="{FF2B5EF4-FFF2-40B4-BE49-F238E27FC236}">
              <a16:creationId xmlns:a16="http://schemas.microsoft.com/office/drawing/2014/main" id="{00000000-0008-0000-0100-0000AA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3" name="Text Box 10">
          <a:extLst>
            <a:ext uri="{FF2B5EF4-FFF2-40B4-BE49-F238E27FC236}">
              <a16:creationId xmlns:a16="http://schemas.microsoft.com/office/drawing/2014/main" id="{00000000-0008-0000-0100-0000AB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4" name="Text Box 11">
          <a:extLst>
            <a:ext uri="{FF2B5EF4-FFF2-40B4-BE49-F238E27FC236}">
              <a16:creationId xmlns:a16="http://schemas.microsoft.com/office/drawing/2014/main" id="{00000000-0008-0000-0100-0000AC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5" name="Text Box 12">
          <a:extLst>
            <a:ext uri="{FF2B5EF4-FFF2-40B4-BE49-F238E27FC236}">
              <a16:creationId xmlns:a16="http://schemas.microsoft.com/office/drawing/2014/main" id="{00000000-0008-0000-0100-0000AD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6" name="Text Box 13">
          <a:extLst>
            <a:ext uri="{FF2B5EF4-FFF2-40B4-BE49-F238E27FC236}">
              <a16:creationId xmlns:a16="http://schemas.microsoft.com/office/drawing/2014/main" id="{00000000-0008-0000-0100-0000AE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967" name="Text Box 14">
          <a:extLst>
            <a:ext uri="{FF2B5EF4-FFF2-40B4-BE49-F238E27FC236}">
              <a16:creationId xmlns:a16="http://schemas.microsoft.com/office/drawing/2014/main" id="{00000000-0008-0000-0100-0000AF070000}"/>
            </a:ext>
          </a:extLst>
        </xdr:cNvPr>
        <xdr:cNvSpPr txBox="1">
          <a:spLocks noChangeArrowheads="1"/>
        </xdr:cNvSpPr>
      </xdr:nvSpPr>
      <xdr:spPr bwMode="auto">
        <a:xfrm>
          <a:off x="3901109" y="50031097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8" name="Text Box 15">
          <a:extLst>
            <a:ext uri="{FF2B5EF4-FFF2-40B4-BE49-F238E27FC236}">
              <a16:creationId xmlns:a16="http://schemas.microsoft.com/office/drawing/2014/main" id="{00000000-0008-0000-0100-0000B0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69" name="Text Box 16">
          <a:extLst>
            <a:ext uri="{FF2B5EF4-FFF2-40B4-BE49-F238E27FC236}">
              <a16:creationId xmlns:a16="http://schemas.microsoft.com/office/drawing/2014/main" id="{00000000-0008-0000-0100-0000B1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0" name="Text Box 17">
          <a:extLst>
            <a:ext uri="{FF2B5EF4-FFF2-40B4-BE49-F238E27FC236}">
              <a16:creationId xmlns:a16="http://schemas.microsoft.com/office/drawing/2014/main" id="{00000000-0008-0000-0100-0000B2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1" name="Text Box 18">
          <a:extLst>
            <a:ext uri="{FF2B5EF4-FFF2-40B4-BE49-F238E27FC236}">
              <a16:creationId xmlns:a16="http://schemas.microsoft.com/office/drawing/2014/main" id="{00000000-0008-0000-0100-0000B3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2" name="Text Box 19">
          <a:extLst>
            <a:ext uri="{FF2B5EF4-FFF2-40B4-BE49-F238E27FC236}">
              <a16:creationId xmlns:a16="http://schemas.microsoft.com/office/drawing/2014/main" id="{00000000-0008-0000-0100-0000B4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3" name="Text Box 20">
          <a:extLst>
            <a:ext uri="{FF2B5EF4-FFF2-40B4-BE49-F238E27FC236}">
              <a16:creationId xmlns:a16="http://schemas.microsoft.com/office/drawing/2014/main" id="{00000000-0008-0000-0100-0000B5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4" name="Text Box 21">
          <a:extLst>
            <a:ext uri="{FF2B5EF4-FFF2-40B4-BE49-F238E27FC236}">
              <a16:creationId xmlns:a16="http://schemas.microsoft.com/office/drawing/2014/main" id="{00000000-0008-0000-0100-0000B6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1975" name="Text Box 22">
          <a:extLst>
            <a:ext uri="{FF2B5EF4-FFF2-40B4-BE49-F238E27FC236}">
              <a16:creationId xmlns:a16="http://schemas.microsoft.com/office/drawing/2014/main" id="{00000000-0008-0000-0100-0000B7070000}"/>
            </a:ext>
          </a:extLst>
        </xdr:cNvPr>
        <xdr:cNvSpPr txBox="1">
          <a:spLocks noChangeArrowheads="1"/>
        </xdr:cNvSpPr>
      </xdr:nvSpPr>
      <xdr:spPr bwMode="auto">
        <a:xfrm>
          <a:off x="3901109" y="500310978"/>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6" name="Text Box 7">
          <a:extLst>
            <a:ext uri="{FF2B5EF4-FFF2-40B4-BE49-F238E27FC236}">
              <a16:creationId xmlns:a16="http://schemas.microsoft.com/office/drawing/2014/main" id="{00000000-0008-0000-0100-0000B8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7" name="Text Box 8">
          <a:extLst>
            <a:ext uri="{FF2B5EF4-FFF2-40B4-BE49-F238E27FC236}">
              <a16:creationId xmlns:a16="http://schemas.microsoft.com/office/drawing/2014/main" id="{00000000-0008-0000-0100-0000B9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8" name="Text Box 9">
          <a:extLst>
            <a:ext uri="{FF2B5EF4-FFF2-40B4-BE49-F238E27FC236}">
              <a16:creationId xmlns:a16="http://schemas.microsoft.com/office/drawing/2014/main" id="{00000000-0008-0000-0100-0000BA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79" name="Text Box 10">
          <a:extLst>
            <a:ext uri="{FF2B5EF4-FFF2-40B4-BE49-F238E27FC236}">
              <a16:creationId xmlns:a16="http://schemas.microsoft.com/office/drawing/2014/main" id="{00000000-0008-0000-0100-0000BB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80" name="Text Box 11">
          <a:extLst>
            <a:ext uri="{FF2B5EF4-FFF2-40B4-BE49-F238E27FC236}">
              <a16:creationId xmlns:a16="http://schemas.microsoft.com/office/drawing/2014/main" id="{00000000-0008-0000-0100-0000BC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81" name="Text Box 12">
          <a:extLst>
            <a:ext uri="{FF2B5EF4-FFF2-40B4-BE49-F238E27FC236}">
              <a16:creationId xmlns:a16="http://schemas.microsoft.com/office/drawing/2014/main" id="{00000000-0008-0000-0100-0000BD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1982" name="Text Box 13">
          <a:extLst>
            <a:ext uri="{FF2B5EF4-FFF2-40B4-BE49-F238E27FC236}">
              <a16:creationId xmlns:a16="http://schemas.microsoft.com/office/drawing/2014/main" id="{00000000-0008-0000-0100-0000BE070000}"/>
            </a:ext>
          </a:extLst>
        </xdr:cNvPr>
        <xdr:cNvSpPr txBox="1">
          <a:spLocks noChangeArrowheads="1"/>
        </xdr:cNvSpPr>
      </xdr:nvSpPr>
      <xdr:spPr bwMode="auto">
        <a:xfrm>
          <a:off x="3901109" y="500310978"/>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1983" name="Text Box 14">
          <a:extLst>
            <a:ext uri="{FF2B5EF4-FFF2-40B4-BE49-F238E27FC236}">
              <a16:creationId xmlns:a16="http://schemas.microsoft.com/office/drawing/2014/main" id="{00000000-0008-0000-0100-0000BF070000}"/>
            </a:ext>
          </a:extLst>
        </xdr:cNvPr>
        <xdr:cNvSpPr txBox="1">
          <a:spLocks noChangeArrowheads="1"/>
        </xdr:cNvSpPr>
      </xdr:nvSpPr>
      <xdr:spPr bwMode="auto">
        <a:xfrm>
          <a:off x="3901109" y="500310978"/>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984" name="Text Box 5">
          <a:extLst>
            <a:ext uri="{FF2B5EF4-FFF2-40B4-BE49-F238E27FC236}">
              <a16:creationId xmlns:a16="http://schemas.microsoft.com/office/drawing/2014/main" id="{00000000-0008-0000-0100-0000C0070000}"/>
            </a:ext>
          </a:extLst>
        </xdr:cNvPr>
        <xdr:cNvSpPr txBox="1">
          <a:spLocks noChangeArrowheads="1"/>
        </xdr:cNvSpPr>
      </xdr:nvSpPr>
      <xdr:spPr bwMode="auto">
        <a:xfrm>
          <a:off x="3901109" y="500310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985" name="Text Box 6">
          <a:extLst>
            <a:ext uri="{FF2B5EF4-FFF2-40B4-BE49-F238E27FC236}">
              <a16:creationId xmlns:a16="http://schemas.microsoft.com/office/drawing/2014/main" id="{00000000-0008-0000-0100-0000C1070000}"/>
            </a:ext>
          </a:extLst>
        </xdr:cNvPr>
        <xdr:cNvSpPr txBox="1">
          <a:spLocks noChangeArrowheads="1"/>
        </xdr:cNvSpPr>
      </xdr:nvSpPr>
      <xdr:spPr bwMode="auto">
        <a:xfrm>
          <a:off x="3901109" y="500310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986" name="Text Box 7">
          <a:extLst>
            <a:ext uri="{FF2B5EF4-FFF2-40B4-BE49-F238E27FC236}">
              <a16:creationId xmlns:a16="http://schemas.microsoft.com/office/drawing/2014/main" id="{00000000-0008-0000-0100-0000C2070000}"/>
            </a:ext>
          </a:extLst>
        </xdr:cNvPr>
        <xdr:cNvSpPr txBox="1">
          <a:spLocks noChangeArrowheads="1"/>
        </xdr:cNvSpPr>
      </xdr:nvSpPr>
      <xdr:spPr bwMode="auto">
        <a:xfrm>
          <a:off x="3901109" y="500310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987" name="Text Box 8">
          <a:extLst>
            <a:ext uri="{FF2B5EF4-FFF2-40B4-BE49-F238E27FC236}">
              <a16:creationId xmlns:a16="http://schemas.microsoft.com/office/drawing/2014/main" id="{00000000-0008-0000-0100-0000C3070000}"/>
            </a:ext>
          </a:extLst>
        </xdr:cNvPr>
        <xdr:cNvSpPr txBox="1">
          <a:spLocks noChangeArrowheads="1"/>
        </xdr:cNvSpPr>
      </xdr:nvSpPr>
      <xdr:spPr bwMode="auto">
        <a:xfrm>
          <a:off x="3901109" y="500310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988" name="Text Box 9">
          <a:extLst>
            <a:ext uri="{FF2B5EF4-FFF2-40B4-BE49-F238E27FC236}">
              <a16:creationId xmlns:a16="http://schemas.microsoft.com/office/drawing/2014/main" id="{00000000-0008-0000-0100-0000C4070000}"/>
            </a:ext>
          </a:extLst>
        </xdr:cNvPr>
        <xdr:cNvSpPr txBox="1">
          <a:spLocks noChangeArrowheads="1"/>
        </xdr:cNvSpPr>
      </xdr:nvSpPr>
      <xdr:spPr bwMode="auto">
        <a:xfrm>
          <a:off x="3901109" y="500310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989" name="Text Box 10">
          <a:extLst>
            <a:ext uri="{FF2B5EF4-FFF2-40B4-BE49-F238E27FC236}">
              <a16:creationId xmlns:a16="http://schemas.microsoft.com/office/drawing/2014/main" id="{00000000-0008-0000-0100-0000C5070000}"/>
            </a:ext>
          </a:extLst>
        </xdr:cNvPr>
        <xdr:cNvSpPr txBox="1">
          <a:spLocks noChangeArrowheads="1"/>
        </xdr:cNvSpPr>
      </xdr:nvSpPr>
      <xdr:spPr bwMode="auto">
        <a:xfrm>
          <a:off x="3901109" y="500310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990" name="Text Box 11">
          <a:extLst>
            <a:ext uri="{FF2B5EF4-FFF2-40B4-BE49-F238E27FC236}">
              <a16:creationId xmlns:a16="http://schemas.microsoft.com/office/drawing/2014/main" id="{00000000-0008-0000-0100-0000C6070000}"/>
            </a:ext>
          </a:extLst>
        </xdr:cNvPr>
        <xdr:cNvSpPr txBox="1">
          <a:spLocks noChangeArrowheads="1"/>
        </xdr:cNvSpPr>
      </xdr:nvSpPr>
      <xdr:spPr bwMode="auto">
        <a:xfrm>
          <a:off x="3901109" y="500310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1991" name="Text Box 12">
          <a:extLst>
            <a:ext uri="{FF2B5EF4-FFF2-40B4-BE49-F238E27FC236}">
              <a16:creationId xmlns:a16="http://schemas.microsoft.com/office/drawing/2014/main" id="{00000000-0008-0000-0100-0000C7070000}"/>
            </a:ext>
          </a:extLst>
        </xdr:cNvPr>
        <xdr:cNvSpPr txBox="1">
          <a:spLocks noChangeArrowheads="1"/>
        </xdr:cNvSpPr>
      </xdr:nvSpPr>
      <xdr:spPr bwMode="auto">
        <a:xfrm>
          <a:off x="3901109" y="50031097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992" name="Text Box 1">
          <a:extLst>
            <a:ext uri="{FF2B5EF4-FFF2-40B4-BE49-F238E27FC236}">
              <a16:creationId xmlns:a16="http://schemas.microsoft.com/office/drawing/2014/main" id="{00000000-0008-0000-0100-0000C8070000}"/>
            </a:ext>
          </a:extLst>
        </xdr:cNvPr>
        <xdr:cNvSpPr txBox="1">
          <a:spLocks noChangeArrowheads="1"/>
        </xdr:cNvSpPr>
      </xdr:nvSpPr>
      <xdr:spPr bwMode="auto">
        <a:xfrm>
          <a:off x="4580283" y="50031097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993" name="Text Box 1">
          <a:extLst>
            <a:ext uri="{FF2B5EF4-FFF2-40B4-BE49-F238E27FC236}">
              <a16:creationId xmlns:a16="http://schemas.microsoft.com/office/drawing/2014/main" id="{00000000-0008-0000-0100-0000C9070000}"/>
            </a:ext>
          </a:extLst>
        </xdr:cNvPr>
        <xdr:cNvSpPr txBox="1">
          <a:spLocks noChangeArrowheads="1"/>
        </xdr:cNvSpPr>
      </xdr:nvSpPr>
      <xdr:spPr bwMode="auto">
        <a:xfrm>
          <a:off x="4580283" y="50031097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994" name="Text Box 1">
          <a:extLst>
            <a:ext uri="{FF2B5EF4-FFF2-40B4-BE49-F238E27FC236}">
              <a16:creationId xmlns:a16="http://schemas.microsoft.com/office/drawing/2014/main" id="{00000000-0008-0000-0100-0000CA070000}"/>
            </a:ext>
          </a:extLst>
        </xdr:cNvPr>
        <xdr:cNvSpPr txBox="1">
          <a:spLocks noChangeArrowheads="1"/>
        </xdr:cNvSpPr>
      </xdr:nvSpPr>
      <xdr:spPr bwMode="auto">
        <a:xfrm>
          <a:off x="4580283" y="50031097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1995" name="Text Box 1">
          <a:extLst>
            <a:ext uri="{FF2B5EF4-FFF2-40B4-BE49-F238E27FC236}">
              <a16:creationId xmlns:a16="http://schemas.microsoft.com/office/drawing/2014/main" id="{00000000-0008-0000-0100-0000CB070000}"/>
            </a:ext>
          </a:extLst>
        </xdr:cNvPr>
        <xdr:cNvSpPr txBox="1">
          <a:spLocks noChangeArrowheads="1"/>
        </xdr:cNvSpPr>
      </xdr:nvSpPr>
      <xdr:spPr bwMode="auto">
        <a:xfrm>
          <a:off x="4580283" y="500310978"/>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96" name="Text Box 5">
          <a:extLst>
            <a:ext uri="{FF2B5EF4-FFF2-40B4-BE49-F238E27FC236}">
              <a16:creationId xmlns:a16="http://schemas.microsoft.com/office/drawing/2014/main" id="{00000000-0008-0000-0100-0000CC070000}"/>
            </a:ext>
          </a:extLst>
        </xdr:cNvPr>
        <xdr:cNvSpPr txBox="1">
          <a:spLocks noChangeArrowheads="1"/>
        </xdr:cNvSpPr>
      </xdr:nvSpPr>
      <xdr:spPr bwMode="auto">
        <a:xfrm>
          <a:off x="3901109" y="511045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1997" name="Text Box 6">
          <a:extLst>
            <a:ext uri="{FF2B5EF4-FFF2-40B4-BE49-F238E27FC236}">
              <a16:creationId xmlns:a16="http://schemas.microsoft.com/office/drawing/2014/main" id="{00000000-0008-0000-0100-0000CD070000}"/>
            </a:ext>
          </a:extLst>
        </xdr:cNvPr>
        <xdr:cNvSpPr txBox="1">
          <a:spLocks noChangeArrowheads="1"/>
        </xdr:cNvSpPr>
      </xdr:nvSpPr>
      <xdr:spPr bwMode="auto">
        <a:xfrm>
          <a:off x="3901109" y="51104523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98" name="Text Box 16">
          <a:extLst>
            <a:ext uri="{FF2B5EF4-FFF2-40B4-BE49-F238E27FC236}">
              <a16:creationId xmlns:a16="http://schemas.microsoft.com/office/drawing/2014/main" id="{00000000-0008-0000-0100-0000CE070000}"/>
            </a:ext>
          </a:extLst>
        </xdr:cNvPr>
        <xdr:cNvSpPr txBox="1">
          <a:spLocks noChangeArrowheads="1"/>
        </xdr:cNvSpPr>
      </xdr:nvSpPr>
      <xdr:spPr bwMode="auto">
        <a:xfrm>
          <a:off x="3901109" y="511045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1999" name="Text Box 17">
          <a:extLst>
            <a:ext uri="{FF2B5EF4-FFF2-40B4-BE49-F238E27FC236}">
              <a16:creationId xmlns:a16="http://schemas.microsoft.com/office/drawing/2014/main" id="{00000000-0008-0000-0100-0000CF070000}"/>
            </a:ext>
          </a:extLst>
        </xdr:cNvPr>
        <xdr:cNvSpPr txBox="1">
          <a:spLocks noChangeArrowheads="1"/>
        </xdr:cNvSpPr>
      </xdr:nvSpPr>
      <xdr:spPr bwMode="auto">
        <a:xfrm>
          <a:off x="3901109" y="511045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00" name="Text Box 18">
          <a:extLst>
            <a:ext uri="{FF2B5EF4-FFF2-40B4-BE49-F238E27FC236}">
              <a16:creationId xmlns:a16="http://schemas.microsoft.com/office/drawing/2014/main" id="{00000000-0008-0000-0100-0000D0070000}"/>
            </a:ext>
          </a:extLst>
        </xdr:cNvPr>
        <xdr:cNvSpPr txBox="1">
          <a:spLocks noChangeArrowheads="1"/>
        </xdr:cNvSpPr>
      </xdr:nvSpPr>
      <xdr:spPr bwMode="auto">
        <a:xfrm>
          <a:off x="3901109" y="511045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01" name="Text Box 19">
          <a:extLst>
            <a:ext uri="{FF2B5EF4-FFF2-40B4-BE49-F238E27FC236}">
              <a16:creationId xmlns:a16="http://schemas.microsoft.com/office/drawing/2014/main" id="{00000000-0008-0000-0100-0000D1070000}"/>
            </a:ext>
          </a:extLst>
        </xdr:cNvPr>
        <xdr:cNvSpPr txBox="1">
          <a:spLocks noChangeArrowheads="1"/>
        </xdr:cNvSpPr>
      </xdr:nvSpPr>
      <xdr:spPr bwMode="auto">
        <a:xfrm>
          <a:off x="3901109" y="511045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02" name="Text Box 20">
          <a:extLst>
            <a:ext uri="{FF2B5EF4-FFF2-40B4-BE49-F238E27FC236}">
              <a16:creationId xmlns:a16="http://schemas.microsoft.com/office/drawing/2014/main" id="{00000000-0008-0000-0100-0000D2070000}"/>
            </a:ext>
          </a:extLst>
        </xdr:cNvPr>
        <xdr:cNvSpPr txBox="1">
          <a:spLocks noChangeArrowheads="1"/>
        </xdr:cNvSpPr>
      </xdr:nvSpPr>
      <xdr:spPr bwMode="auto">
        <a:xfrm>
          <a:off x="3901109" y="511045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03" name="Text Box 21">
          <a:extLst>
            <a:ext uri="{FF2B5EF4-FFF2-40B4-BE49-F238E27FC236}">
              <a16:creationId xmlns:a16="http://schemas.microsoft.com/office/drawing/2014/main" id="{00000000-0008-0000-0100-0000D3070000}"/>
            </a:ext>
          </a:extLst>
        </xdr:cNvPr>
        <xdr:cNvSpPr txBox="1">
          <a:spLocks noChangeArrowheads="1"/>
        </xdr:cNvSpPr>
      </xdr:nvSpPr>
      <xdr:spPr bwMode="auto">
        <a:xfrm>
          <a:off x="3901109" y="511045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004" name="Text Box 22">
          <a:extLst>
            <a:ext uri="{FF2B5EF4-FFF2-40B4-BE49-F238E27FC236}">
              <a16:creationId xmlns:a16="http://schemas.microsoft.com/office/drawing/2014/main" id="{00000000-0008-0000-0100-0000D4070000}"/>
            </a:ext>
          </a:extLst>
        </xdr:cNvPr>
        <xdr:cNvSpPr txBox="1">
          <a:spLocks noChangeArrowheads="1"/>
        </xdr:cNvSpPr>
      </xdr:nvSpPr>
      <xdr:spPr bwMode="auto">
        <a:xfrm>
          <a:off x="3901109" y="51104523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005" name="Text Box 1">
          <a:extLst>
            <a:ext uri="{FF2B5EF4-FFF2-40B4-BE49-F238E27FC236}">
              <a16:creationId xmlns:a16="http://schemas.microsoft.com/office/drawing/2014/main" id="{00000000-0008-0000-0100-0000D5070000}"/>
            </a:ext>
          </a:extLst>
        </xdr:cNvPr>
        <xdr:cNvSpPr txBox="1">
          <a:spLocks noChangeArrowheads="1"/>
        </xdr:cNvSpPr>
      </xdr:nvSpPr>
      <xdr:spPr bwMode="auto">
        <a:xfrm>
          <a:off x="4580283" y="51104523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006" name="Text Box 1">
          <a:extLst>
            <a:ext uri="{FF2B5EF4-FFF2-40B4-BE49-F238E27FC236}">
              <a16:creationId xmlns:a16="http://schemas.microsoft.com/office/drawing/2014/main" id="{00000000-0008-0000-0100-0000D6070000}"/>
            </a:ext>
          </a:extLst>
        </xdr:cNvPr>
        <xdr:cNvSpPr txBox="1">
          <a:spLocks noChangeArrowheads="1"/>
        </xdr:cNvSpPr>
      </xdr:nvSpPr>
      <xdr:spPr bwMode="auto">
        <a:xfrm>
          <a:off x="4580283" y="51104523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007" name="Text Box 1">
          <a:extLst>
            <a:ext uri="{FF2B5EF4-FFF2-40B4-BE49-F238E27FC236}">
              <a16:creationId xmlns:a16="http://schemas.microsoft.com/office/drawing/2014/main" id="{00000000-0008-0000-0100-0000D7070000}"/>
            </a:ext>
          </a:extLst>
        </xdr:cNvPr>
        <xdr:cNvSpPr txBox="1">
          <a:spLocks noChangeArrowheads="1"/>
        </xdr:cNvSpPr>
      </xdr:nvSpPr>
      <xdr:spPr bwMode="auto">
        <a:xfrm>
          <a:off x="4580283" y="51104523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008" name="Text Box 1">
          <a:extLst>
            <a:ext uri="{FF2B5EF4-FFF2-40B4-BE49-F238E27FC236}">
              <a16:creationId xmlns:a16="http://schemas.microsoft.com/office/drawing/2014/main" id="{00000000-0008-0000-0100-0000D8070000}"/>
            </a:ext>
          </a:extLst>
        </xdr:cNvPr>
        <xdr:cNvSpPr txBox="1">
          <a:spLocks noChangeArrowheads="1"/>
        </xdr:cNvSpPr>
      </xdr:nvSpPr>
      <xdr:spPr bwMode="auto">
        <a:xfrm>
          <a:off x="4580283" y="51104523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09" name="Text Box 5">
          <a:extLst>
            <a:ext uri="{FF2B5EF4-FFF2-40B4-BE49-F238E27FC236}">
              <a16:creationId xmlns:a16="http://schemas.microsoft.com/office/drawing/2014/main" id="{00000000-0008-0000-0100-0000D9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0" name="Text Box 6">
          <a:extLst>
            <a:ext uri="{FF2B5EF4-FFF2-40B4-BE49-F238E27FC236}">
              <a16:creationId xmlns:a16="http://schemas.microsoft.com/office/drawing/2014/main" id="{00000000-0008-0000-0100-0000DA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1" name="Text Box 7">
          <a:extLst>
            <a:ext uri="{FF2B5EF4-FFF2-40B4-BE49-F238E27FC236}">
              <a16:creationId xmlns:a16="http://schemas.microsoft.com/office/drawing/2014/main" id="{00000000-0008-0000-0100-0000DB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2" name="Text Box 8">
          <a:extLst>
            <a:ext uri="{FF2B5EF4-FFF2-40B4-BE49-F238E27FC236}">
              <a16:creationId xmlns:a16="http://schemas.microsoft.com/office/drawing/2014/main" id="{00000000-0008-0000-0100-0000DC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3" name="Text Box 9">
          <a:extLst>
            <a:ext uri="{FF2B5EF4-FFF2-40B4-BE49-F238E27FC236}">
              <a16:creationId xmlns:a16="http://schemas.microsoft.com/office/drawing/2014/main" id="{00000000-0008-0000-0100-0000DD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4" name="Text Box 10">
          <a:extLst>
            <a:ext uri="{FF2B5EF4-FFF2-40B4-BE49-F238E27FC236}">
              <a16:creationId xmlns:a16="http://schemas.microsoft.com/office/drawing/2014/main" id="{00000000-0008-0000-0100-0000DE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5" name="Text Box 11">
          <a:extLst>
            <a:ext uri="{FF2B5EF4-FFF2-40B4-BE49-F238E27FC236}">
              <a16:creationId xmlns:a16="http://schemas.microsoft.com/office/drawing/2014/main" id="{00000000-0008-0000-0100-0000DF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6" name="Text Box 12">
          <a:extLst>
            <a:ext uri="{FF2B5EF4-FFF2-40B4-BE49-F238E27FC236}">
              <a16:creationId xmlns:a16="http://schemas.microsoft.com/office/drawing/2014/main" id="{00000000-0008-0000-0100-0000E0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7" name="Text Box 13">
          <a:extLst>
            <a:ext uri="{FF2B5EF4-FFF2-40B4-BE49-F238E27FC236}">
              <a16:creationId xmlns:a16="http://schemas.microsoft.com/office/drawing/2014/main" id="{00000000-0008-0000-0100-0000E1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018" name="Text Box 14">
          <a:extLst>
            <a:ext uri="{FF2B5EF4-FFF2-40B4-BE49-F238E27FC236}">
              <a16:creationId xmlns:a16="http://schemas.microsoft.com/office/drawing/2014/main" id="{00000000-0008-0000-0100-0000E2070000}"/>
            </a:ext>
          </a:extLst>
        </xdr:cNvPr>
        <xdr:cNvSpPr txBox="1">
          <a:spLocks noChangeArrowheads="1"/>
        </xdr:cNvSpPr>
      </xdr:nvSpPr>
      <xdr:spPr bwMode="auto">
        <a:xfrm>
          <a:off x="3901109" y="52177950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19" name="Text Box 15">
          <a:extLst>
            <a:ext uri="{FF2B5EF4-FFF2-40B4-BE49-F238E27FC236}">
              <a16:creationId xmlns:a16="http://schemas.microsoft.com/office/drawing/2014/main" id="{00000000-0008-0000-0100-0000E3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0" name="Text Box 16">
          <a:extLst>
            <a:ext uri="{FF2B5EF4-FFF2-40B4-BE49-F238E27FC236}">
              <a16:creationId xmlns:a16="http://schemas.microsoft.com/office/drawing/2014/main" id="{00000000-0008-0000-0100-0000E4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1" name="Text Box 17">
          <a:extLst>
            <a:ext uri="{FF2B5EF4-FFF2-40B4-BE49-F238E27FC236}">
              <a16:creationId xmlns:a16="http://schemas.microsoft.com/office/drawing/2014/main" id="{00000000-0008-0000-0100-0000E5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2" name="Text Box 18">
          <a:extLst>
            <a:ext uri="{FF2B5EF4-FFF2-40B4-BE49-F238E27FC236}">
              <a16:creationId xmlns:a16="http://schemas.microsoft.com/office/drawing/2014/main" id="{00000000-0008-0000-0100-0000E6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3" name="Text Box 19">
          <a:extLst>
            <a:ext uri="{FF2B5EF4-FFF2-40B4-BE49-F238E27FC236}">
              <a16:creationId xmlns:a16="http://schemas.microsoft.com/office/drawing/2014/main" id="{00000000-0008-0000-0100-0000E7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4" name="Text Box 20">
          <a:extLst>
            <a:ext uri="{FF2B5EF4-FFF2-40B4-BE49-F238E27FC236}">
              <a16:creationId xmlns:a16="http://schemas.microsoft.com/office/drawing/2014/main" id="{00000000-0008-0000-0100-0000E8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5" name="Text Box 21">
          <a:extLst>
            <a:ext uri="{FF2B5EF4-FFF2-40B4-BE49-F238E27FC236}">
              <a16:creationId xmlns:a16="http://schemas.microsoft.com/office/drawing/2014/main" id="{00000000-0008-0000-0100-0000E9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6" name="Text Box 22">
          <a:extLst>
            <a:ext uri="{FF2B5EF4-FFF2-40B4-BE49-F238E27FC236}">
              <a16:creationId xmlns:a16="http://schemas.microsoft.com/office/drawing/2014/main" id="{00000000-0008-0000-0100-0000EA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7" name="Text Box 7">
          <a:extLst>
            <a:ext uri="{FF2B5EF4-FFF2-40B4-BE49-F238E27FC236}">
              <a16:creationId xmlns:a16="http://schemas.microsoft.com/office/drawing/2014/main" id="{00000000-0008-0000-0100-0000EB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8" name="Text Box 8">
          <a:extLst>
            <a:ext uri="{FF2B5EF4-FFF2-40B4-BE49-F238E27FC236}">
              <a16:creationId xmlns:a16="http://schemas.microsoft.com/office/drawing/2014/main" id="{00000000-0008-0000-0100-0000EC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29" name="Text Box 9">
          <a:extLst>
            <a:ext uri="{FF2B5EF4-FFF2-40B4-BE49-F238E27FC236}">
              <a16:creationId xmlns:a16="http://schemas.microsoft.com/office/drawing/2014/main" id="{00000000-0008-0000-0100-0000ED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30" name="Text Box 10">
          <a:extLst>
            <a:ext uri="{FF2B5EF4-FFF2-40B4-BE49-F238E27FC236}">
              <a16:creationId xmlns:a16="http://schemas.microsoft.com/office/drawing/2014/main" id="{00000000-0008-0000-0100-0000EE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31" name="Text Box 11">
          <a:extLst>
            <a:ext uri="{FF2B5EF4-FFF2-40B4-BE49-F238E27FC236}">
              <a16:creationId xmlns:a16="http://schemas.microsoft.com/office/drawing/2014/main" id="{00000000-0008-0000-0100-0000EF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32" name="Text Box 12">
          <a:extLst>
            <a:ext uri="{FF2B5EF4-FFF2-40B4-BE49-F238E27FC236}">
              <a16:creationId xmlns:a16="http://schemas.microsoft.com/office/drawing/2014/main" id="{00000000-0008-0000-0100-0000F0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33" name="Text Box 13">
          <a:extLst>
            <a:ext uri="{FF2B5EF4-FFF2-40B4-BE49-F238E27FC236}">
              <a16:creationId xmlns:a16="http://schemas.microsoft.com/office/drawing/2014/main" id="{00000000-0008-0000-0100-0000F1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034" name="Text Box 14">
          <a:extLst>
            <a:ext uri="{FF2B5EF4-FFF2-40B4-BE49-F238E27FC236}">
              <a16:creationId xmlns:a16="http://schemas.microsoft.com/office/drawing/2014/main" id="{00000000-0008-0000-0100-0000F2070000}"/>
            </a:ext>
          </a:extLst>
        </xdr:cNvPr>
        <xdr:cNvSpPr txBox="1">
          <a:spLocks noChangeArrowheads="1"/>
        </xdr:cNvSpPr>
      </xdr:nvSpPr>
      <xdr:spPr bwMode="auto">
        <a:xfrm>
          <a:off x="3901109" y="52177950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035" name="Text Box 15">
          <a:extLst>
            <a:ext uri="{FF2B5EF4-FFF2-40B4-BE49-F238E27FC236}">
              <a16:creationId xmlns:a16="http://schemas.microsoft.com/office/drawing/2014/main" id="{00000000-0008-0000-0100-0000F3070000}"/>
            </a:ext>
          </a:extLst>
        </xdr:cNvPr>
        <xdr:cNvSpPr txBox="1">
          <a:spLocks noChangeArrowheads="1"/>
        </xdr:cNvSpPr>
      </xdr:nvSpPr>
      <xdr:spPr bwMode="auto">
        <a:xfrm>
          <a:off x="3901109" y="52177950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36" name="Text Box 5">
          <a:extLst>
            <a:ext uri="{FF2B5EF4-FFF2-40B4-BE49-F238E27FC236}">
              <a16:creationId xmlns:a16="http://schemas.microsoft.com/office/drawing/2014/main" id="{00000000-0008-0000-0100-0000F4070000}"/>
            </a:ext>
          </a:extLst>
        </xdr:cNvPr>
        <xdr:cNvSpPr txBox="1">
          <a:spLocks noChangeArrowheads="1"/>
        </xdr:cNvSpPr>
      </xdr:nvSpPr>
      <xdr:spPr bwMode="auto">
        <a:xfrm>
          <a:off x="3901109" y="5217795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037" name="Text Box 6">
          <a:extLst>
            <a:ext uri="{FF2B5EF4-FFF2-40B4-BE49-F238E27FC236}">
              <a16:creationId xmlns:a16="http://schemas.microsoft.com/office/drawing/2014/main" id="{00000000-0008-0000-0100-0000F5070000}"/>
            </a:ext>
          </a:extLst>
        </xdr:cNvPr>
        <xdr:cNvSpPr txBox="1">
          <a:spLocks noChangeArrowheads="1"/>
        </xdr:cNvSpPr>
      </xdr:nvSpPr>
      <xdr:spPr bwMode="auto">
        <a:xfrm>
          <a:off x="3901109" y="52177950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38" name="Text Box 7">
          <a:extLst>
            <a:ext uri="{FF2B5EF4-FFF2-40B4-BE49-F238E27FC236}">
              <a16:creationId xmlns:a16="http://schemas.microsoft.com/office/drawing/2014/main" id="{00000000-0008-0000-0100-0000F607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39" name="Text Box 8">
          <a:extLst>
            <a:ext uri="{FF2B5EF4-FFF2-40B4-BE49-F238E27FC236}">
              <a16:creationId xmlns:a16="http://schemas.microsoft.com/office/drawing/2014/main" id="{00000000-0008-0000-0100-0000F707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40" name="Text Box 9">
          <a:extLst>
            <a:ext uri="{FF2B5EF4-FFF2-40B4-BE49-F238E27FC236}">
              <a16:creationId xmlns:a16="http://schemas.microsoft.com/office/drawing/2014/main" id="{00000000-0008-0000-0100-0000F807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41" name="Text Box 10">
          <a:extLst>
            <a:ext uri="{FF2B5EF4-FFF2-40B4-BE49-F238E27FC236}">
              <a16:creationId xmlns:a16="http://schemas.microsoft.com/office/drawing/2014/main" id="{00000000-0008-0000-0100-0000F907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42" name="Text Box 11">
          <a:extLst>
            <a:ext uri="{FF2B5EF4-FFF2-40B4-BE49-F238E27FC236}">
              <a16:creationId xmlns:a16="http://schemas.microsoft.com/office/drawing/2014/main" id="{00000000-0008-0000-0100-0000FA07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43" name="Text Box 12">
          <a:extLst>
            <a:ext uri="{FF2B5EF4-FFF2-40B4-BE49-F238E27FC236}">
              <a16:creationId xmlns:a16="http://schemas.microsoft.com/office/drawing/2014/main" id="{00000000-0008-0000-0100-0000FB07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44" name="Text Box 13">
          <a:extLst>
            <a:ext uri="{FF2B5EF4-FFF2-40B4-BE49-F238E27FC236}">
              <a16:creationId xmlns:a16="http://schemas.microsoft.com/office/drawing/2014/main" id="{00000000-0008-0000-0100-0000FC07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045" name="Text Box 14">
          <a:extLst>
            <a:ext uri="{FF2B5EF4-FFF2-40B4-BE49-F238E27FC236}">
              <a16:creationId xmlns:a16="http://schemas.microsoft.com/office/drawing/2014/main" id="{00000000-0008-0000-0100-0000FD070000}"/>
            </a:ext>
          </a:extLst>
        </xdr:cNvPr>
        <xdr:cNvSpPr txBox="1">
          <a:spLocks noChangeArrowheads="1"/>
        </xdr:cNvSpPr>
      </xdr:nvSpPr>
      <xdr:spPr bwMode="auto">
        <a:xfrm>
          <a:off x="3901109" y="52177950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46" name="Text Box 15">
          <a:extLst>
            <a:ext uri="{FF2B5EF4-FFF2-40B4-BE49-F238E27FC236}">
              <a16:creationId xmlns:a16="http://schemas.microsoft.com/office/drawing/2014/main" id="{00000000-0008-0000-0100-0000FE07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47" name="Text Box 16">
          <a:extLst>
            <a:ext uri="{FF2B5EF4-FFF2-40B4-BE49-F238E27FC236}">
              <a16:creationId xmlns:a16="http://schemas.microsoft.com/office/drawing/2014/main" id="{00000000-0008-0000-0100-0000FF070000}"/>
            </a:ext>
          </a:extLst>
        </xdr:cNvPr>
        <xdr:cNvSpPr txBox="1">
          <a:spLocks noChangeArrowheads="1"/>
        </xdr:cNvSpPr>
      </xdr:nvSpPr>
      <xdr:spPr bwMode="auto">
        <a:xfrm>
          <a:off x="3901109" y="5217795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48" name="Text Box 17">
          <a:extLst>
            <a:ext uri="{FF2B5EF4-FFF2-40B4-BE49-F238E27FC236}">
              <a16:creationId xmlns:a16="http://schemas.microsoft.com/office/drawing/2014/main" id="{00000000-0008-0000-0100-000000080000}"/>
            </a:ext>
          </a:extLst>
        </xdr:cNvPr>
        <xdr:cNvSpPr txBox="1">
          <a:spLocks noChangeArrowheads="1"/>
        </xdr:cNvSpPr>
      </xdr:nvSpPr>
      <xdr:spPr bwMode="auto">
        <a:xfrm>
          <a:off x="3901109" y="5217795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49" name="Text Box 18">
          <a:extLst>
            <a:ext uri="{FF2B5EF4-FFF2-40B4-BE49-F238E27FC236}">
              <a16:creationId xmlns:a16="http://schemas.microsoft.com/office/drawing/2014/main" id="{00000000-0008-0000-0100-000001080000}"/>
            </a:ext>
          </a:extLst>
        </xdr:cNvPr>
        <xdr:cNvSpPr txBox="1">
          <a:spLocks noChangeArrowheads="1"/>
        </xdr:cNvSpPr>
      </xdr:nvSpPr>
      <xdr:spPr bwMode="auto">
        <a:xfrm>
          <a:off x="3901109" y="5217795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50" name="Text Box 19">
          <a:extLst>
            <a:ext uri="{FF2B5EF4-FFF2-40B4-BE49-F238E27FC236}">
              <a16:creationId xmlns:a16="http://schemas.microsoft.com/office/drawing/2014/main" id="{00000000-0008-0000-0100-000002080000}"/>
            </a:ext>
          </a:extLst>
        </xdr:cNvPr>
        <xdr:cNvSpPr txBox="1">
          <a:spLocks noChangeArrowheads="1"/>
        </xdr:cNvSpPr>
      </xdr:nvSpPr>
      <xdr:spPr bwMode="auto">
        <a:xfrm>
          <a:off x="3901109" y="5217795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51" name="Text Box 20">
          <a:extLst>
            <a:ext uri="{FF2B5EF4-FFF2-40B4-BE49-F238E27FC236}">
              <a16:creationId xmlns:a16="http://schemas.microsoft.com/office/drawing/2014/main" id="{00000000-0008-0000-0100-000003080000}"/>
            </a:ext>
          </a:extLst>
        </xdr:cNvPr>
        <xdr:cNvSpPr txBox="1">
          <a:spLocks noChangeArrowheads="1"/>
        </xdr:cNvSpPr>
      </xdr:nvSpPr>
      <xdr:spPr bwMode="auto">
        <a:xfrm>
          <a:off x="3901109" y="5217795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052" name="Text Box 21">
          <a:extLst>
            <a:ext uri="{FF2B5EF4-FFF2-40B4-BE49-F238E27FC236}">
              <a16:creationId xmlns:a16="http://schemas.microsoft.com/office/drawing/2014/main" id="{00000000-0008-0000-0100-000004080000}"/>
            </a:ext>
          </a:extLst>
        </xdr:cNvPr>
        <xdr:cNvSpPr txBox="1">
          <a:spLocks noChangeArrowheads="1"/>
        </xdr:cNvSpPr>
      </xdr:nvSpPr>
      <xdr:spPr bwMode="auto">
        <a:xfrm>
          <a:off x="3901109" y="52177950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053" name="Text Box 22">
          <a:extLst>
            <a:ext uri="{FF2B5EF4-FFF2-40B4-BE49-F238E27FC236}">
              <a16:creationId xmlns:a16="http://schemas.microsoft.com/office/drawing/2014/main" id="{00000000-0008-0000-0100-000005080000}"/>
            </a:ext>
          </a:extLst>
        </xdr:cNvPr>
        <xdr:cNvSpPr txBox="1">
          <a:spLocks noChangeArrowheads="1"/>
        </xdr:cNvSpPr>
      </xdr:nvSpPr>
      <xdr:spPr bwMode="auto">
        <a:xfrm>
          <a:off x="3901109" y="52177950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54" name="Text Box 7">
          <a:extLst>
            <a:ext uri="{FF2B5EF4-FFF2-40B4-BE49-F238E27FC236}">
              <a16:creationId xmlns:a16="http://schemas.microsoft.com/office/drawing/2014/main" id="{00000000-0008-0000-0100-00000608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55" name="Text Box 8">
          <a:extLst>
            <a:ext uri="{FF2B5EF4-FFF2-40B4-BE49-F238E27FC236}">
              <a16:creationId xmlns:a16="http://schemas.microsoft.com/office/drawing/2014/main" id="{00000000-0008-0000-0100-00000708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56" name="Text Box 9">
          <a:extLst>
            <a:ext uri="{FF2B5EF4-FFF2-40B4-BE49-F238E27FC236}">
              <a16:creationId xmlns:a16="http://schemas.microsoft.com/office/drawing/2014/main" id="{00000000-0008-0000-0100-00000808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57" name="Text Box 10">
          <a:extLst>
            <a:ext uri="{FF2B5EF4-FFF2-40B4-BE49-F238E27FC236}">
              <a16:creationId xmlns:a16="http://schemas.microsoft.com/office/drawing/2014/main" id="{00000000-0008-0000-0100-00000908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58" name="Text Box 11">
          <a:extLst>
            <a:ext uri="{FF2B5EF4-FFF2-40B4-BE49-F238E27FC236}">
              <a16:creationId xmlns:a16="http://schemas.microsoft.com/office/drawing/2014/main" id="{00000000-0008-0000-0100-00000A08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59" name="Text Box 12">
          <a:extLst>
            <a:ext uri="{FF2B5EF4-FFF2-40B4-BE49-F238E27FC236}">
              <a16:creationId xmlns:a16="http://schemas.microsoft.com/office/drawing/2014/main" id="{00000000-0008-0000-0100-00000B08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60" name="Text Box 13">
          <a:extLst>
            <a:ext uri="{FF2B5EF4-FFF2-40B4-BE49-F238E27FC236}">
              <a16:creationId xmlns:a16="http://schemas.microsoft.com/office/drawing/2014/main" id="{00000000-0008-0000-0100-00000C08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061" name="Text Box 14">
          <a:extLst>
            <a:ext uri="{FF2B5EF4-FFF2-40B4-BE49-F238E27FC236}">
              <a16:creationId xmlns:a16="http://schemas.microsoft.com/office/drawing/2014/main" id="{00000000-0008-0000-0100-00000D080000}"/>
            </a:ext>
          </a:extLst>
        </xdr:cNvPr>
        <xdr:cNvSpPr txBox="1">
          <a:spLocks noChangeArrowheads="1"/>
        </xdr:cNvSpPr>
      </xdr:nvSpPr>
      <xdr:spPr bwMode="auto">
        <a:xfrm>
          <a:off x="3901109" y="52177950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062" name="Text Box 15">
          <a:extLst>
            <a:ext uri="{FF2B5EF4-FFF2-40B4-BE49-F238E27FC236}">
              <a16:creationId xmlns:a16="http://schemas.microsoft.com/office/drawing/2014/main" id="{00000000-0008-0000-0100-00000E080000}"/>
            </a:ext>
          </a:extLst>
        </xdr:cNvPr>
        <xdr:cNvSpPr txBox="1">
          <a:spLocks noChangeArrowheads="1"/>
        </xdr:cNvSpPr>
      </xdr:nvSpPr>
      <xdr:spPr bwMode="auto">
        <a:xfrm>
          <a:off x="3901109" y="52177950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63" name="Text Box 5">
          <a:extLst>
            <a:ext uri="{FF2B5EF4-FFF2-40B4-BE49-F238E27FC236}">
              <a16:creationId xmlns:a16="http://schemas.microsoft.com/office/drawing/2014/main" id="{00000000-0008-0000-0100-00000F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064" name="Text Box 6">
          <a:extLst>
            <a:ext uri="{FF2B5EF4-FFF2-40B4-BE49-F238E27FC236}">
              <a16:creationId xmlns:a16="http://schemas.microsoft.com/office/drawing/2014/main" id="{00000000-0008-0000-0100-000010080000}"/>
            </a:ext>
          </a:extLst>
        </xdr:cNvPr>
        <xdr:cNvSpPr txBox="1">
          <a:spLocks noChangeArrowheads="1"/>
        </xdr:cNvSpPr>
      </xdr:nvSpPr>
      <xdr:spPr bwMode="auto">
        <a:xfrm>
          <a:off x="3901109" y="52177950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65" name="Text Box 7">
          <a:extLst>
            <a:ext uri="{FF2B5EF4-FFF2-40B4-BE49-F238E27FC236}">
              <a16:creationId xmlns:a16="http://schemas.microsoft.com/office/drawing/2014/main" id="{00000000-0008-0000-0100-000011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66" name="Text Box 8">
          <a:extLst>
            <a:ext uri="{FF2B5EF4-FFF2-40B4-BE49-F238E27FC236}">
              <a16:creationId xmlns:a16="http://schemas.microsoft.com/office/drawing/2014/main" id="{00000000-0008-0000-0100-000012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67" name="Text Box 9">
          <a:extLst>
            <a:ext uri="{FF2B5EF4-FFF2-40B4-BE49-F238E27FC236}">
              <a16:creationId xmlns:a16="http://schemas.microsoft.com/office/drawing/2014/main" id="{00000000-0008-0000-0100-000013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68" name="Text Box 10">
          <a:extLst>
            <a:ext uri="{FF2B5EF4-FFF2-40B4-BE49-F238E27FC236}">
              <a16:creationId xmlns:a16="http://schemas.microsoft.com/office/drawing/2014/main" id="{00000000-0008-0000-0100-000014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69" name="Text Box 11">
          <a:extLst>
            <a:ext uri="{FF2B5EF4-FFF2-40B4-BE49-F238E27FC236}">
              <a16:creationId xmlns:a16="http://schemas.microsoft.com/office/drawing/2014/main" id="{00000000-0008-0000-0100-000015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0" name="Text Box 12">
          <a:extLst>
            <a:ext uri="{FF2B5EF4-FFF2-40B4-BE49-F238E27FC236}">
              <a16:creationId xmlns:a16="http://schemas.microsoft.com/office/drawing/2014/main" id="{00000000-0008-0000-0100-000016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1" name="Text Box 13">
          <a:extLst>
            <a:ext uri="{FF2B5EF4-FFF2-40B4-BE49-F238E27FC236}">
              <a16:creationId xmlns:a16="http://schemas.microsoft.com/office/drawing/2014/main" id="{00000000-0008-0000-0100-000017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072" name="Text Box 14">
          <a:extLst>
            <a:ext uri="{FF2B5EF4-FFF2-40B4-BE49-F238E27FC236}">
              <a16:creationId xmlns:a16="http://schemas.microsoft.com/office/drawing/2014/main" id="{00000000-0008-0000-0100-000018080000}"/>
            </a:ext>
          </a:extLst>
        </xdr:cNvPr>
        <xdr:cNvSpPr txBox="1">
          <a:spLocks noChangeArrowheads="1"/>
        </xdr:cNvSpPr>
      </xdr:nvSpPr>
      <xdr:spPr bwMode="auto">
        <a:xfrm>
          <a:off x="3901109" y="52177950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3" name="Text Box 15">
          <a:extLst>
            <a:ext uri="{FF2B5EF4-FFF2-40B4-BE49-F238E27FC236}">
              <a16:creationId xmlns:a16="http://schemas.microsoft.com/office/drawing/2014/main" id="{00000000-0008-0000-0100-000019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4" name="Text Box 16">
          <a:extLst>
            <a:ext uri="{FF2B5EF4-FFF2-40B4-BE49-F238E27FC236}">
              <a16:creationId xmlns:a16="http://schemas.microsoft.com/office/drawing/2014/main" id="{00000000-0008-0000-0100-00001A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5" name="Text Box 17">
          <a:extLst>
            <a:ext uri="{FF2B5EF4-FFF2-40B4-BE49-F238E27FC236}">
              <a16:creationId xmlns:a16="http://schemas.microsoft.com/office/drawing/2014/main" id="{00000000-0008-0000-0100-00001B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6" name="Text Box 18">
          <a:extLst>
            <a:ext uri="{FF2B5EF4-FFF2-40B4-BE49-F238E27FC236}">
              <a16:creationId xmlns:a16="http://schemas.microsoft.com/office/drawing/2014/main" id="{00000000-0008-0000-0100-00001C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7" name="Text Box 19">
          <a:extLst>
            <a:ext uri="{FF2B5EF4-FFF2-40B4-BE49-F238E27FC236}">
              <a16:creationId xmlns:a16="http://schemas.microsoft.com/office/drawing/2014/main" id="{00000000-0008-0000-0100-00001D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8" name="Text Box 20">
          <a:extLst>
            <a:ext uri="{FF2B5EF4-FFF2-40B4-BE49-F238E27FC236}">
              <a16:creationId xmlns:a16="http://schemas.microsoft.com/office/drawing/2014/main" id="{00000000-0008-0000-0100-00001E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79" name="Text Box 21">
          <a:extLst>
            <a:ext uri="{FF2B5EF4-FFF2-40B4-BE49-F238E27FC236}">
              <a16:creationId xmlns:a16="http://schemas.microsoft.com/office/drawing/2014/main" id="{00000000-0008-0000-0100-00001F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080" name="Text Box 22">
          <a:extLst>
            <a:ext uri="{FF2B5EF4-FFF2-40B4-BE49-F238E27FC236}">
              <a16:creationId xmlns:a16="http://schemas.microsoft.com/office/drawing/2014/main" id="{00000000-0008-0000-0100-000020080000}"/>
            </a:ext>
          </a:extLst>
        </xdr:cNvPr>
        <xdr:cNvSpPr txBox="1">
          <a:spLocks noChangeArrowheads="1"/>
        </xdr:cNvSpPr>
      </xdr:nvSpPr>
      <xdr:spPr bwMode="auto">
        <a:xfrm>
          <a:off x="3901109" y="52177950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81" name="Text Box 7">
          <a:extLst>
            <a:ext uri="{FF2B5EF4-FFF2-40B4-BE49-F238E27FC236}">
              <a16:creationId xmlns:a16="http://schemas.microsoft.com/office/drawing/2014/main" id="{00000000-0008-0000-0100-000021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82" name="Text Box 8">
          <a:extLst>
            <a:ext uri="{FF2B5EF4-FFF2-40B4-BE49-F238E27FC236}">
              <a16:creationId xmlns:a16="http://schemas.microsoft.com/office/drawing/2014/main" id="{00000000-0008-0000-0100-000022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83" name="Text Box 9">
          <a:extLst>
            <a:ext uri="{FF2B5EF4-FFF2-40B4-BE49-F238E27FC236}">
              <a16:creationId xmlns:a16="http://schemas.microsoft.com/office/drawing/2014/main" id="{00000000-0008-0000-0100-000023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84" name="Text Box 10">
          <a:extLst>
            <a:ext uri="{FF2B5EF4-FFF2-40B4-BE49-F238E27FC236}">
              <a16:creationId xmlns:a16="http://schemas.microsoft.com/office/drawing/2014/main" id="{00000000-0008-0000-0100-000024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85" name="Text Box 11">
          <a:extLst>
            <a:ext uri="{FF2B5EF4-FFF2-40B4-BE49-F238E27FC236}">
              <a16:creationId xmlns:a16="http://schemas.microsoft.com/office/drawing/2014/main" id="{00000000-0008-0000-0100-000025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86" name="Text Box 12">
          <a:extLst>
            <a:ext uri="{FF2B5EF4-FFF2-40B4-BE49-F238E27FC236}">
              <a16:creationId xmlns:a16="http://schemas.microsoft.com/office/drawing/2014/main" id="{00000000-0008-0000-0100-000026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087" name="Text Box 13">
          <a:extLst>
            <a:ext uri="{FF2B5EF4-FFF2-40B4-BE49-F238E27FC236}">
              <a16:creationId xmlns:a16="http://schemas.microsoft.com/office/drawing/2014/main" id="{00000000-0008-0000-0100-000027080000}"/>
            </a:ext>
          </a:extLst>
        </xdr:cNvPr>
        <xdr:cNvSpPr txBox="1">
          <a:spLocks noChangeArrowheads="1"/>
        </xdr:cNvSpPr>
      </xdr:nvSpPr>
      <xdr:spPr bwMode="auto">
        <a:xfrm>
          <a:off x="3901109" y="52177950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088" name="Text Box 14">
          <a:extLst>
            <a:ext uri="{FF2B5EF4-FFF2-40B4-BE49-F238E27FC236}">
              <a16:creationId xmlns:a16="http://schemas.microsoft.com/office/drawing/2014/main" id="{00000000-0008-0000-0100-000028080000}"/>
            </a:ext>
          </a:extLst>
        </xdr:cNvPr>
        <xdr:cNvSpPr txBox="1">
          <a:spLocks noChangeArrowheads="1"/>
        </xdr:cNvSpPr>
      </xdr:nvSpPr>
      <xdr:spPr bwMode="auto">
        <a:xfrm>
          <a:off x="3901109" y="52177950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089" name="Text Box 5">
          <a:extLst>
            <a:ext uri="{FF2B5EF4-FFF2-40B4-BE49-F238E27FC236}">
              <a16:creationId xmlns:a16="http://schemas.microsoft.com/office/drawing/2014/main" id="{00000000-0008-0000-0100-000029080000}"/>
            </a:ext>
          </a:extLst>
        </xdr:cNvPr>
        <xdr:cNvSpPr txBox="1">
          <a:spLocks noChangeArrowheads="1"/>
        </xdr:cNvSpPr>
      </xdr:nvSpPr>
      <xdr:spPr bwMode="auto">
        <a:xfrm>
          <a:off x="3901109" y="5217795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090" name="Text Box 6">
          <a:extLst>
            <a:ext uri="{FF2B5EF4-FFF2-40B4-BE49-F238E27FC236}">
              <a16:creationId xmlns:a16="http://schemas.microsoft.com/office/drawing/2014/main" id="{00000000-0008-0000-0100-00002A080000}"/>
            </a:ext>
          </a:extLst>
        </xdr:cNvPr>
        <xdr:cNvSpPr txBox="1">
          <a:spLocks noChangeArrowheads="1"/>
        </xdr:cNvSpPr>
      </xdr:nvSpPr>
      <xdr:spPr bwMode="auto">
        <a:xfrm>
          <a:off x="3901109" y="5217795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091" name="Text Box 7">
          <a:extLst>
            <a:ext uri="{FF2B5EF4-FFF2-40B4-BE49-F238E27FC236}">
              <a16:creationId xmlns:a16="http://schemas.microsoft.com/office/drawing/2014/main" id="{00000000-0008-0000-0100-00002B080000}"/>
            </a:ext>
          </a:extLst>
        </xdr:cNvPr>
        <xdr:cNvSpPr txBox="1">
          <a:spLocks noChangeArrowheads="1"/>
        </xdr:cNvSpPr>
      </xdr:nvSpPr>
      <xdr:spPr bwMode="auto">
        <a:xfrm>
          <a:off x="3901109" y="5217795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092" name="Text Box 8">
          <a:extLst>
            <a:ext uri="{FF2B5EF4-FFF2-40B4-BE49-F238E27FC236}">
              <a16:creationId xmlns:a16="http://schemas.microsoft.com/office/drawing/2014/main" id="{00000000-0008-0000-0100-00002C080000}"/>
            </a:ext>
          </a:extLst>
        </xdr:cNvPr>
        <xdr:cNvSpPr txBox="1">
          <a:spLocks noChangeArrowheads="1"/>
        </xdr:cNvSpPr>
      </xdr:nvSpPr>
      <xdr:spPr bwMode="auto">
        <a:xfrm>
          <a:off x="3901109" y="5217795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093" name="Text Box 9">
          <a:extLst>
            <a:ext uri="{FF2B5EF4-FFF2-40B4-BE49-F238E27FC236}">
              <a16:creationId xmlns:a16="http://schemas.microsoft.com/office/drawing/2014/main" id="{00000000-0008-0000-0100-00002D080000}"/>
            </a:ext>
          </a:extLst>
        </xdr:cNvPr>
        <xdr:cNvSpPr txBox="1">
          <a:spLocks noChangeArrowheads="1"/>
        </xdr:cNvSpPr>
      </xdr:nvSpPr>
      <xdr:spPr bwMode="auto">
        <a:xfrm>
          <a:off x="3901109" y="5217795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094" name="Text Box 10">
          <a:extLst>
            <a:ext uri="{FF2B5EF4-FFF2-40B4-BE49-F238E27FC236}">
              <a16:creationId xmlns:a16="http://schemas.microsoft.com/office/drawing/2014/main" id="{00000000-0008-0000-0100-00002E080000}"/>
            </a:ext>
          </a:extLst>
        </xdr:cNvPr>
        <xdr:cNvSpPr txBox="1">
          <a:spLocks noChangeArrowheads="1"/>
        </xdr:cNvSpPr>
      </xdr:nvSpPr>
      <xdr:spPr bwMode="auto">
        <a:xfrm>
          <a:off x="3901109" y="5217795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095" name="Text Box 11">
          <a:extLst>
            <a:ext uri="{FF2B5EF4-FFF2-40B4-BE49-F238E27FC236}">
              <a16:creationId xmlns:a16="http://schemas.microsoft.com/office/drawing/2014/main" id="{00000000-0008-0000-0100-00002F080000}"/>
            </a:ext>
          </a:extLst>
        </xdr:cNvPr>
        <xdr:cNvSpPr txBox="1">
          <a:spLocks noChangeArrowheads="1"/>
        </xdr:cNvSpPr>
      </xdr:nvSpPr>
      <xdr:spPr bwMode="auto">
        <a:xfrm>
          <a:off x="3901109" y="5217795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096" name="Text Box 12">
          <a:extLst>
            <a:ext uri="{FF2B5EF4-FFF2-40B4-BE49-F238E27FC236}">
              <a16:creationId xmlns:a16="http://schemas.microsoft.com/office/drawing/2014/main" id="{00000000-0008-0000-0100-000030080000}"/>
            </a:ext>
          </a:extLst>
        </xdr:cNvPr>
        <xdr:cNvSpPr txBox="1">
          <a:spLocks noChangeArrowheads="1"/>
        </xdr:cNvSpPr>
      </xdr:nvSpPr>
      <xdr:spPr bwMode="auto">
        <a:xfrm>
          <a:off x="3901109" y="52177950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097" name="Text Box 1">
          <a:extLst>
            <a:ext uri="{FF2B5EF4-FFF2-40B4-BE49-F238E27FC236}">
              <a16:creationId xmlns:a16="http://schemas.microsoft.com/office/drawing/2014/main" id="{00000000-0008-0000-0100-000031080000}"/>
            </a:ext>
          </a:extLst>
        </xdr:cNvPr>
        <xdr:cNvSpPr txBox="1">
          <a:spLocks noChangeArrowheads="1"/>
        </xdr:cNvSpPr>
      </xdr:nvSpPr>
      <xdr:spPr bwMode="auto">
        <a:xfrm>
          <a:off x="4580283" y="5217795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098" name="Text Box 1">
          <a:extLst>
            <a:ext uri="{FF2B5EF4-FFF2-40B4-BE49-F238E27FC236}">
              <a16:creationId xmlns:a16="http://schemas.microsoft.com/office/drawing/2014/main" id="{00000000-0008-0000-0100-000032080000}"/>
            </a:ext>
          </a:extLst>
        </xdr:cNvPr>
        <xdr:cNvSpPr txBox="1">
          <a:spLocks noChangeArrowheads="1"/>
        </xdr:cNvSpPr>
      </xdr:nvSpPr>
      <xdr:spPr bwMode="auto">
        <a:xfrm>
          <a:off x="4580283" y="5217795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099" name="Text Box 1">
          <a:extLst>
            <a:ext uri="{FF2B5EF4-FFF2-40B4-BE49-F238E27FC236}">
              <a16:creationId xmlns:a16="http://schemas.microsoft.com/office/drawing/2014/main" id="{00000000-0008-0000-0100-000033080000}"/>
            </a:ext>
          </a:extLst>
        </xdr:cNvPr>
        <xdr:cNvSpPr txBox="1">
          <a:spLocks noChangeArrowheads="1"/>
        </xdr:cNvSpPr>
      </xdr:nvSpPr>
      <xdr:spPr bwMode="auto">
        <a:xfrm>
          <a:off x="4580283" y="5217795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100" name="Text Box 1">
          <a:extLst>
            <a:ext uri="{FF2B5EF4-FFF2-40B4-BE49-F238E27FC236}">
              <a16:creationId xmlns:a16="http://schemas.microsoft.com/office/drawing/2014/main" id="{00000000-0008-0000-0100-000034080000}"/>
            </a:ext>
          </a:extLst>
        </xdr:cNvPr>
        <xdr:cNvSpPr txBox="1">
          <a:spLocks noChangeArrowheads="1"/>
        </xdr:cNvSpPr>
      </xdr:nvSpPr>
      <xdr:spPr bwMode="auto">
        <a:xfrm>
          <a:off x="4580283" y="52177950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01" name="Text Box 5">
          <a:extLst>
            <a:ext uri="{FF2B5EF4-FFF2-40B4-BE49-F238E27FC236}">
              <a16:creationId xmlns:a16="http://schemas.microsoft.com/office/drawing/2014/main" id="{00000000-0008-0000-0100-000035080000}"/>
            </a:ext>
          </a:extLst>
        </xdr:cNvPr>
        <xdr:cNvSpPr txBox="1">
          <a:spLocks noChangeArrowheads="1"/>
        </xdr:cNvSpPr>
      </xdr:nvSpPr>
      <xdr:spPr bwMode="auto">
        <a:xfrm>
          <a:off x="3901109" y="5325137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102" name="Text Box 6">
          <a:extLst>
            <a:ext uri="{FF2B5EF4-FFF2-40B4-BE49-F238E27FC236}">
              <a16:creationId xmlns:a16="http://schemas.microsoft.com/office/drawing/2014/main" id="{00000000-0008-0000-0100-000036080000}"/>
            </a:ext>
          </a:extLst>
        </xdr:cNvPr>
        <xdr:cNvSpPr txBox="1">
          <a:spLocks noChangeArrowheads="1"/>
        </xdr:cNvSpPr>
      </xdr:nvSpPr>
      <xdr:spPr bwMode="auto">
        <a:xfrm>
          <a:off x="3901109" y="532513761"/>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03" name="Text Box 16">
          <a:extLst>
            <a:ext uri="{FF2B5EF4-FFF2-40B4-BE49-F238E27FC236}">
              <a16:creationId xmlns:a16="http://schemas.microsoft.com/office/drawing/2014/main" id="{00000000-0008-0000-0100-000037080000}"/>
            </a:ext>
          </a:extLst>
        </xdr:cNvPr>
        <xdr:cNvSpPr txBox="1">
          <a:spLocks noChangeArrowheads="1"/>
        </xdr:cNvSpPr>
      </xdr:nvSpPr>
      <xdr:spPr bwMode="auto">
        <a:xfrm>
          <a:off x="3901109" y="5325137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04" name="Text Box 17">
          <a:extLst>
            <a:ext uri="{FF2B5EF4-FFF2-40B4-BE49-F238E27FC236}">
              <a16:creationId xmlns:a16="http://schemas.microsoft.com/office/drawing/2014/main" id="{00000000-0008-0000-0100-000038080000}"/>
            </a:ext>
          </a:extLst>
        </xdr:cNvPr>
        <xdr:cNvSpPr txBox="1">
          <a:spLocks noChangeArrowheads="1"/>
        </xdr:cNvSpPr>
      </xdr:nvSpPr>
      <xdr:spPr bwMode="auto">
        <a:xfrm>
          <a:off x="3901109" y="5325137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05" name="Text Box 18">
          <a:extLst>
            <a:ext uri="{FF2B5EF4-FFF2-40B4-BE49-F238E27FC236}">
              <a16:creationId xmlns:a16="http://schemas.microsoft.com/office/drawing/2014/main" id="{00000000-0008-0000-0100-000039080000}"/>
            </a:ext>
          </a:extLst>
        </xdr:cNvPr>
        <xdr:cNvSpPr txBox="1">
          <a:spLocks noChangeArrowheads="1"/>
        </xdr:cNvSpPr>
      </xdr:nvSpPr>
      <xdr:spPr bwMode="auto">
        <a:xfrm>
          <a:off x="3901109" y="5325137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06" name="Text Box 19">
          <a:extLst>
            <a:ext uri="{FF2B5EF4-FFF2-40B4-BE49-F238E27FC236}">
              <a16:creationId xmlns:a16="http://schemas.microsoft.com/office/drawing/2014/main" id="{00000000-0008-0000-0100-00003A080000}"/>
            </a:ext>
          </a:extLst>
        </xdr:cNvPr>
        <xdr:cNvSpPr txBox="1">
          <a:spLocks noChangeArrowheads="1"/>
        </xdr:cNvSpPr>
      </xdr:nvSpPr>
      <xdr:spPr bwMode="auto">
        <a:xfrm>
          <a:off x="3901109" y="5325137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07" name="Text Box 20">
          <a:extLst>
            <a:ext uri="{FF2B5EF4-FFF2-40B4-BE49-F238E27FC236}">
              <a16:creationId xmlns:a16="http://schemas.microsoft.com/office/drawing/2014/main" id="{00000000-0008-0000-0100-00003B080000}"/>
            </a:ext>
          </a:extLst>
        </xdr:cNvPr>
        <xdr:cNvSpPr txBox="1">
          <a:spLocks noChangeArrowheads="1"/>
        </xdr:cNvSpPr>
      </xdr:nvSpPr>
      <xdr:spPr bwMode="auto">
        <a:xfrm>
          <a:off x="3901109" y="5325137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08" name="Text Box 21">
          <a:extLst>
            <a:ext uri="{FF2B5EF4-FFF2-40B4-BE49-F238E27FC236}">
              <a16:creationId xmlns:a16="http://schemas.microsoft.com/office/drawing/2014/main" id="{00000000-0008-0000-0100-00003C080000}"/>
            </a:ext>
          </a:extLst>
        </xdr:cNvPr>
        <xdr:cNvSpPr txBox="1">
          <a:spLocks noChangeArrowheads="1"/>
        </xdr:cNvSpPr>
      </xdr:nvSpPr>
      <xdr:spPr bwMode="auto">
        <a:xfrm>
          <a:off x="3901109" y="53251376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109" name="Text Box 22">
          <a:extLst>
            <a:ext uri="{FF2B5EF4-FFF2-40B4-BE49-F238E27FC236}">
              <a16:creationId xmlns:a16="http://schemas.microsoft.com/office/drawing/2014/main" id="{00000000-0008-0000-0100-00003D080000}"/>
            </a:ext>
          </a:extLst>
        </xdr:cNvPr>
        <xdr:cNvSpPr txBox="1">
          <a:spLocks noChangeArrowheads="1"/>
        </xdr:cNvSpPr>
      </xdr:nvSpPr>
      <xdr:spPr bwMode="auto">
        <a:xfrm>
          <a:off x="3901109" y="532513761"/>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110" name="Text Box 1">
          <a:extLst>
            <a:ext uri="{FF2B5EF4-FFF2-40B4-BE49-F238E27FC236}">
              <a16:creationId xmlns:a16="http://schemas.microsoft.com/office/drawing/2014/main" id="{00000000-0008-0000-0100-00003E080000}"/>
            </a:ext>
          </a:extLst>
        </xdr:cNvPr>
        <xdr:cNvSpPr txBox="1">
          <a:spLocks noChangeArrowheads="1"/>
        </xdr:cNvSpPr>
      </xdr:nvSpPr>
      <xdr:spPr bwMode="auto">
        <a:xfrm>
          <a:off x="4580283" y="53251376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111" name="Text Box 1">
          <a:extLst>
            <a:ext uri="{FF2B5EF4-FFF2-40B4-BE49-F238E27FC236}">
              <a16:creationId xmlns:a16="http://schemas.microsoft.com/office/drawing/2014/main" id="{00000000-0008-0000-0100-00003F080000}"/>
            </a:ext>
          </a:extLst>
        </xdr:cNvPr>
        <xdr:cNvSpPr txBox="1">
          <a:spLocks noChangeArrowheads="1"/>
        </xdr:cNvSpPr>
      </xdr:nvSpPr>
      <xdr:spPr bwMode="auto">
        <a:xfrm>
          <a:off x="4580283" y="53251376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112" name="Text Box 1">
          <a:extLst>
            <a:ext uri="{FF2B5EF4-FFF2-40B4-BE49-F238E27FC236}">
              <a16:creationId xmlns:a16="http://schemas.microsoft.com/office/drawing/2014/main" id="{00000000-0008-0000-0100-000040080000}"/>
            </a:ext>
          </a:extLst>
        </xdr:cNvPr>
        <xdr:cNvSpPr txBox="1">
          <a:spLocks noChangeArrowheads="1"/>
        </xdr:cNvSpPr>
      </xdr:nvSpPr>
      <xdr:spPr bwMode="auto">
        <a:xfrm>
          <a:off x="4580283" y="53251376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113" name="Text Box 1">
          <a:extLst>
            <a:ext uri="{FF2B5EF4-FFF2-40B4-BE49-F238E27FC236}">
              <a16:creationId xmlns:a16="http://schemas.microsoft.com/office/drawing/2014/main" id="{00000000-0008-0000-0100-000041080000}"/>
            </a:ext>
          </a:extLst>
        </xdr:cNvPr>
        <xdr:cNvSpPr txBox="1">
          <a:spLocks noChangeArrowheads="1"/>
        </xdr:cNvSpPr>
      </xdr:nvSpPr>
      <xdr:spPr bwMode="auto">
        <a:xfrm>
          <a:off x="4580283" y="53251376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14" name="Text Box 5">
          <a:extLst>
            <a:ext uri="{FF2B5EF4-FFF2-40B4-BE49-F238E27FC236}">
              <a16:creationId xmlns:a16="http://schemas.microsoft.com/office/drawing/2014/main" id="{00000000-0008-0000-0100-000042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15" name="Text Box 6">
          <a:extLst>
            <a:ext uri="{FF2B5EF4-FFF2-40B4-BE49-F238E27FC236}">
              <a16:creationId xmlns:a16="http://schemas.microsoft.com/office/drawing/2014/main" id="{00000000-0008-0000-0100-000043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16" name="Text Box 7">
          <a:extLst>
            <a:ext uri="{FF2B5EF4-FFF2-40B4-BE49-F238E27FC236}">
              <a16:creationId xmlns:a16="http://schemas.microsoft.com/office/drawing/2014/main" id="{00000000-0008-0000-0100-000044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17" name="Text Box 8">
          <a:extLst>
            <a:ext uri="{FF2B5EF4-FFF2-40B4-BE49-F238E27FC236}">
              <a16:creationId xmlns:a16="http://schemas.microsoft.com/office/drawing/2014/main" id="{00000000-0008-0000-0100-000045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18" name="Text Box 9">
          <a:extLst>
            <a:ext uri="{FF2B5EF4-FFF2-40B4-BE49-F238E27FC236}">
              <a16:creationId xmlns:a16="http://schemas.microsoft.com/office/drawing/2014/main" id="{00000000-0008-0000-0100-000046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19" name="Text Box 10">
          <a:extLst>
            <a:ext uri="{FF2B5EF4-FFF2-40B4-BE49-F238E27FC236}">
              <a16:creationId xmlns:a16="http://schemas.microsoft.com/office/drawing/2014/main" id="{00000000-0008-0000-0100-000047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0" name="Text Box 11">
          <a:extLst>
            <a:ext uri="{FF2B5EF4-FFF2-40B4-BE49-F238E27FC236}">
              <a16:creationId xmlns:a16="http://schemas.microsoft.com/office/drawing/2014/main" id="{00000000-0008-0000-0100-000048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1" name="Text Box 12">
          <a:extLst>
            <a:ext uri="{FF2B5EF4-FFF2-40B4-BE49-F238E27FC236}">
              <a16:creationId xmlns:a16="http://schemas.microsoft.com/office/drawing/2014/main" id="{00000000-0008-0000-0100-000049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2" name="Text Box 13">
          <a:extLst>
            <a:ext uri="{FF2B5EF4-FFF2-40B4-BE49-F238E27FC236}">
              <a16:creationId xmlns:a16="http://schemas.microsoft.com/office/drawing/2014/main" id="{00000000-0008-0000-0100-00004A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123" name="Text Box 14">
          <a:extLst>
            <a:ext uri="{FF2B5EF4-FFF2-40B4-BE49-F238E27FC236}">
              <a16:creationId xmlns:a16="http://schemas.microsoft.com/office/drawing/2014/main" id="{00000000-0008-0000-0100-00004B080000}"/>
            </a:ext>
          </a:extLst>
        </xdr:cNvPr>
        <xdr:cNvSpPr txBox="1">
          <a:spLocks noChangeArrowheads="1"/>
        </xdr:cNvSpPr>
      </xdr:nvSpPr>
      <xdr:spPr bwMode="auto">
        <a:xfrm>
          <a:off x="3901109" y="45652910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4" name="Text Box 15">
          <a:extLst>
            <a:ext uri="{FF2B5EF4-FFF2-40B4-BE49-F238E27FC236}">
              <a16:creationId xmlns:a16="http://schemas.microsoft.com/office/drawing/2014/main" id="{00000000-0008-0000-0100-00004C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5" name="Text Box 16">
          <a:extLst>
            <a:ext uri="{FF2B5EF4-FFF2-40B4-BE49-F238E27FC236}">
              <a16:creationId xmlns:a16="http://schemas.microsoft.com/office/drawing/2014/main" id="{00000000-0008-0000-0100-00004D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6" name="Text Box 17">
          <a:extLst>
            <a:ext uri="{FF2B5EF4-FFF2-40B4-BE49-F238E27FC236}">
              <a16:creationId xmlns:a16="http://schemas.microsoft.com/office/drawing/2014/main" id="{00000000-0008-0000-0100-00004E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7" name="Text Box 18">
          <a:extLst>
            <a:ext uri="{FF2B5EF4-FFF2-40B4-BE49-F238E27FC236}">
              <a16:creationId xmlns:a16="http://schemas.microsoft.com/office/drawing/2014/main" id="{00000000-0008-0000-0100-00004F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8" name="Text Box 19">
          <a:extLst>
            <a:ext uri="{FF2B5EF4-FFF2-40B4-BE49-F238E27FC236}">
              <a16:creationId xmlns:a16="http://schemas.microsoft.com/office/drawing/2014/main" id="{00000000-0008-0000-0100-000050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29" name="Text Box 20">
          <a:extLst>
            <a:ext uri="{FF2B5EF4-FFF2-40B4-BE49-F238E27FC236}">
              <a16:creationId xmlns:a16="http://schemas.microsoft.com/office/drawing/2014/main" id="{00000000-0008-0000-0100-000051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0" name="Text Box 21">
          <a:extLst>
            <a:ext uri="{FF2B5EF4-FFF2-40B4-BE49-F238E27FC236}">
              <a16:creationId xmlns:a16="http://schemas.microsoft.com/office/drawing/2014/main" id="{00000000-0008-0000-0100-000052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1" name="Text Box 22">
          <a:extLst>
            <a:ext uri="{FF2B5EF4-FFF2-40B4-BE49-F238E27FC236}">
              <a16:creationId xmlns:a16="http://schemas.microsoft.com/office/drawing/2014/main" id="{00000000-0008-0000-0100-000053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2" name="Text Box 7">
          <a:extLst>
            <a:ext uri="{FF2B5EF4-FFF2-40B4-BE49-F238E27FC236}">
              <a16:creationId xmlns:a16="http://schemas.microsoft.com/office/drawing/2014/main" id="{00000000-0008-0000-0100-000054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3" name="Text Box 8">
          <a:extLst>
            <a:ext uri="{FF2B5EF4-FFF2-40B4-BE49-F238E27FC236}">
              <a16:creationId xmlns:a16="http://schemas.microsoft.com/office/drawing/2014/main" id="{00000000-0008-0000-0100-000055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4" name="Text Box 9">
          <a:extLst>
            <a:ext uri="{FF2B5EF4-FFF2-40B4-BE49-F238E27FC236}">
              <a16:creationId xmlns:a16="http://schemas.microsoft.com/office/drawing/2014/main" id="{00000000-0008-0000-0100-000056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5" name="Text Box 10">
          <a:extLst>
            <a:ext uri="{FF2B5EF4-FFF2-40B4-BE49-F238E27FC236}">
              <a16:creationId xmlns:a16="http://schemas.microsoft.com/office/drawing/2014/main" id="{00000000-0008-0000-0100-000057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6" name="Text Box 11">
          <a:extLst>
            <a:ext uri="{FF2B5EF4-FFF2-40B4-BE49-F238E27FC236}">
              <a16:creationId xmlns:a16="http://schemas.microsoft.com/office/drawing/2014/main" id="{00000000-0008-0000-0100-000058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7" name="Text Box 12">
          <a:extLst>
            <a:ext uri="{FF2B5EF4-FFF2-40B4-BE49-F238E27FC236}">
              <a16:creationId xmlns:a16="http://schemas.microsoft.com/office/drawing/2014/main" id="{00000000-0008-0000-0100-000059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38" name="Text Box 13">
          <a:extLst>
            <a:ext uri="{FF2B5EF4-FFF2-40B4-BE49-F238E27FC236}">
              <a16:creationId xmlns:a16="http://schemas.microsoft.com/office/drawing/2014/main" id="{00000000-0008-0000-0100-00005A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139" name="Text Box 14">
          <a:extLst>
            <a:ext uri="{FF2B5EF4-FFF2-40B4-BE49-F238E27FC236}">
              <a16:creationId xmlns:a16="http://schemas.microsoft.com/office/drawing/2014/main" id="{00000000-0008-0000-0100-00005B080000}"/>
            </a:ext>
          </a:extLst>
        </xdr:cNvPr>
        <xdr:cNvSpPr txBox="1">
          <a:spLocks noChangeArrowheads="1"/>
        </xdr:cNvSpPr>
      </xdr:nvSpPr>
      <xdr:spPr bwMode="auto">
        <a:xfrm>
          <a:off x="3901109" y="45652910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140" name="Text Box 15">
          <a:extLst>
            <a:ext uri="{FF2B5EF4-FFF2-40B4-BE49-F238E27FC236}">
              <a16:creationId xmlns:a16="http://schemas.microsoft.com/office/drawing/2014/main" id="{00000000-0008-0000-0100-00005C080000}"/>
            </a:ext>
          </a:extLst>
        </xdr:cNvPr>
        <xdr:cNvSpPr txBox="1">
          <a:spLocks noChangeArrowheads="1"/>
        </xdr:cNvSpPr>
      </xdr:nvSpPr>
      <xdr:spPr bwMode="auto">
        <a:xfrm>
          <a:off x="3901109" y="456529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41" name="Text Box 5">
          <a:extLst>
            <a:ext uri="{FF2B5EF4-FFF2-40B4-BE49-F238E27FC236}">
              <a16:creationId xmlns:a16="http://schemas.microsoft.com/office/drawing/2014/main" id="{00000000-0008-0000-0100-00005D080000}"/>
            </a:ext>
          </a:extLst>
        </xdr:cNvPr>
        <xdr:cNvSpPr txBox="1">
          <a:spLocks noChangeArrowheads="1"/>
        </xdr:cNvSpPr>
      </xdr:nvSpPr>
      <xdr:spPr bwMode="auto">
        <a:xfrm>
          <a:off x="3901109" y="456529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142" name="Text Box 6">
          <a:extLst>
            <a:ext uri="{FF2B5EF4-FFF2-40B4-BE49-F238E27FC236}">
              <a16:creationId xmlns:a16="http://schemas.microsoft.com/office/drawing/2014/main" id="{00000000-0008-0000-0100-00005E080000}"/>
            </a:ext>
          </a:extLst>
        </xdr:cNvPr>
        <xdr:cNvSpPr txBox="1">
          <a:spLocks noChangeArrowheads="1"/>
        </xdr:cNvSpPr>
      </xdr:nvSpPr>
      <xdr:spPr bwMode="auto">
        <a:xfrm>
          <a:off x="3901109" y="4565291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43" name="Text Box 7">
          <a:extLst>
            <a:ext uri="{FF2B5EF4-FFF2-40B4-BE49-F238E27FC236}">
              <a16:creationId xmlns:a16="http://schemas.microsoft.com/office/drawing/2014/main" id="{00000000-0008-0000-0100-00005F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44" name="Text Box 8">
          <a:extLst>
            <a:ext uri="{FF2B5EF4-FFF2-40B4-BE49-F238E27FC236}">
              <a16:creationId xmlns:a16="http://schemas.microsoft.com/office/drawing/2014/main" id="{00000000-0008-0000-0100-000060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45" name="Text Box 9">
          <a:extLst>
            <a:ext uri="{FF2B5EF4-FFF2-40B4-BE49-F238E27FC236}">
              <a16:creationId xmlns:a16="http://schemas.microsoft.com/office/drawing/2014/main" id="{00000000-0008-0000-0100-000061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46" name="Text Box 10">
          <a:extLst>
            <a:ext uri="{FF2B5EF4-FFF2-40B4-BE49-F238E27FC236}">
              <a16:creationId xmlns:a16="http://schemas.microsoft.com/office/drawing/2014/main" id="{00000000-0008-0000-0100-000062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47" name="Text Box 11">
          <a:extLst>
            <a:ext uri="{FF2B5EF4-FFF2-40B4-BE49-F238E27FC236}">
              <a16:creationId xmlns:a16="http://schemas.microsoft.com/office/drawing/2014/main" id="{00000000-0008-0000-0100-000063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48" name="Text Box 12">
          <a:extLst>
            <a:ext uri="{FF2B5EF4-FFF2-40B4-BE49-F238E27FC236}">
              <a16:creationId xmlns:a16="http://schemas.microsoft.com/office/drawing/2014/main" id="{00000000-0008-0000-0100-000064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49" name="Text Box 13">
          <a:extLst>
            <a:ext uri="{FF2B5EF4-FFF2-40B4-BE49-F238E27FC236}">
              <a16:creationId xmlns:a16="http://schemas.microsoft.com/office/drawing/2014/main" id="{00000000-0008-0000-0100-000065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150" name="Text Box 14">
          <a:extLst>
            <a:ext uri="{FF2B5EF4-FFF2-40B4-BE49-F238E27FC236}">
              <a16:creationId xmlns:a16="http://schemas.microsoft.com/office/drawing/2014/main" id="{00000000-0008-0000-0100-000066080000}"/>
            </a:ext>
          </a:extLst>
        </xdr:cNvPr>
        <xdr:cNvSpPr txBox="1">
          <a:spLocks noChangeArrowheads="1"/>
        </xdr:cNvSpPr>
      </xdr:nvSpPr>
      <xdr:spPr bwMode="auto">
        <a:xfrm>
          <a:off x="3901109" y="45652910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51" name="Text Box 15">
          <a:extLst>
            <a:ext uri="{FF2B5EF4-FFF2-40B4-BE49-F238E27FC236}">
              <a16:creationId xmlns:a16="http://schemas.microsoft.com/office/drawing/2014/main" id="{00000000-0008-0000-0100-000067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52" name="Text Box 16">
          <a:extLst>
            <a:ext uri="{FF2B5EF4-FFF2-40B4-BE49-F238E27FC236}">
              <a16:creationId xmlns:a16="http://schemas.microsoft.com/office/drawing/2014/main" id="{00000000-0008-0000-0100-000068080000}"/>
            </a:ext>
          </a:extLst>
        </xdr:cNvPr>
        <xdr:cNvSpPr txBox="1">
          <a:spLocks noChangeArrowheads="1"/>
        </xdr:cNvSpPr>
      </xdr:nvSpPr>
      <xdr:spPr bwMode="auto">
        <a:xfrm>
          <a:off x="3901109" y="456529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53" name="Text Box 17">
          <a:extLst>
            <a:ext uri="{FF2B5EF4-FFF2-40B4-BE49-F238E27FC236}">
              <a16:creationId xmlns:a16="http://schemas.microsoft.com/office/drawing/2014/main" id="{00000000-0008-0000-0100-000069080000}"/>
            </a:ext>
          </a:extLst>
        </xdr:cNvPr>
        <xdr:cNvSpPr txBox="1">
          <a:spLocks noChangeArrowheads="1"/>
        </xdr:cNvSpPr>
      </xdr:nvSpPr>
      <xdr:spPr bwMode="auto">
        <a:xfrm>
          <a:off x="3901109" y="456529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54" name="Text Box 18">
          <a:extLst>
            <a:ext uri="{FF2B5EF4-FFF2-40B4-BE49-F238E27FC236}">
              <a16:creationId xmlns:a16="http://schemas.microsoft.com/office/drawing/2014/main" id="{00000000-0008-0000-0100-00006A080000}"/>
            </a:ext>
          </a:extLst>
        </xdr:cNvPr>
        <xdr:cNvSpPr txBox="1">
          <a:spLocks noChangeArrowheads="1"/>
        </xdr:cNvSpPr>
      </xdr:nvSpPr>
      <xdr:spPr bwMode="auto">
        <a:xfrm>
          <a:off x="3901109" y="456529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55" name="Text Box 19">
          <a:extLst>
            <a:ext uri="{FF2B5EF4-FFF2-40B4-BE49-F238E27FC236}">
              <a16:creationId xmlns:a16="http://schemas.microsoft.com/office/drawing/2014/main" id="{00000000-0008-0000-0100-00006B080000}"/>
            </a:ext>
          </a:extLst>
        </xdr:cNvPr>
        <xdr:cNvSpPr txBox="1">
          <a:spLocks noChangeArrowheads="1"/>
        </xdr:cNvSpPr>
      </xdr:nvSpPr>
      <xdr:spPr bwMode="auto">
        <a:xfrm>
          <a:off x="3901109" y="456529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56" name="Text Box 20">
          <a:extLst>
            <a:ext uri="{FF2B5EF4-FFF2-40B4-BE49-F238E27FC236}">
              <a16:creationId xmlns:a16="http://schemas.microsoft.com/office/drawing/2014/main" id="{00000000-0008-0000-0100-00006C080000}"/>
            </a:ext>
          </a:extLst>
        </xdr:cNvPr>
        <xdr:cNvSpPr txBox="1">
          <a:spLocks noChangeArrowheads="1"/>
        </xdr:cNvSpPr>
      </xdr:nvSpPr>
      <xdr:spPr bwMode="auto">
        <a:xfrm>
          <a:off x="3901109" y="456529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157" name="Text Box 21">
          <a:extLst>
            <a:ext uri="{FF2B5EF4-FFF2-40B4-BE49-F238E27FC236}">
              <a16:creationId xmlns:a16="http://schemas.microsoft.com/office/drawing/2014/main" id="{00000000-0008-0000-0100-00006D080000}"/>
            </a:ext>
          </a:extLst>
        </xdr:cNvPr>
        <xdr:cNvSpPr txBox="1">
          <a:spLocks noChangeArrowheads="1"/>
        </xdr:cNvSpPr>
      </xdr:nvSpPr>
      <xdr:spPr bwMode="auto">
        <a:xfrm>
          <a:off x="3901109" y="456529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158" name="Text Box 22">
          <a:extLst>
            <a:ext uri="{FF2B5EF4-FFF2-40B4-BE49-F238E27FC236}">
              <a16:creationId xmlns:a16="http://schemas.microsoft.com/office/drawing/2014/main" id="{00000000-0008-0000-0100-00006E080000}"/>
            </a:ext>
          </a:extLst>
        </xdr:cNvPr>
        <xdr:cNvSpPr txBox="1">
          <a:spLocks noChangeArrowheads="1"/>
        </xdr:cNvSpPr>
      </xdr:nvSpPr>
      <xdr:spPr bwMode="auto">
        <a:xfrm>
          <a:off x="3901109" y="4565291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59" name="Text Box 7">
          <a:extLst>
            <a:ext uri="{FF2B5EF4-FFF2-40B4-BE49-F238E27FC236}">
              <a16:creationId xmlns:a16="http://schemas.microsoft.com/office/drawing/2014/main" id="{00000000-0008-0000-0100-00006F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60" name="Text Box 8">
          <a:extLst>
            <a:ext uri="{FF2B5EF4-FFF2-40B4-BE49-F238E27FC236}">
              <a16:creationId xmlns:a16="http://schemas.microsoft.com/office/drawing/2014/main" id="{00000000-0008-0000-0100-000070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61" name="Text Box 9">
          <a:extLst>
            <a:ext uri="{FF2B5EF4-FFF2-40B4-BE49-F238E27FC236}">
              <a16:creationId xmlns:a16="http://schemas.microsoft.com/office/drawing/2014/main" id="{00000000-0008-0000-0100-000071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62" name="Text Box 10">
          <a:extLst>
            <a:ext uri="{FF2B5EF4-FFF2-40B4-BE49-F238E27FC236}">
              <a16:creationId xmlns:a16="http://schemas.microsoft.com/office/drawing/2014/main" id="{00000000-0008-0000-0100-000072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63" name="Text Box 11">
          <a:extLst>
            <a:ext uri="{FF2B5EF4-FFF2-40B4-BE49-F238E27FC236}">
              <a16:creationId xmlns:a16="http://schemas.microsoft.com/office/drawing/2014/main" id="{00000000-0008-0000-0100-000073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64" name="Text Box 12">
          <a:extLst>
            <a:ext uri="{FF2B5EF4-FFF2-40B4-BE49-F238E27FC236}">
              <a16:creationId xmlns:a16="http://schemas.microsoft.com/office/drawing/2014/main" id="{00000000-0008-0000-0100-000074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65" name="Text Box 13">
          <a:extLst>
            <a:ext uri="{FF2B5EF4-FFF2-40B4-BE49-F238E27FC236}">
              <a16:creationId xmlns:a16="http://schemas.microsoft.com/office/drawing/2014/main" id="{00000000-0008-0000-0100-000075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166" name="Text Box 14">
          <a:extLst>
            <a:ext uri="{FF2B5EF4-FFF2-40B4-BE49-F238E27FC236}">
              <a16:creationId xmlns:a16="http://schemas.microsoft.com/office/drawing/2014/main" id="{00000000-0008-0000-0100-000076080000}"/>
            </a:ext>
          </a:extLst>
        </xdr:cNvPr>
        <xdr:cNvSpPr txBox="1">
          <a:spLocks noChangeArrowheads="1"/>
        </xdr:cNvSpPr>
      </xdr:nvSpPr>
      <xdr:spPr bwMode="auto">
        <a:xfrm>
          <a:off x="3901109" y="45652910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167" name="Text Box 15">
          <a:extLst>
            <a:ext uri="{FF2B5EF4-FFF2-40B4-BE49-F238E27FC236}">
              <a16:creationId xmlns:a16="http://schemas.microsoft.com/office/drawing/2014/main" id="{00000000-0008-0000-0100-000077080000}"/>
            </a:ext>
          </a:extLst>
        </xdr:cNvPr>
        <xdr:cNvSpPr txBox="1">
          <a:spLocks noChangeArrowheads="1"/>
        </xdr:cNvSpPr>
      </xdr:nvSpPr>
      <xdr:spPr bwMode="auto">
        <a:xfrm>
          <a:off x="3901109" y="456529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68" name="Text Box 5">
          <a:extLst>
            <a:ext uri="{FF2B5EF4-FFF2-40B4-BE49-F238E27FC236}">
              <a16:creationId xmlns:a16="http://schemas.microsoft.com/office/drawing/2014/main" id="{00000000-0008-0000-0100-000078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169" name="Text Box 6">
          <a:extLst>
            <a:ext uri="{FF2B5EF4-FFF2-40B4-BE49-F238E27FC236}">
              <a16:creationId xmlns:a16="http://schemas.microsoft.com/office/drawing/2014/main" id="{00000000-0008-0000-0100-000079080000}"/>
            </a:ext>
          </a:extLst>
        </xdr:cNvPr>
        <xdr:cNvSpPr txBox="1">
          <a:spLocks noChangeArrowheads="1"/>
        </xdr:cNvSpPr>
      </xdr:nvSpPr>
      <xdr:spPr bwMode="auto">
        <a:xfrm>
          <a:off x="3901109" y="456529109"/>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0" name="Text Box 7">
          <a:extLst>
            <a:ext uri="{FF2B5EF4-FFF2-40B4-BE49-F238E27FC236}">
              <a16:creationId xmlns:a16="http://schemas.microsoft.com/office/drawing/2014/main" id="{00000000-0008-0000-0100-00007A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1" name="Text Box 8">
          <a:extLst>
            <a:ext uri="{FF2B5EF4-FFF2-40B4-BE49-F238E27FC236}">
              <a16:creationId xmlns:a16="http://schemas.microsoft.com/office/drawing/2014/main" id="{00000000-0008-0000-0100-00007B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2" name="Text Box 9">
          <a:extLst>
            <a:ext uri="{FF2B5EF4-FFF2-40B4-BE49-F238E27FC236}">
              <a16:creationId xmlns:a16="http://schemas.microsoft.com/office/drawing/2014/main" id="{00000000-0008-0000-0100-00007C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3" name="Text Box 10">
          <a:extLst>
            <a:ext uri="{FF2B5EF4-FFF2-40B4-BE49-F238E27FC236}">
              <a16:creationId xmlns:a16="http://schemas.microsoft.com/office/drawing/2014/main" id="{00000000-0008-0000-0100-00007D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4" name="Text Box 11">
          <a:extLst>
            <a:ext uri="{FF2B5EF4-FFF2-40B4-BE49-F238E27FC236}">
              <a16:creationId xmlns:a16="http://schemas.microsoft.com/office/drawing/2014/main" id="{00000000-0008-0000-0100-00007E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5" name="Text Box 12">
          <a:extLst>
            <a:ext uri="{FF2B5EF4-FFF2-40B4-BE49-F238E27FC236}">
              <a16:creationId xmlns:a16="http://schemas.microsoft.com/office/drawing/2014/main" id="{00000000-0008-0000-0100-00007F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6" name="Text Box 13">
          <a:extLst>
            <a:ext uri="{FF2B5EF4-FFF2-40B4-BE49-F238E27FC236}">
              <a16:creationId xmlns:a16="http://schemas.microsoft.com/office/drawing/2014/main" id="{00000000-0008-0000-0100-000080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177" name="Text Box 14">
          <a:extLst>
            <a:ext uri="{FF2B5EF4-FFF2-40B4-BE49-F238E27FC236}">
              <a16:creationId xmlns:a16="http://schemas.microsoft.com/office/drawing/2014/main" id="{00000000-0008-0000-0100-000081080000}"/>
            </a:ext>
          </a:extLst>
        </xdr:cNvPr>
        <xdr:cNvSpPr txBox="1">
          <a:spLocks noChangeArrowheads="1"/>
        </xdr:cNvSpPr>
      </xdr:nvSpPr>
      <xdr:spPr bwMode="auto">
        <a:xfrm>
          <a:off x="3901109" y="456529109"/>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8" name="Text Box 15">
          <a:extLst>
            <a:ext uri="{FF2B5EF4-FFF2-40B4-BE49-F238E27FC236}">
              <a16:creationId xmlns:a16="http://schemas.microsoft.com/office/drawing/2014/main" id="{00000000-0008-0000-0100-000082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79" name="Text Box 16">
          <a:extLst>
            <a:ext uri="{FF2B5EF4-FFF2-40B4-BE49-F238E27FC236}">
              <a16:creationId xmlns:a16="http://schemas.microsoft.com/office/drawing/2014/main" id="{00000000-0008-0000-0100-000083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0" name="Text Box 17">
          <a:extLst>
            <a:ext uri="{FF2B5EF4-FFF2-40B4-BE49-F238E27FC236}">
              <a16:creationId xmlns:a16="http://schemas.microsoft.com/office/drawing/2014/main" id="{00000000-0008-0000-0100-000084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1" name="Text Box 18">
          <a:extLst>
            <a:ext uri="{FF2B5EF4-FFF2-40B4-BE49-F238E27FC236}">
              <a16:creationId xmlns:a16="http://schemas.microsoft.com/office/drawing/2014/main" id="{00000000-0008-0000-0100-000085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2" name="Text Box 19">
          <a:extLst>
            <a:ext uri="{FF2B5EF4-FFF2-40B4-BE49-F238E27FC236}">
              <a16:creationId xmlns:a16="http://schemas.microsoft.com/office/drawing/2014/main" id="{00000000-0008-0000-0100-000086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3" name="Text Box 20">
          <a:extLst>
            <a:ext uri="{FF2B5EF4-FFF2-40B4-BE49-F238E27FC236}">
              <a16:creationId xmlns:a16="http://schemas.microsoft.com/office/drawing/2014/main" id="{00000000-0008-0000-0100-000087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4" name="Text Box 21">
          <a:extLst>
            <a:ext uri="{FF2B5EF4-FFF2-40B4-BE49-F238E27FC236}">
              <a16:creationId xmlns:a16="http://schemas.microsoft.com/office/drawing/2014/main" id="{00000000-0008-0000-0100-000088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185" name="Text Box 22">
          <a:extLst>
            <a:ext uri="{FF2B5EF4-FFF2-40B4-BE49-F238E27FC236}">
              <a16:creationId xmlns:a16="http://schemas.microsoft.com/office/drawing/2014/main" id="{00000000-0008-0000-0100-000089080000}"/>
            </a:ext>
          </a:extLst>
        </xdr:cNvPr>
        <xdr:cNvSpPr txBox="1">
          <a:spLocks noChangeArrowheads="1"/>
        </xdr:cNvSpPr>
      </xdr:nvSpPr>
      <xdr:spPr bwMode="auto">
        <a:xfrm>
          <a:off x="3901109" y="456529109"/>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6" name="Text Box 7">
          <a:extLst>
            <a:ext uri="{FF2B5EF4-FFF2-40B4-BE49-F238E27FC236}">
              <a16:creationId xmlns:a16="http://schemas.microsoft.com/office/drawing/2014/main" id="{00000000-0008-0000-0100-00008A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7" name="Text Box 8">
          <a:extLst>
            <a:ext uri="{FF2B5EF4-FFF2-40B4-BE49-F238E27FC236}">
              <a16:creationId xmlns:a16="http://schemas.microsoft.com/office/drawing/2014/main" id="{00000000-0008-0000-0100-00008B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8" name="Text Box 9">
          <a:extLst>
            <a:ext uri="{FF2B5EF4-FFF2-40B4-BE49-F238E27FC236}">
              <a16:creationId xmlns:a16="http://schemas.microsoft.com/office/drawing/2014/main" id="{00000000-0008-0000-0100-00008C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89" name="Text Box 10">
          <a:extLst>
            <a:ext uri="{FF2B5EF4-FFF2-40B4-BE49-F238E27FC236}">
              <a16:creationId xmlns:a16="http://schemas.microsoft.com/office/drawing/2014/main" id="{00000000-0008-0000-0100-00008D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90" name="Text Box 11">
          <a:extLst>
            <a:ext uri="{FF2B5EF4-FFF2-40B4-BE49-F238E27FC236}">
              <a16:creationId xmlns:a16="http://schemas.microsoft.com/office/drawing/2014/main" id="{00000000-0008-0000-0100-00008E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91" name="Text Box 12">
          <a:extLst>
            <a:ext uri="{FF2B5EF4-FFF2-40B4-BE49-F238E27FC236}">
              <a16:creationId xmlns:a16="http://schemas.microsoft.com/office/drawing/2014/main" id="{00000000-0008-0000-0100-00008F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192" name="Text Box 13">
          <a:extLst>
            <a:ext uri="{FF2B5EF4-FFF2-40B4-BE49-F238E27FC236}">
              <a16:creationId xmlns:a16="http://schemas.microsoft.com/office/drawing/2014/main" id="{00000000-0008-0000-0100-000090080000}"/>
            </a:ext>
          </a:extLst>
        </xdr:cNvPr>
        <xdr:cNvSpPr txBox="1">
          <a:spLocks noChangeArrowheads="1"/>
        </xdr:cNvSpPr>
      </xdr:nvSpPr>
      <xdr:spPr bwMode="auto">
        <a:xfrm>
          <a:off x="3901109" y="4565291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193" name="Text Box 14">
          <a:extLst>
            <a:ext uri="{FF2B5EF4-FFF2-40B4-BE49-F238E27FC236}">
              <a16:creationId xmlns:a16="http://schemas.microsoft.com/office/drawing/2014/main" id="{00000000-0008-0000-0100-000091080000}"/>
            </a:ext>
          </a:extLst>
        </xdr:cNvPr>
        <xdr:cNvSpPr txBox="1">
          <a:spLocks noChangeArrowheads="1"/>
        </xdr:cNvSpPr>
      </xdr:nvSpPr>
      <xdr:spPr bwMode="auto">
        <a:xfrm>
          <a:off x="3901109" y="456529109"/>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194" name="Text Box 5">
          <a:extLst>
            <a:ext uri="{FF2B5EF4-FFF2-40B4-BE49-F238E27FC236}">
              <a16:creationId xmlns:a16="http://schemas.microsoft.com/office/drawing/2014/main" id="{00000000-0008-0000-0100-000092080000}"/>
            </a:ext>
          </a:extLst>
        </xdr:cNvPr>
        <xdr:cNvSpPr txBox="1">
          <a:spLocks noChangeArrowheads="1"/>
        </xdr:cNvSpPr>
      </xdr:nvSpPr>
      <xdr:spPr bwMode="auto">
        <a:xfrm>
          <a:off x="3901109" y="456529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195" name="Text Box 6">
          <a:extLst>
            <a:ext uri="{FF2B5EF4-FFF2-40B4-BE49-F238E27FC236}">
              <a16:creationId xmlns:a16="http://schemas.microsoft.com/office/drawing/2014/main" id="{00000000-0008-0000-0100-000093080000}"/>
            </a:ext>
          </a:extLst>
        </xdr:cNvPr>
        <xdr:cNvSpPr txBox="1">
          <a:spLocks noChangeArrowheads="1"/>
        </xdr:cNvSpPr>
      </xdr:nvSpPr>
      <xdr:spPr bwMode="auto">
        <a:xfrm>
          <a:off x="3901109" y="456529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196" name="Text Box 7">
          <a:extLst>
            <a:ext uri="{FF2B5EF4-FFF2-40B4-BE49-F238E27FC236}">
              <a16:creationId xmlns:a16="http://schemas.microsoft.com/office/drawing/2014/main" id="{00000000-0008-0000-0100-000094080000}"/>
            </a:ext>
          </a:extLst>
        </xdr:cNvPr>
        <xdr:cNvSpPr txBox="1">
          <a:spLocks noChangeArrowheads="1"/>
        </xdr:cNvSpPr>
      </xdr:nvSpPr>
      <xdr:spPr bwMode="auto">
        <a:xfrm>
          <a:off x="3901109" y="456529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197" name="Text Box 8">
          <a:extLst>
            <a:ext uri="{FF2B5EF4-FFF2-40B4-BE49-F238E27FC236}">
              <a16:creationId xmlns:a16="http://schemas.microsoft.com/office/drawing/2014/main" id="{00000000-0008-0000-0100-000095080000}"/>
            </a:ext>
          </a:extLst>
        </xdr:cNvPr>
        <xdr:cNvSpPr txBox="1">
          <a:spLocks noChangeArrowheads="1"/>
        </xdr:cNvSpPr>
      </xdr:nvSpPr>
      <xdr:spPr bwMode="auto">
        <a:xfrm>
          <a:off x="3901109" y="456529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198" name="Text Box 9">
          <a:extLst>
            <a:ext uri="{FF2B5EF4-FFF2-40B4-BE49-F238E27FC236}">
              <a16:creationId xmlns:a16="http://schemas.microsoft.com/office/drawing/2014/main" id="{00000000-0008-0000-0100-000096080000}"/>
            </a:ext>
          </a:extLst>
        </xdr:cNvPr>
        <xdr:cNvSpPr txBox="1">
          <a:spLocks noChangeArrowheads="1"/>
        </xdr:cNvSpPr>
      </xdr:nvSpPr>
      <xdr:spPr bwMode="auto">
        <a:xfrm>
          <a:off x="3901109" y="456529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199" name="Text Box 10">
          <a:extLst>
            <a:ext uri="{FF2B5EF4-FFF2-40B4-BE49-F238E27FC236}">
              <a16:creationId xmlns:a16="http://schemas.microsoft.com/office/drawing/2014/main" id="{00000000-0008-0000-0100-000097080000}"/>
            </a:ext>
          </a:extLst>
        </xdr:cNvPr>
        <xdr:cNvSpPr txBox="1">
          <a:spLocks noChangeArrowheads="1"/>
        </xdr:cNvSpPr>
      </xdr:nvSpPr>
      <xdr:spPr bwMode="auto">
        <a:xfrm>
          <a:off x="3901109" y="456529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200" name="Text Box 11">
          <a:extLst>
            <a:ext uri="{FF2B5EF4-FFF2-40B4-BE49-F238E27FC236}">
              <a16:creationId xmlns:a16="http://schemas.microsoft.com/office/drawing/2014/main" id="{00000000-0008-0000-0100-000098080000}"/>
            </a:ext>
          </a:extLst>
        </xdr:cNvPr>
        <xdr:cNvSpPr txBox="1">
          <a:spLocks noChangeArrowheads="1"/>
        </xdr:cNvSpPr>
      </xdr:nvSpPr>
      <xdr:spPr bwMode="auto">
        <a:xfrm>
          <a:off x="3901109" y="456529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201" name="Text Box 12">
          <a:extLst>
            <a:ext uri="{FF2B5EF4-FFF2-40B4-BE49-F238E27FC236}">
              <a16:creationId xmlns:a16="http://schemas.microsoft.com/office/drawing/2014/main" id="{00000000-0008-0000-0100-000099080000}"/>
            </a:ext>
          </a:extLst>
        </xdr:cNvPr>
        <xdr:cNvSpPr txBox="1">
          <a:spLocks noChangeArrowheads="1"/>
        </xdr:cNvSpPr>
      </xdr:nvSpPr>
      <xdr:spPr bwMode="auto">
        <a:xfrm>
          <a:off x="3901109" y="456529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202" name="Text Box 1">
          <a:extLst>
            <a:ext uri="{FF2B5EF4-FFF2-40B4-BE49-F238E27FC236}">
              <a16:creationId xmlns:a16="http://schemas.microsoft.com/office/drawing/2014/main" id="{00000000-0008-0000-0100-00009A080000}"/>
            </a:ext>
          </a:extLst>
        </xdr:cNvPr>
        <xdr:cNvSpPr txBox="1">
          <a:spLocks noChangeArrowheads="1"/>
        </xdr:cNvSpPr>
      </xdr:nvSpPr>
      <xdr:spPr bwMode="auto">
        <a:xfrm>
          <a:off x="4580283" y="4565291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203" name="Text Box 1">
          <a:extLst>
            <a:ext uri="{FF2B5EF4-FFF2-40B4-BE49-F238E27FC236}">
              <a16:creationId xmlns:a16="http://schemas.microsoft.com/office/drawing/2014/main" id="{00000000-0008-0000-0100-00009B080000}"/>
            </a:ext>
          </a:extLst>
        </xdr:cNvPr>
        <xdr:cNvSpPr txBox="1">
          <a:spLocks noChangeArrowheads="1"/>
        </xdr:cNvSpPr>
      </xdr:nvSpPr>
      <xdr:spPr bwMode="auto">
        <a:xfrm>
          <a:off x="4580283" y="4565291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204" name="Text Box 1">
          <a:extLst>
            <a:ext uri="{FF2B5EF4-FFF2-40B4-BE49-F238E27FC236}">
              <a16:creationId xmlns:a16="http://schemas.microsoft.com/office/drawing/2014/main" id="{00000000-0008-0000-0100-00009C080000}"/>
            </a:ext>
          </a:extLst>
        </xdr:cNvPr>
        <xdr:cNvSpPr txBox="1">
          <a:spLocks noChangeArrowheads="1"/>
        </xdr:cNvSpPr>
      </xdr:nvSpPr>
      <xdr:spPr bwMode="auto">
        <a:xfrm>
          <a:off x="4580283" y="4565291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205" name="Text Box 1">
          <a:extLst>
            <a:ext uri="{FF2B5EF4-FFF2-40B4-BE49-F238E27FC236}">
              <a16:creationId xmlns:a16="http://schemas.microsoft.com/office/drawing/2014/main" id="{00000000-0008-0000-0100-00009D080000}"/>
            </a:ext>
          </a:extLst>
        </xdr:cNvPr>
        <xdr:cNvSpPr txBox="1">
          <a:spLocks noChangeArrowheads="1"/>
        </xdr:cNvSpPr>
      </xdr:nvSpPr>
      <xdr:spPr bwMode="auto">
        <a:xfrm>
          <a:off x="4580283" y="4565291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06" name="Text Box 5">
          <a:extLst>
            <a:ext uri="{FF2B5EF4-FFF2-40B4-BE49-F238E27FC236}">
              <a16:creationId xmlns:a16="http://schemas.microsoft.com/office/drawing/2014/main" id="{00000000-0008-0000-0100-00009E080000}"/>
            </a:ext>
          </a:extLst>
        </xdr:cNvPr>
        <xdr:cNvSpPr txBox="1">
          <a:spLocks noChangeArrowheads="1"/>
        </xdr:cNvSpPr>
      </xdr:nvSpPr>
      <xdr:spPr bwMode="auto">
        <a:xfrm>
          <a:off x="3901109" y="4672633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207" name="Text Box 6">
          <a:extLst>
            <a:ext uri="{FF2B5EF4-FFF2-40B4-BE49-F238E27FC236}">
              <a16:creationId xmlns:a16="http://schemas.microsoft.com/office/drawing/2014/main" id="{00000000-0008-0000-0100-00009F080000}"/>
            </a:ext>
          </a:extLst>
        </xdr:cNvPr>
        <xdr:cNvSpPr txBox="1">
          <a:spLocks noChangeArrowheads="1"/>
        </xdr:cNvSpPr>
      </xdr:nvSpPr>
      <xdr:spPr bwMode="auto">
        <a:xfrm>
          <a:off x="3901109" y="46726337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08" name="Text Box 16">
          <a:extLst>
            <a:ext uri="{FF2B5EF4-FFF2-40B4-BE49-F238E27FC236}">
              <a16:creationId xmlns:a16="http://schemas.microsoft.com/office/drawing/2014/main" id="{00000000-0008-0000-0100-0000A0080000}"/>
            </a:ext>
          </a:extLst>
        </xdr:cNvPr>
        <xdr:cNvSpPr txBox="1">
          <a:spLocks noChangeArrowheads="1"/>
        </xdr:cNvSpPr>
      </xdr:nvSpPr>
      <xdr:spPr bwMode="auto">
        <a:xfrm>
          <a:off x="3901109" y="4672633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09" name="Text Box 17">
          <a:extLst>
            <a:ext uri="{FF2B5EF4-FFF2-40B4-BE49-F238E27FC236}">
              <a16:creationId xmlns:a16="http://schemas.microsoft.com/office/drawing/2014/main" id="{00000000-0008-0000-0100-0000A1080000}"/>
            </a:ext>
          </a:extLst>
        </xdr:cNvPr>
        <xdr:cNvSpPr txBox="1">
          <a:spLocks noChangeArrowheads="1"/>
        </xdr:cNvSpPr>
      </xdr:nvSpPr>
      <xdr:spPr bwMode="auto">
        <a:xfrm>
          <a:off x="3901109" y="4672633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10" name="Text Box 18">
          <a:extLst>
            <a:ext uri="{FF2B5EF4-FFF2-40B4-BE49-F238E27FC236}">
              <a16:creationId xmlns:a16="http://schemas.microsoft.com/office/drawing/2014/main" id="{00000000-0008-0000-0100-0000A2080000}"/>
            </a:ext>
          </a:extLst>
        </xdr:cNvPr>
        <xdr:cNvSpPr txBox="1">
          <a:spLocks noChangeArrowheads="1"/>
        </xdr:cNvSpPr>
      </xdr:nvSpPr>
      <xdr:spPr bwMode="auto">
        <a:xfrm>
          <a:off x="3901109" y="4672633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11" name="Text Box 19">
          <a:extLst>
            <a:ext uri="{FF2B5EF4-FFF2-40B4-BE49-F238E27FC236}">
              <a16:creationId xmlns:a16="http://schemas.microsoft.com/office/drawing/2014/main" id="{00000000-0008-0000-0100-0000A3080000}"/>
            </a:ext>
          </a:extLst>
        </xdr:cNvPr>
        <xdr:cNvSpPr txBox="1">
          <a:spLocks noChangeArrowheads="1"/>
        </xdr:cNvSpPr>
      </xdr:nvSpPr>
      <xdr:spPr bwMode="auto">
        <a:xfrm>
          <a:off x="3901109" y="4672633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12" name="Text Box 20">
          <a:extLst>
            <a:ext uri="{FF2B5EF4-FFF2-40B4-BE49-F238E27FC236}">
              <a16:creationId xmlns:a16="http://schemas.microsoft.com/office/drawing/2014/main" id="{00000000-0008-0000-0100-0000A4080000}"/>
            </a:ext>
          </a:extLst>
        </xdr:cNvPr>
        <xdr:cNvSpPr txBox="1">
          <a:spLocks noChangeArrowheads="1"/>
        </xdr:cNvSpPr>
      </xdr:nvSpPr>
      <xdr:spPr bwMode="auto">
        <a:xfrm>
          <a:off x="3901109" y="4672633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13" name="Text Box 21">
          <a:extLst>
            <a:ext uri="{FF2B5EF4-FFF2-40B4-BE49-F238E27FC236}">
              <a16:creationId xmlns:a16="http://schemas.microsoft.com/office/drawing/2014/main" id="{00000000-0008-0000-0100-0000A5080000}"/>
            </a:ext>
          </a:extLst>
        </xdr:cNvPr>
        <xdr:cNvSpPr txBox="1">
          <a:spLocks noChangeArrowheads="1"/>
        </xdr:cNvSpPr>
      </xdr:nvSpPr>
      <xdr:spPr bwMode="auto">
        <a:xfrm>
          <a:off x="3901109" y="4672633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214" name="Text Box 22">
          <a:extLst>
            <a:ext uri="{FF2B5EF4-FFF2-40B4-BE49-F238E27FC236}">
              <a16:creationId xmlns:a16="http://schemas.microsoft.com/office/drawing/2014/main" id="{00000000-0008-0000-0100-0000A6080000}"/>
            </a:ext>
          </a:extLst>
        </xdr:cNvPr>
        <xdr:cNvSpPr txBox="1">
          <a:spLocks noChangeArrowheads="1"/>
        </xdr:cNvSpPr>
      </xdr:nvSpPr>
      <xdr:spPr bwMode="auto">
        <a:xfrm>
          <a:off x="3901109" y="46726337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215" name="Text Box 1">
          <a:extLst>
            <a:ext uri="{FF2B5EF4-FFF2-40B4-BE49-F238E27FC236}">
              <a16:creationId xmlns:a16="http://schemas.microsoft.com/office/drawing/2014/main" id="{00000000-0008-0000-0100-0000A7080000}"/>
            </a:ext>
          </a:extLst>
        </xdr:cNvPr>
        <xdr:cNvSpPr txBox="1">
          <a:spLocks noChangeArrowheads="1"/>
        </xdr:cNvSpPr>
      </xdr:nvSpPr>
      <xdr:spPr bwMode="auto">
        <a:xfrm>
          <a:off x="4580283" y="4672633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216" name="Text Box 1">
          <a:extLst>
            <a:ext uri="{FF2B5EF4-FFF2-40B4-BE49-F238E27FC236}">
              <a16:creationId xmlns:a16="http://schemas.microsoft.com/office/drawing/2014/main" id="{00000000-0008-0000-0100-0000A8080000}"/>
            </a:ext>
          </a:extLst>
        </xdr:cNvPr>
        <xdr:cNvSpPr txBox="1">
          <a:spLocks noChangeArrowheads="1"/>
        </xdr:cNvSpPr>
      </xdr:nvSpPr>
      <xdr:spPr bwMode="auto">
        <a:xfrm>
          <a:off x="4580283" y="4672633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217" name="Text Box 1">
          <a:extLst>
            <a:ext uri="{FF2B5EF4-FFF2-40B4-BE49-F238E27FC236}">
              <a16:creationId xmlns:a16="http://schemas.microsoft.com/office/drawing/2014/main" id="{00000000-0008-0000-0100-0000A9080000}"/>
            </a:ext>
          </a:extLst>
        </xdr:cNvPr>
        <xdr:cNvSpPr txBox="1">
          <a:spLocks noChangeArrowheads="1"/>
        </xdr:cNvSpPr>
      </xdr:nvSpPr>
      <xdr:spPr bwMode="auto">
        <a:xfrm>
          <a:off x="4580283" y="4672633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218" name="Text Box 1">
          <a:extLst>
            <a:ext uri="{FF2B5EF4-FFF2-40B4-BE49-F238E27FC236}">
              <a16:creationId xmlns:a16="http://schemas.microsoft.com/office/drawing/2014/main" id="{00000000-0008-0000-0100-0000AA080000}"/>
            </a:ext>
          </a:extLst>
        </xdr:cNvPr>
        <xdr:cNvSpPr txBox="1">
          <a:spLocks noChangeArrowheads="1"/>
        </xdr:cNvSpPr>
      </xdr:nvSpPr>
      <xdr:spPr bwMode="auto">
        <a:xfrm>
          <a:off x="4580283" y="4672633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19" name="Text Box 5">
          <a:extLst>
            <a:ext uri="{FF2B5EF4-FFF2-40B4-BE49-F238E27FC236}">
              <a16:creationId xmlns:a16="http://schemas.microsoft.com/office/drawing/2014/main" id="{00000000-0008-0000-0100-0000AB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0" name="Text Box 6">
          <a:extLst>
            <a:ext uri="{FF2B5EF4-FFF2-40B4-BE49-F238E27FC236}">
              <a16:creationId xmlns:a16="http://schemas.microsoft.com/office/drawing/2014/main" id="{00000000-0008-0000-0100-0000AC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1" name="Text Box 7">
          <a:extLst>
            <a:ext uri="{FF2B5EF4-FFF2-40B4-BE49-F238E27FC236}">
              <a16:creationId xmlns:a16="http://schemas.microsoft.com/office/drawing/2014/main" id="{00000000-0008-0000-0100-0000AD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2" name="Text Box 8">
          <a:extLst>
            <a:ext uri="{FF2B5EF4-FFF2-40B4-BE49-F238E27FC236}">
              <a16:creationId xmlns:a16="http://schemas.microsoft.com/office/drawing/2014/main" id="{00000000-0008-0000-0100-0000AE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3" name="Text Box 9">
          <a:extLst>
            <a:ext uri="{FF2B5EF4-FFF2-40B4-BE49-F238E27FC236}">
              <a16:creationId xmlns:a16="http://schemas.microsoft.com/office/drawing/2014/main" id="{00000000-0008-0000-0100-0000AF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4" name="Text Box 10">
          <a:extLst>
            <a:ext uri="{FF2B5EF4-FFF2-40B4-BE49-F238E27FC236}">
              <a16:creationId xmlns:a16="http://schemas.microsoft.com/office/drawing/2014/main" id="{00000000-0008-0000-0100-0000B0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5" name="Text Box 11">
          <a:extLst>
            <a:ext uri="{FF2B5EF4-FFF2-40B4-BE49-F238E27FC236}">
              <a16:creationId xmlns:a16="http://schemas.microsoft.com/office/drawing/2014/main" id="{00000000-0008-0000-0100-0000B1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6" name="Text Box 12">
          <a:extLst>
            <a:ext uri="{FF2B5EF4-FFF2-40B4-BE49-F238E27FC236}">
              <a16:creationId xmlns:a16="http://schemas.microsoft.com/office/drawing/2014/main" id="{00000000-0008-0000-0100-0000B2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7" name="Text Box 13">
          <a:extLst>
            <a:ext uri="{FF2B5EF4-FFF2-40B4-BE49-F238E27FC236}">
              <a16:creationId xmlns:a16="http://schemas.microsoft.com/office/drawing/2014/main" id="{00000000-0008-0000-0100-0000B3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228" name="Text Box 14">
          <a:extLst>
            <a:ext uri="{FF2B5EF4-FFF2-40B4-BE49-F238E27FC236}">
              <a16:creationId xmlns:a16="http://schemas.microsoft.com/office/drawing/2014/main" id="{00000000-0008-0000-0100-0000B4080000}"/>
            </a:ext>
          </a:extLst>
        </xdr:cNvPr>
        <xdr:cNvSpPr txBox="1">
          <a:spLocks noChangeArrowheads="1"/>
        </xdr:cNvSpPr>
      </xdr:nvSpPr>
      <xdr:spPr bwMode="auto">
        <a:xfrm>
          <a:off x="3901109" y="47799763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29" name="Text Box 15">
          <a:extLst>
            <a:ext uri="{FF2B5EF4-FFF2-40B4-BE49-F238E27FC236}">
              <a16:creationId xmlns:a16="http://schemas.microsoft.com/office/drawing/2014/main" id="{00000000-0008-0000-0100-0000B5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0" name="Text Box 16">
          <a:extLst>
            <a:ext uri="{FF2B5EF4-FFF2-40B4-BE49-F238E27FC236}">
              <a16:creationId xmlns:a16="http://schemas.microsoft.com/office/drawing/2014/main" id="{00000000-0008-0000-0100-0000B6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1" name="Text Box 17">
          <a:extLst>
            <a:ext uri="{FF2B5EF4-FFF2-40B4-BE49-F238E27FC236}">
              <a16:creationId xmlns:a16="http://schemas.microsoft.com/office/drawing/2014/main" id="{00000000-0008-0000-0100-0000B7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2" name="Text Box 18">
          <a:extLst>
            <a:ext uri="{FF2B5EF4-FFF2-40B4-BE49-F238E27FC236}">
              <a16:creationId xmlns:a16="http://schemas.microsoft.com/office/drawing/2014/main" id="{00000000-0008-0000-0100-0000B8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3" name="Text Box 19">
          <a:extLst>
            <a:ext uri="{FF2B5EF4-FFF2-40B4-BE49-F238E27FC236}">
              <a16:creationId xmlns:a16="http://schemas.microsoft.com/office/drawing/2014/main" id="{00000000-0008-0000-0100-0000B9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4" name="Text Box 20">
          <a:extLst>
            <a:ext uri="{FF2B5EF4-FFF2-40B4-BE49-F238E27FC236}">
              <a16:creationId xmlns:a16="http://schemas.microsoft.com/office/drawing/2014/main" id="{00000000-0008-0000-0100-0000BA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5" name="Text Box 21">
          <a:extLst>
            <a:ext uri="{FF2B5EF4-FFF2-40B4-BE49-F238E27FC236}">
              <a16:creationId xmlns:a16="http://schemas.microsoft.com/office/drawing/2014/main" id="{00000000-0008-0000-0100-0000BB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6" name="Text Box 22">
          <a:extLst>
            <a:ext uri="{FF2B5EF4-FFF2-40B4-BE49-F238E27FC236}">
              <a16:creationId xmlns:a16="http://schemas.microsoft.com/office/drawing/2014/main" id="{00000000-0008-0000-0100-0000BC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7" name="Text Box 7">
          <a:extLst>
            <a:ext uri="{FF2B5EF4-FFF2-40B4-BE49-F238E27FC236}">
              <a16:creationId xmlns:a16="http://schemas.microsoft.com/office/drawing/2014/main" id="{00000000-0008-0000-0100-0000BD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8" name="Text Box 8">
          <a:extLst>
            <a:ext uri="{FF2B5EF4-FFF2-40B4-BE49-F238E27FC236}">
              <a16:creationId xmlns:a16="http://schemas.microsoft.com/office/drawing/2014/main" id="{00000000-0008-0000-0100-0000BE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39" name="Text Box 9">
          <a:extLst>
            <a:ext uri="{FF2B5EF4-FFF2-40B4-BE49-F238E27FC236}">
              <a16:creationId xmlns:a16="http://schemas.microsoft.com/office/drawing/2014/main" id="{00000000-0008-0000-0100-0000BF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40" name="Text Box 10">
          <a:extLst>
            <a:ext uri="{FF2B5EF4-FFF2-40B4-BE49-F238E27FC236}">
              <a16:creationId xmlns:a16="http://schemas.microsoft.com/office/drawing/2014/main" id="{00000000-0008-0000-0100-0000C0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41" name="Text Box 11">
          <a:extLst>
            <a:ext uri="{FF2B5EF4-FFF2-40B4-BE49-F238E27FC236}">
              <a16:creationId xmlns:a16="http://schemas.microsoft.com/office/drawing/2014/main" id="{00000000-0008-0000-0100-0000C1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42" name="Text Box 12">
          <a:extLst>
            <a:ext uri="{FF2B5EF4-FFF2-40B4-BE49-F238E27FC236}">
              <a16:creationId xmlns:a16="http://schemas.microsoft.com/office/drawing/2014/main" id="{00000000-0008-0000-0100-0000C2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43" name="Text Box 13">
          <a:extLst>
            <a:ext uri="{FF2B5EF4-FFF2-40B4-BE49-F238E27FC236}">
              <a16:creationId xmlns:a16="http://schemas.microsoft.com/office/drawing/2014/main" id="{00000000-0008-0000-0100-0000C3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244" name="Text Box 14">
          <a:extLst>
            <a:ext uri="{FF2B5EF4-FFF2-40B4-BE49-F238E27FC236}">
              <a16:creationId xmlns:a16="http://schemas.microsoft.com/office/drawing/2014/main" id="{00000000-0008-0000-0100-0000C4080000}"/>
            </a:ext>
          </a:extLst>
        </xdr:cNvPr>
        <xdr:cNvSpPr txBox="1">
          <a:spLocks noChangeArrowheads="1"/>
        </xdr:cNvSpPr>
      </xdr:nvSpPr>
      <xdr:spPr bwMode="auto">
        <a:xfrm>
          <a:off x="3901109" y="47799763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245" name="Text Box 15">
          <a:extLst>
            <a:ext uri="{FF2B5EF4-FFF2-40B4-BE49-F238E27FC236}">
              <a16:creationId xmlns:a16="http://schemas.microsoft.com/office/drawing/2014/main" id="{00000000-0008-0000-0100-0000C5080000}"/>
            </a:ext>
          </a:extLst>
        </xdr:cNvPr>
        <xdr:cNvSpPr txBox="1">
          <a:spLocks noChangeArrowheads="1"/>
        </xdr:cNvSpPr>
      </xdr:nvSpPr>
      <xdr:spPr bwMode="auto">
        <a:xfrm>
          <a:off x="3901109" y="4779976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46" name="Text Box 5">
          <a:extLst>
            <a:ext uri="{FF2B5EF4-FFF2-40B4-BE49-F238E27FC236}">
              <a16:creationId xmlns:a16="http://schemas.microsoft.com/office/drawing/2014/main" id="{00000000-0008-0000-0100-0000C6080000}"/>
            </a:ext>
          </a:extLst>
        </xdr:cNvPr>
        <xdr:cNvSpPr txBox="1">
          <a:spLocks noChangeArrowheads="1"/>
        </xdr:cNvSpPr>
      </xdr:nvSpPr>
      <xdr:spPr bwMode="auto">
        <a:xfrm>
          <a:off x="3901109" y="4779976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247" name="Text Box 6">
          <a:extLst>
            <a:ext uri="{FF2B5EF4-FFF2-40B4-BE49-F238E27FC236}">
              <a16:creationId xmlns:a16="http://schemas.microsoft.com/office/drawing/2014/main" id="{00000000-0008-0000-0100-0000C7080000}"/>
            </a:ext>
          </a:extLst>
        </xdr:cNvPr>
        <xdr:cNvSpPr txBox="1">
          <a:spLocks noChangeArrowheads="1"/>
        </xdr:cNvSpPr>
      </xdr:nvSpPr>
      <xdr:spPr bwMode="auto">
        <a:xfrm>
          <a:off x="3901109" y="47799763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48" name="Text Box 7">
          <a:extLst>
            <a:ext uri="{FF2B5EF4-FFF2-40B4-BE49-F238E27FC236}">
              <a16:creationId xmlns:a16="http://schemas.microsoft.com/office/drawing/2014/main" id="{00000000-0008-0000-0100-0000C8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49" name="Text Box 8">
          <a:extLst>
            <a:ext uri="{FF2B5EF4-FFF2-40B4-BE49-F238E27FC236}">
              <a16:creationId xmlns:a16="http://schemas.microsoft.com/office/drawing/2014/main" id="{00000000-0008-0000-0100-0000C9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50" name="Text Box 9">
          <a:extLst>
            <a:ext uri="{FF2B5EF4-FFF2-40B4-BE49-F238E27FC236}">
              <a16:creationId xmlns:a16="http://schemas.microsoft.com/office/drawing/2014/main" id="{00000000-0008-0000-0100-0000CA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51" name="Text Box 10">
          <a:extLst>
            <a:ext uri="{FF2B5EF4-FFF2-40B4-BE49-F238E27FC236}">
              <a16:creationId xmlns:a16="http://schemas.microsoft.com/office/drawing/2014/main" id="{00000000-0008-0000-0100-0000CB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52" name="Text Box 11">
          <a:extLst>
            <a:ext uri="{FF2B5EF4-FFF2-40B4-BE49-F238E27FC236}">
              <a16:creationId xmlns:a16="http://schemas.microsoft.com/office/drawing/2014/main" id="{00000000-0008-0000-0100-0000CC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53" name="Text Box 12">
          <a:extLst>
            <a:ext uri="{FF2B5EF4-FFF2-40B4-BE49-F238E27FC236}">
              <a16:creationId xmlns:a16="http://schemas.microsoft.com/office/drawing/2014/main" id="{00000000-0008-0000-0100-0000CD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54" name="Text Box 13">
          <a:extLst>
            <a:ext uri="{FF2B5EF4-FFF2-40B4-BE49-F238E27FC236}">
              <a16:creationId xmlns:a16="http://schemas.microsoft.com/office/drawing/2014/main" id="{00000000-0008-0000-0100-0000CE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255" name="Text Box 14">
          <a:extLst>
            <a:ext uri="{FF2B5EF4-FFF2-40B4-BE49-F238E27FC236}">
              <a16:creationId xmlns:a16="http://schemas.microsoft.com/office/drawing/2014/main" id="{00000000-0008-0000-0100-0000CF080000}"/>
            </a:ext>
          </a:extLst>
        </xdr:cNvPr>
        <xdr:cNvSpPr txBox="1">
          <a:spLocks noChangeArrowheads="1"/>
        </xdr:cNvSpPr>
      </xdr:nvSpPr>
      <xdr:spPr bwMode="auto">
        <a:xfrm>
          <a:off x="3901109" y="47799763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56" name="Text Box 15">
          <a:extLst>
            <a:ext uri="{FF2B5EF4-FFF2-40B4-BE49-F238E27FC236}">
              <a16:creationId xmlns:a16="http://schemas.microsoft.com/office/drawing/2014/main" id="{00000000-0008-0000-0100-0000D0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57" name="Text Box 16">
          <a:extLst>
            <a:ext uri="{FF2B5EF4-FFF2-40B4-BE49-F238E27FC236}">
              <a16:creationId xmlns:a16="http://schemas.microsoft.com/office/drawing/2014/main" id="{00000000-0008-0000-0100-0000D1080000}"/>
            </a:ext>
          </a:extLst>
        </xdr:cNvPr>
        <xdr:cNvSpPr txBox="1">
          <a:spLocks noChangeArrowheads="1"/>
        </xdr:cNvSpPr>
      </xdr:nvSpPr>
      <xdr:spPr bwMode="auto">
        <a:xfrm>
          <a:off x="3901109" y="4779976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58" name="Text Box 17">
          <a:extLst>
            <a:ext uri="{FF2B5EF4-FFF2-40B4-BE49-F238E27FC236}">
              <a16:creationId xmlns:a16="http://schemas.microsoft.com/office/drawing/2014/main" id="{00000000-0008-0000-0100-0000D2080000}"/>
            </a:ext>
          </a:extLst>
        </xdr:cNvPr>
        <xdr:cNvSpPr txBox="1">
          <a:spLocks noChangeArrowheads="1"/>
        </xdr:cNvSpPr>
      </xdr:nvSpPr>
      <xdr:spPr bwMode="auto">
        <a:xfrm>
          <a:off x="3901109" y="4779976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59" name="Text Box 18">
          <a:extLst>
            <a:ext uri="{FF2B5EF4-FFF2-40B4-BE49-F238E27FC236}">
              <a16:creationId xmlns:a16="http://schemas.microsoft.com/office/drawing/2014/main" id="{00000000-0008-0000-0100-0000D3080000}"/>
            </a:ext>
          </a:extLst>
        </xdr:cNvPr>
        <xdr:cNvSpPr txBox="1">
          <a:spLocks noChangeArrowheads="1"/>
        </xdr:cNvSpPr>
      </xdr:nvSpPr>
      <xdr:spPr bwMode="auto">
        <a:xfrm>
          <a:off x="3901109" y="4779976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60" name="Text Box 19">
          <a:extLst>
            <a:ext uri="{FF2B5EF4-FFF2-40B4-BE49-F238E27FC236}">
              <a16:creationId xmlns:a16="http://schemas.microsoft.com/office/drawing/2014/main" id="{00000000-0008-0000-0100-0000D4080000}"/>
            </a:ext>
          </a:extLst>
        </xdr:cNvPr>
        <xdr:cNvSpPr txBox="1">
          <a:spLocks noChangeArrowheads="1"/>
        </xdr:cNvSpPr>
      </xdr:nvSpPr>
      <xdr:spPr bwMode="auto">
        <a:xfrm>
          <a:off x="3901109" y="4779976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61" name="Text Box 20">
          <a:extLst>
            <a:ext uri="{FF2B5EF4-FFF2-40B4-BE49-F238E27FC236}">
              <a16:creationId xmlns:a16="http://schemas.microsoft.com/office/drawing/2014/main" id="{00000000-0008-0000-0100-0000D5080000}"/>
            </a:ext>
          </a:extLst>
        </xdr:cNvPr>
        <xdr:cNvSpPr txBox="1">
          <a:spLocks noChangeArrowheads="1"/>
        </xdr:cNvSpPr>
      </xdr:nvSpPr>
      <xdr:spPr bwMode="auto">
        <a:xfrm>
          <a:off x="3901109" y="4779976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262" name="Text Box 21">
          <a:extLst>
            <a:ext uri="{FF2B5EF4-FFF2-40B4-BE49-F238E27FC236}">
              <a16:creationId xmlns:a16="http://schemas.microsoft.com/office/drawing/2014/main" id="{00000000-0008-0000-0100-0000D6080000}"/>
            </a:ext>
          </a:extLst>
        </xdr:cNvPr>
        <xdr:cNvSpPr txBox="1">
          <a:spLocks noChangeArrowheads="1"/>
        </xdr:cNvSpPr>
      </xdr:nvSpPr>
      <xdr:spPr bwMode="auto">
        <a:xfrm>
          <a:off x="3901109" y="4779976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263" name="Text Box 22">
          <a:extLst>
            <a:ext uri="{FF2B5EF4-FFF2-40B4-BE49-F238E27FC236}">
              <a16:creationId xmlns:a16="http://schemas.microsoft.com/office/drawing/2014/main" id="{00000000-0008-0000-0100-0000D7080000}"/>
            </a:ext>
          </a:extLst>
        </xdr:cNvPr>
        <xdr:cNvSpPr txBox="1">
          <a:spLocks noChangeArrowheads="1"/>
        </xdr:cNvSpPr>
      </xdr:nvSpPr>
      <xdr:spPr bwMode="auto">
        <a:xfrm>
          <a:off x="3901109" y="47799763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64" name="Text Box 7">
          <a:extLst>
            <a:ext uri="{FF2B5EF4-FFF2-40B4-BE49-F238E27FC236}">
              <a16:creationId xmlns:a16="http://schemas.microsoft.com/office/drawing/2014/main" id="{00000000-0008-0000-0100-0000D8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65" name="Text Box 8">
          <a:extLst>
            <a:ext uri="{FF2B5EF4-FFF2-40B4-BE49-F238E27FC236}">
              <a16:creationId xmlns:a16="http://schemas.microsoft.com/office/drawing/2014/main" id="{00000000-0008-0000-0100-0000D9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66" name="Text Box 9">
          <a:extLst>
            <a:ext uri="{FF2B5EF4-FFF2-40B4-BE49-F238E27FC236}">
              <a16:creationId xmlns:a16="http://schemas.microsoft.com/office/drawing/2014/main" id="{00000000-0008-0000-0100-0000DA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67" name="Text Box 10">
          <a:extLst>
            <a:ext uri="{FF2B5EF4-FFF2-40B4-BE49-F238E27FC236}">
              <a16:creationId xmlns:a16="http://schemas.microsoft.com/office/drawing/2014/main" id="{00000000-0008-0000-0100-0000DB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68" name="Text Box 11">
          <a:extLst>
            <a:ext uri="{FF2B5EF4-FFF2-40B4-BE49-F238E27FC236}">
              <a16:creationId xmlns:a16="http://schemas.microsoft.com/office/drawing/2014/main" id="{00000000-0008-0000-0100-0000DC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69" name="Text Box 12">
          <a:extLst>
            <a:ext uri="{FF2B5EF4-FFF2-40B4-BE49-F238E27FC236}">
              <a16:creationId xmlns:a16="http://schemas.microsoft.com/office/drawing/2014/main" id="{00000000-0008-0000-0100-0000DD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70" name="Text Box 13">
          <a:extLst>
            <a:ext uri="{FF2B5EF4-FFF2-40B4-BE49-F238E27FC236}">
              <a16:creationId xmlns:a16="http://schemas.microsoft.com/office/drawing/2014/main" id="{00000000-0008-0000-0100-0000DE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271" name="Text Box 14">
          <a:extLst>
            <a:ext uri="{FF2B5EF4-FFF2-40B4-BE49-F238E27FC236}">
              <a16:creationId xmlns:a16="http://schemas.microsoft.com/office/drawing/2014/main" id="{00000000-0008-0000-0100-0000DF080000}"/>
            </a:ext>
          </a:extLst>
        </xdr:cNvPr>
        <xdr:cNvSpPr txBox="1">
          <a:spLocks noChangeArrowheads="1"/>
        </xdr:cNvSpPr>
      </xdr:nvSpPr>
      <xdr:spPr bwMode="auto">
        <a:xfrm>
          <a:off x="3901109" y="47799763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272" name="Text Box 15">
          <a:extLst>
            <a:ext uri="{FF2B5EF4-FFF2-40B4-BE49-F238E27FC236}">
              <a16:creationId xmlns:a16="http://schemas.microsoft.com/office/drawing/2014/main" id="{00000000-0008-0000-0100-0000E0080000}"/>
            </a:ext>
          </a:extLst>
        </xdr:cNvPr>
        <xdr:cNvSpPr txBox="1">
          <a:spLocks noChangeArrowheads="1"/>
        </xdr:cNvSpPr>
      </xdr:nvSpPr>
      <xdr:spPr bwMode="auto">
        <a:xfrm>
          <a:off x="3901109" y="4779976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73" name="Text Box 5">
          <a:extLst>
            <a:ext uri="{FF2B5EF4-FFF2-40B4-BE49-F238E27FC236}">
              <a16:creationId xmlns:a16="http://schemas.microsoft.com/office/drawing/2014/main" id="{00000000-0008-0000-0100-0000E1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274" name="Text Box 6">
          <a:extLst>
            <a:ext uri="{FF2B5EF4-FFF2-40B4-BE49-F238E27FC236}">
              <a16:creationId xmlns:a16="http://schemas.microsoft.com/office/drawing/2014/main" id="{00000000-0008-0000-0100-0000E2080000}"/>
            </a:ext>
          </a:extLst>
        </xdr:cNvPr>
        <xdr:cNvSpPr txBox="1">
          <a:spLocks noChangeArrowheads="1"/>
        </xdr:cNvSpPr>
      </xdr:nvSpPr>
      <xdr:spPr bwMode="auto">
        <a:xfrm>
          <a:off x="3901109" y="47799763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75" name="Text Box 7">
          <a:extLst>
            <a:ext uri="{FF2B5EF4-FFF2-40B4-BE49-F238E27FC236}">
              <a16:creationId xmlns:a16="http://schemas.microsoft.com/office/drawing/2014/main" id="{00000000-0008-0000-0100-0000E3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76" name="Text Box 8">
          <a:extLst>
            <a:ext uri="{FF2B5EF4-FFF2-40B4-BE49-F238E27FC236}">
              <a16:creationId xmlns:a16="http://schemas.microsoft.com/office/drawing/2014/main" id="{00000000-0008-0000-0100-0000E4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77" name="Text Box 9">
          <a:extLst>
            <a:ext uri="{FF2B5EF4-FFF2-40B4-BE49-F238E27FC236}">
              <a16:creationId xmlns:a16="http://schemas.microsoft.com/office/drawing/2014/main" id="{00000000-0008-0000-0100-0000E5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78" name="Text Box 10">
          <a:extLst>
            <a:ext uri="{FF2B5EF4-FFF2-40B4-BE49-F238E27FC236}">
              <a16:creationId xmlns:a16="http://schemas.microsoft.com/office/drawing/2014/main" id="{00000000-0008-0000-0100-0000E6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79" name="Text Box 11">
          <a:extLst>
            <a:ext uri="{FF2B5EF4-FFF2-40B4-BE49-F238E27FC236}">
              <a16:creationId xmlns:a16="http://schemas.microsoft.com/office/drawing/2014/main" id="{00000000-0008-0000-0100-0000E7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0" name="Text Box 12">
          <a:extLst>
            <a:ext uri="{FF2B5EF4-FFF2-40B4-BE49-F238E27FC236}">
              <a16:creationId xmlns:a16="http://schemas.microsoft.com/office/drawing/2014/main" id="{00000000-0008-0000-0100-0000E8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1" name="Text Box 13">
          <a:extLst>
            <a:ext uri="{FF2B5EF4-FFF2-40B4-BE49-F238E27FC236}">
              <a16:creationId xmlns:a16="http://schemas.microsoft.com/office/drawing/2014/main" id="{00000000-0008-0000-0100-0000E9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282" name="Text Box 14">
          <a:extLst>
            <a:ext uri="{FF2B5EF4-FFF2-40B4-BE49-F238E27FC236}">
              <a16:creationId xmlns:a16="http://schemas.microsoft.com/office/drawing/2014/main" id="{00000000-0008-0000-0100-0000EA080000}"/>
            </a:ext>
          </a:extLst>
        </xdr:cNvPr>
        <xdr:cNvSpPr txBox="1">
          <a:spLocks noChangeArrowheads="1"/>
        </xdr:cNvSpPr>
      </xdr:nvSpPr>
      <xdr:spPr bwMode="auto">
        <a:xfrm>
          <a:off x="3901109" y="47799763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3" name="Text Box 15">
          <a:extLst>
            <a:ext uri="{FF2B5EF4-FFF2-40B4-BE49-F238E27FC236}">
              <a16:creationId xmlns:a16="http://schemas.microsoft.com/office/drawing/2014/main" id="{00000000-0008-0000-0100-0000EB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4" name="Text Box 16">
          <a:extLst>
            <a:ext uri="{FF2B5EF4-FFF2-40B4-BE49-F238E27FC236}">
              <a16:creationId xmlns:a16="http://schemas.microsoft.com/office/drawing/2014/main" id="{00000000-0008-0000-0100-0000EC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5" name="Text Box 17">
          <a:extLst>
            <a:ext uri="{FF2B5EF4-FFF2-40B4-BE49-F238E27FC236}">
              <a16:creationId xmlns:a16="http://schemas.microsoft.com/office/drawing/2014/main" id="{00000000-0008-0000-0100-0000ED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6" name="Text Box 18">
          <a:extLst>
            <a:ext uri="{FF2B5EF4-FFF2-40B4-BE49-F238E27FC236}">
              <a16:creationId xmlns:a16="http://schemas.microsoft.com/office/drawing/2014/main" id="{00000000-0008-0000-0100-0000EE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7" name="Text Box 19">
          <a:extLst>
            <a:ext uri="{FF2B5EF4-FFF2-40B4-BE49-F238E27FC236}">
              <a16:creationId xmlns:a16="http://schemas.microsoft.com/office/drawing/2014/main" id="{00000000-0008-0000-0100-0000EF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8" name="Text Box 20">
          <a:extLst>
            <a:ext uri="{FF2B5EF4-FFF2-40B4-BE49-F238E27FC236}">
              <a16:creationId xmlns:a16="http://schemas.microsoft.com/office/drawing/2014/main" id="{00000000-0008-0000-0100-0000F0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89" name="Text Box 21">
          <a:extLst>
            <a:ext uri="{FF2B5EF4-FFF2-40B4-BE49-F238E27FC236}">
              <a16:creationId xmlns:a16="http://schemas.microsoft.com/office/drawing/2014/main" id="{00000000-0008-0000-0100-0000F1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290" name="Text Box 22">
          <a:extLst>
            <a:ext uri="{FF2B5EF4-FFF2-40B4-BE49-F238E27FC236}">
              <a16:creationId xmlns:a16="http://schemas.microsoft.com/office/drawing/2014/main" id="{00000000-0008-0000-0100-0000F2080000}"/>
            </a:ext>
          </a:extLst>
        </xdr:cNvPr>
        <xdr:cNvSpPr txBox="1">
          <a:spLocks noChangeArrowheads="1"/>
        </xdr:cNvSpPr>
      </xdr:nvSpPr>
      <xdr:spPr bwMode="auto">
        <a:xfrm>
          <a:off x="3901109" y="47799763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91" name="Text Box 7">
          <a:extLst>
            <a:ext uri="{FF2B5EF4-FFF2-40B4-BE49-F238E27FC236}">
              <a16:creationId xmlns:a16="http://schemas.microsoft.com/office/drawing/2014/main" id="{00000000-0008-0000-0100-0000F3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92" name="Text Box 8">
          <a:extLst>
            <a:ext uri="{FF2B5EF4-FFF2-40B4-BE49-F238E27FC236}">
              <a16:creationId xmlns:a16="http://schemas.microsoft.com/office/drawing/2014/main" id="{00000000-0008-0000-0100-0000F4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93" name="Text Box 9">
          <a:extLst>
            <a:ext uri="{FF2B5EF4-FFF2-40B4-BE49-F238E27FC236}">
              <a16:creationId xmlns:a16="http://schemas.microsoft.com/office/drawing/2014/main" id="{00000000-0008-0000-0100-0000F5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94" name="Text Box 10">
          <a:extLst>
            <a:ext uri="{FF2B5EF4-FFF2-40B4-BE49-F238E27FC236}">
              <a16:creationId xmlns:a16="http://schemas.microsoft.com/office/drawing/2014/main" id="{00000000-0008-0000-0100-0000F6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95" name="Text Box 11">
          <a:extLst>
            <a:ext uri="{FF2B5EF4-FFF2-40B4-BE49-F238E27FC236}">
              <a16:creationId xmlns:a16="http://schemas.microsoft.com/office/drawing/2014/main" id="{00000000-0008-0000-0100-0000F7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96" name="Text Box 12">
          <a:extLst>
            <a:ext uri="{FF2B5EF4-FFF2-40B4-BE49-F238E27FC236}">
              <a16:creationId xmlns:a16="http://schemas.microsoft.com/office/drawing/2014/main" id="{00000000-0008-0000-0100-0000F8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297" name="Text Box 13">
          <a:extLst>
            <a:ext uri="{FF2B5EF4-FFF2-40B4-BE49-F238E27FC236}">
              <a16:creationId xmlns:a16="http://schemas.microsoft.com/office/drawing/2014/main" id="{00000000-0008-0000-0100-0000F9080000}"/>
            </a:ext>
          </a:extLst>
        </xdr:cNvPr>
        <xdr:cNvSpPr txBox="1">
          <a:spLocks noChangeArrowheads="1"/>
        </xdr:cNvSpPr>
      </xdr:nvSpPr>
      <xdr:spPr bwMode="auto">
        <a:xfrm>
          <a:off x="3901109" y="4779976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298" name="Text Box 14">
          <a:extLst>
            <a:ext uri="{FF2B5EF4-FFF2-40B4-BE49-F238E27FC236}">
              <a16:creationId xmlns:a16="http://schemas.microsoft.com/office/drawing/2014/main" id="{00000000-0008-0000-0100-0000FA080000}"/>
            </a:ext>
          </a:extLst>
        </xdr:cNvPr>
        <xdr:cNvSpPr txBox="1">
          <a:spLocks noChangeArrowheads="1"/>
        </xdr:cNvSpPr>
      </xdr:nvSpPr>
      <xdr:spPr bwMode="auto">
        <a:xfrm>
          <a:off x="3901109" y="47799763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299" name="Text Box 5">
          <a:extLst>
            <a:ext uri="{FF2B5EF4-FFF2-40B4-BE49-F238E27FC236}">
              <a16:creationId xmlns:a16="http://schemas.microsoft.com/office/drawing/2014/main" id="{00000000-0008-0000-0100-0000FB080000}"/>
            </a:ext>
          </a:extLst>
        </xdr:cNvPr>
        <xdr:cNvSpPr txBox="1">
          <a:spLocks noChangeArrowheads="1"/>
        </xdr:cNvSpPr>
      </xdr:nvSpPr>
      <xdr:spPr bwMode="auto">
        <a:xfrm>
          <a:off x="3901109" y="4779976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300" name="Text Box 6">
          <a:extLst>
            <a:ext uri="{FF2B5EF4-FFF2-40B4-BE49-F238E27FC236}">
              <a16:creationId xmlns:a16="http://schemas.microsoft.com/office/drawing/2014/main" id="{00000000-0008-0000-0100-0000FC080000}"/>
            </a:ext>
          </a:extLst>
        </xdr:cNvPr>
        <xdr:cNvSpPr txBox="1">
          <a:spLocks noChangeArrowheads="1"/>
        </xdr:cNvSpPr>
      </xdr:nvSpPr>
      <xdr:spPr bwMode="auto">
        <a:xfrm>
          <a:off x="3901109" y="4779976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301" name="Text Box 7">
          <a:extLst>
            <a:ext uri="{FF2B5EF4-FFF2-40B4-BE49-F238E27FC236}">
              <a16:creationId xmlns:a16="http://schemas.microsoft.com/office/drawing/2014/main" id="{00000000-0008-0000-0100-0000FD080000}"/>
            </a:ext>
          </a:extLst>
        </xdr:cNvPr>
        <xdr:cNvSpPr txBox="1">
          <a:spLocks noChangeArrowheads="1"/>
        </xdr:cNvSpPr>
      </xdr:nvSpPr>
      <xdr:spPr bwMode="auto">
        <a:xfrm>
          <a:off x="3901109" y="4779976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302" name="Text Box 8">
          <a:extLst>
            <a:ext uri="{FF2B5EF4-FFF2-40B4-BE49-F238E27FC236}">
              <a16:creationId xmlns:a16="http://schemas.microsoft.com/office/drawing/2014/main" id="{00000000-0008-0000-0100-0000FE080000}"/>
            </a:ext>
          </a:extLst>
        </xdr:cNvPr>
        <xdr:cNvSpPr txBox="1">
          <a:spLocks noChangeArrowheads="1"/>
        </xdr:cNvSpPr>
      </xdr:nvSpPr>
      <xdr:spPr bwMode="auto">
        <a:xfrm>
          <a:off x="3901109" y="4779976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303" name="Text Box 9">
          <a:extLst>
            <a:ext uri="{FF2B5EF4-FFF2-40B4-BE49-F238E27FC236}">
              <a16:creationId xmlns:a16="http://schemas.microsoft.com/office/drawing/2014/main" id="{00000000-0008-0000-0100-0000FF080000}"/>
            </a:ext>
          </a:extLst>
        </xdr:cNvPr>
        <xdr:cNvSpPr txBox="1">
          <a:spLocks noChangeArrowheads="1"/>
        </xdr:cNvSpPr>
      </xdr:nvSpPr>
      <xdr:spPr bwMode="auto">
        <a:xfrm>
          <a:off x="3901109" y="4779976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304" name="Text Box 10">
          <a:extLst>
            <a:ext uri="{FF2B5EF4-FFF2-40B4-BE49-F238E27FC236}">
              <a16:creationId xmlns:a16="http://schemas.microsoft.com/office/drawing/2014/main" id="{00000000-0008-0000-0100-000000090000}"/>
            </a:ext>
          </a:extLst>
        </xdr:cNvPr>
        <xdr:cNvSpPr txBox="1">
          <a:spLocks noChangeArrowheads="1"/>
        </xdr:cNvSpPr>
      </xdr:nvSpPr>
      <xdr:spPr bwMode="auto">
        <a:xfrm>
          <a:off x="3901109" y="4779976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305" name="Text Box 11">
          <a:extLst>
            <a:ext uri="{FF2B5EF4-FFF2-40B4-BE49-F238E27FC236}">
              <a16:creationId xmlns:a16="http://schemas.microsoft.com/office/drawing/2014/main" id="{00000000-0008-0000-0100-000001090000}"/>
            </a:ext>
          </a:extLst>
        </xdr:cNvPr>
        <xdr:cNvSpPr txBox="1">
          <a:spLocks noChangeArrowheads="1"/>
        </xdr:cNvSpPr>
      </xdr:nvSpPr>
      <xdr:spPr bwMode="auto">
        <a:xfrm>
          <a:off x="3901109" y="4779976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306" name="Text Box 12">
          <a:extLst>
            <a:ext uri="{FF2B5EF4-FFF2-40B4-BE49-F238E27FC236}">
              <a16:creationId xmlns:a16="http://schemas.microsoft.com/office/drawing/2014/main" id="{00000000-0008-0000-0100-000002090000}"/>
            </a:ext>
          </a:extLst>
        </xdr:cNvPr>
        <xdr:cNvSpPr txBox="1">
          <a:spLocks noChangeArrowheads="1"/>
        </xdr:cNvSpPr>
      </xdr:nvSpPr>
      <xdr:spPr bwMode="auto">
        <a:xfrm>
          <a:off x="3901109" y="4779976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307" name="Text Box 1">
          <a:extLst>
            <a:ext uri="{FF2B5EF4-FFF2-40B4-BE49-F238E27FC236}">
              <a16:creationId xmlns:a16="http://schemas.microsoft.com/office/drawing/2014/main" id="{00000000-0008-0000-0100-000003090000}"/>
            </a:ext>
          </a:extLst>
        </xdr:cNvPr>
        <xdr:cNvSpPr txBox="1">
          <a:spLocks noChangeArrowheads="1"/>
        </xdr:cNvSpPr>
      </xdr:nvSpPr>
      <xdr:spPr bwMode="auto">
        <a:xfrm>
          <a:off x="4580283" y="4779976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308" name="Text Box 1">
          <a:extLst>
            <a:ext uri="{FF2B5EF4-FFF2-40B4-BE49-F238E27FC236}">
              <a16:creationId xmlns:a16="http://schemas.microsoft.com/office/drawing/2014/main" id="{00000000-0008-0000-0100-000004090000}"/>
            </a:ext>
          </a:extLst>
        </xdr:cNvPr>
        <xdr:cNvSpPr txBox="1">
          <a:spLocks noChangeArrowheads="1"/>
        </xdr:cNvSpPr>
      </xdr:nvSpPr>
      <xdr:spPr bwMode="auto">
        <a:xfrm>
          <a:off x="4580283" y="4779976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309" name="Text Box 1">
          <a:extLst>
            <a:ext uri="{FF2B5EF4-FFF2-40B4-BE49-F238E27FC236}">
              <a16:creationId xmlns:a16="http://schemas.microsoft.com/office/drawing/2014/main" id="{00000000-0008-0000-0100-000005090000}"/>
            </a:ext>
          </a:extLst>
        </xdr:cNvPr>
        <xdr:cNvSpPr txBox="1">
          <a:spLocks noChangeArrowheads="1"/>
        </xdr:cNvSpPr>
      </xdr:nvSpPr>
      <xdr:spPr bwMode="auto">
        <a:xfrm>
          <a:off x="4580283" y="4779976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310" name="Text Box 1">
          <a:extLst>
            <a:ext uri="{FF2B5EF4-FFF2-40B4-BE49-F238E27FC236}">
              <a16:creationId xmlns:a16="http://schemas.microsoft.com/office/drawing/2014/main" id="{00000000-0008-0000-0100-000006090000}"/>
            </a:ext>
          </a:extLst>
        </xdr:cNvPr>
        <xdr:cNvSpPr txBox="1">
          <a:spLocks noChangeArrowheads="1"/>
        </xdr:cNvSpPr>
      </xdr:nvSpPr>
      <xdr:spPr bwMode="auto">
        <a:xfrm>
          <a:off x="4580283" y="4779976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11" name="Text Box 5">
          <a:extLst>
            <a:ext uri="{FF2B5EF4-FFF2-40B4-BE49-F238E27FC236}">
              <a16:creationId xmlns:a16="http://schemas.microsoft.com/office/drawing/2014/main" id="{00000000-0008-0000-0100-000007090000}"/>
            </a:ext>
          </a:extLst>
        </xdr:cNvPr>
        <xdr:cNvSpPr txBox="1">
          <a:spLocks noChangeArrowheads="1"/>
        </xdr:cNvSpPr>
      </xdr:nvSpPr>
      <xdr:spPr bwMode="auto">
        <a:xfrm>
          <a:off x="3901109" y="4887318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312" name="Text Box 6">
          <a:extLst>
            <a:ext uri="{FF2B5EF4-FFF2-40B4-BE49-F238E27FC236}">
              <a16:creationId xmlns:a16="http://schemas.microsoft.com/office/drawing/2014/main" id="{00000000-0008-0000-0100-000008090000}"/>
            </a:ext>
          </a:extLst>
        </xdr:cNvPr>
        <xdr:cNvSpPr txBox="1">
          <a:spLocks noChangeArrowheads="1"/>
        </xdr:cNvSpPr>
      </xdr:nvSpPr>
      <xdr:spPr bwMode="auto">
        <a:xfrm>
          <a:off x="3901109" y="488731891"/>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13" name="Text Box 16">
          <a:extLst>
            <a:ext uri="{FF2B5EF4-FFF2-40B4-BE49-F238E27FC236}">
              <a16:creationId xmlns:a16="http://schemas.microsoft.com/office/drawing/2014/main" id="{00000000-0008-0000-0100-000009090000}"/>
            </a:ext>
          </a:extLst>
        </xdr:cNvPr>
        <xdr:cNvSpPr txBox="1">
          <a:spLocks noChangeArrowheads="1"/>
        </xdr:cNvSpPr>
      </xdr:nvSpPr>
      <xdr:spPr bwMode="auto">
        <a:xfrm>
          <a:off x="3901109" y="4887318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14" name="Text Box 17">
          <a:extLst>
            <a:ext uri="{FF2B5EF4-FFF2-40B4-BE49-F238E27FC236}">
              <a16:creationId xmlns:a16="http://schemas.microsoft.com/office/drawing/2014/main" id="{00000000-0008-0000-0100-00000A090000}"/>
            </a:ext>
          </a:extLst>
        </xdr:cNvPr>
        <xdr:cNvSpPr txBox="1">
          <a:spLocks noChangeArrowheads="1"/>
        </xdr:cNvSpPr>
      </xdr:nvSpPr>
      <xdr:spPr bwMode="auto">
        <a:xfrm>
          <a:off x="3901109" y="4887318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15" name="Text Box 18">
          <a:extLst>
            <a:ext uri="{FF2B5EF4-FFF2-40B4-BE49-F238E27FC236}">
              <a16:creationId xmlns:a16="http://schemas.microsoft.com/office/drawing/2014/main" id="{00000000-0008-0000-0100-00000B090000}"/>
            </a:ext>
          </a:extLst>
        </xdr:cNvPr>
        <xdr:cNvSpPr txBox="1">
          <a:spLocks noChangeArrowheads="1"/>
        </xdr:cNvSpPr>
      </xdr:nvSpPr>
      <xdr:spPr bwMode="auto">
        <a:xfrm>
          <a:off x="3901109" y="4887318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16" name="Text Box 19">
          <a:extLst>
            <a:ext uri="{FF2B5EF4-FFF2-40B4-BE49-F238E27FC236}">
              <a16:creationId xmlns:a16="http://schemas.microsoft.com/office/drawing/2014/main" id="{00000000-0008-0000-0100-00000C090000}"/>
            </a:ext>
          </a:extLst>
        </xdr:cNvPr>
        <xdr:cNvSpPr txBox="1">
          <a:spLocks noChangeArrowheads="1"/>
        </xdr:cNvSpPr>
      </xdr:nvSpPr>
      <xdr:spPr bwMode="auto">
        <a:xfrm>
          <a:off x="3901109" y="4887318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17" name="Text Box 20">
          <a:extLst>
            <a:ext uri="{FF2B5EF4-FFF2-40B4-BE49-F238E27FC236}">
              <a16:creationId xmlns:a16="http://schemas.microsoft.com/office/drawing/2014/main" id="{00000000-0008-0000-0100-00000D090000}"/>
            </a:ext>
          </a:extLst>
        </xdr:cNvPr>
        <xdr:cNvSpPr txBox="1">
          <a:spLocks noChangeArrowheads="1"/>
        </xdr:cNvSpPr>
      </xdr:nvSpPr>
      <xdr:spPr bwMode="auto">
        <a:xfrm>
          <a:off x="3901109" y="4887318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18" name="Text Box 21">
          <a:extLst>
            <a:ext uri="{FF2B5EF4-FFF2-40B4-BE49-F238E27FC236}">
              <a16:creationId xmlns:a16="http://schemas.microsoft.com/office/drawing/2014/main" id="{00000000-0008-0000-0100-00000E090000}"/>
            </a:ext>
          </a:extLst>
        </xdr:cNvPr>
        <xdr:cNvSpPr txBox="1">
          <a:spLocks noChangeArrowheads="1"/>
        </xdr:cNvSpPr>
      </xdr:nvSpPr>
      <xdr:spPr bwMode="auto">
        <a:xfrm>
          <a:off x="3901109" y="4887318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319" name="Text Box 22">
          <a:extLst>
            <a:ext uri="{FF2B5EF4-FFF2-40B4-BE49-F238E27FC236}">
              <a16:creationId xmlns:a16="http://schemas.microsoft.com/office/drawing/2014/main" id="{00000000-0008-0000-0100-00000F090000}"/>
            </a:ext>
          </a:extLst>
        </xdr:cNvPr>
        <xdr:cNvSpPr txBox="1">
          <a:spLocks noChangeArrowheads="1"/>
        </xdr:cNvSpPr>
      </xdr:nvSpPr>
      <xdr:spPr bwMode="auto">
        <a:xfrm>
          <a:off x="3901109" y="488731891"/>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320" name="Text Box 1">
          <a:extLst>
            <a:ext uri="{FF2B5EF4-FFF2-40B4-BE49-F238E27FC236}">
              <a16:creationId xmlns:a16="http://schemas.microsoft.com/office/drawing/2014/main" id="{00000000-0008-0000-0100-000010090000}"/>
            </a:ext>
          </a:extLst>
        </xdr:cNvPr>
        <xdr:cNvSpPr txBox="1">
          <a:spLocks noChangeArrowheads="1"/>
        </xdr:cNvSpPr>
      </xdr:nvSpPr>
      <xdr:spPr bwMode="auto">
        <a:xfrm>
          <a:off x="4580283" y="48873189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321" name="Text Box 1">
          <a:extLst>
            <a:ext uri="{FF2B5EF4-FFF2-40B4-BE49-F238E27FC236}">
              <a16:creationId xmlns:a16="http://schemas.microsoft.com/office/drawing/2014/main" id="{00000000-0008-0000-0100-000011090000}"/>
            </a:ext>
          </a:extLst>
        </xdr:cNvPr>
        <xdr:cNvSpPr txBox="1">
          <a:spLocks noChangeArrowheads="1"/>
        </xdr:cNvSpPr>
      </xdr:nvSpPr>
      <xdr:spPr bwMode="auto">
        <a:xfrm>
          <a:off x="4580283" y="48873189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322" name="Text Box 1">
          <a:extLst>
            <a:ext uri="{FF2B5EF4-FFF2-40B4-BE49-F238E27FC236}">
              <a16:creationId xmlns:a16="http://schemas.microsoft.com/office/drawing/2014/main" id="{00000000-0008-0000-0100-000012090000}"/>
            </a:ext>
          </a:extLst>
        </xdr:cNvPr>
        <xdr:cNvSpPr txBox="1">
          <a:spLocks noChangeArrowheads="1"/>
        </xdr:cNvSpPr>
      </xdr:nvSpPr>
      <xdr:spPr bwMode="auto">
        <a:xfrm>
          <a:off x="4580283" y="48873189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323" name="Text Box 1">
          <a:extLst>
            <a:ext uri="{FF2B5EF4-FFF2-40B4-BE49-F238E27FC236}">
              <a16:creationId xmlns:a16="http://schemas.microsoft.com/office/drawing/2014/main" id="{00000000-0008-0000-0100-000013090000}"/>
            </a:ext>
          </a:extLst>
        </xdr:cNvPr>
        <xdr:cNvSpPr txBox="1">
          <a:spLocks noChangeArrowheads="1"/>
        </xdr:cNvSpPr>
      </xdr:nvSpPr>
      <xdr:spPr bwMode="auto">
        <a:xfrm>
          <a:off x="4580283" y="48873189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24" name="Text Box 5">
          <a:extLst>
            <a:ext uri="{FF2B5EF4-FFF2-40B4-BE49-F238E27FC236}">
              <a16:creationId xmlns:a16="http://schemas.microsoft.com/office/drawing/2014/main" id="{00000000-0008-0000-0100-000014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25" name="Text Box 6">
          <a:extLst>
            <a:ext uri="{FF2B5EF4-FFF2-40B4-BE49-F238E27FC236}">
              <a16:creationId xmlns:a16="http://schemas.microsoft.com/office/drawing/2014/main" id="{00000000-0008-0000-0100-000015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26" name="Text Box 7">
          <a:extLst>
            <a:ext uri="{FF2B5EF4-FFF2-40B4-BE49-F238E27FC236}">
              <a16:creationId xmlns:a16="http://schemas.microsoft.com/office/drawing/2014/main" id="{00000000-0008-0000-0100-000016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27" name="Text Box 8">
          <a:extLst>
            <a:ext uri="{FF2B5EF4-FFF2-40B4-BE49-F238E27FC236}">
              <a16:creationId xmlns:a16="http://schemas.microsoft.com/office/drawing/2014/main" id="{00000000-0008-0000-0100-000017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28" name="Text Box 9">
          <a:extLst>
            <a:ext uri="{FF2B5EF4-FFF2-40B4-BE49-F238E27FC236}">
              <a16:creationId xmlns:a16="http://schemas.microsoft.com/office/drawing/2014/main" id="{00000000-0008-0000-0100-000018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29" name="Text Box 10">
          <a:extLst>
            <a:ext uri="{FF2B5EF4-FFF2-40B4-BE49-F238E27FC236}">
              <a16:creationId xmlns:a16="http://schemas.microsoft.com/office/drawing/2014/main" id="{00000000-0008-0000-0100-000019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0" name="Text Box 11">
          <a:extLst>
            <a:ext uri="{FF2B5EF4-FFF2-40B4-BE49-F238E27FC236}">
              <a16:creationId xmlns:a16="http://schemas.microsoft.com/office/drawing/2014/main" id="{00000000-0008-0000-0100-00001A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1" name="Text Box 12">
          <a:extLst>
            <a:ext uri="{FF2B5EF4-FFF2-40B4-BE49-F238E27FC236}">
              <a16:creationId xmlns:a16="http://schemas.microsoft.com/office/drawing/2014/main" id="{00000000-0008-0000-0100-00001B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2" name="Text Box 13">
          <a:extLst>
            <a:ext uri="{FF2B5EF4-FFF2-40B4-BE49-F238E27FC236}">
              <a16:creationId xmlns:a16="http://schemas.microsoft.com/office/drawing/2014/main" id="{00000000-0008-0000-0100-00001C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333" name="Text Box 14">
          <a:extLst>
            <a:ext uri="{FF2B5EF4-FFF2-40B4-BE49-F238E27FC236}">
              <a16:creationId xmlns:a16="http://schemas.microsoft.com/office/drawing/2014/main" id="{00000000-0008-0000-0100-00001D090000}"/>
            </a:ext>
          </a:extLst>
        </xdr:cNvPr>
        <xdr:cNvSpPr txBox="1">
          <a:spLocks noChangeArrowheads="1"/>
        </xdr:cNvSpPr>
      </xdr:nvSpPr>
      <xdr:spPr bwMode="auto">
        <a:xfrm>
          <a:off x="3901109" y="406096304"/>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4" name="Text Box 15">
          <a:extLst>
            <a:ext uri="{FF2B5EF4-FFF2-40B4-BE49-F238E27FC236}">
              <a16:creationId xmlns:a16="http://schemas.microsoft.com/office/drawing/2014/main" id="{00000000-0008-0000-0100-00001E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5" name="Text Box 16">
          <a:extLst>
            <a:ext uri="{FF2B5EF4-FFF2-40B4-BE49-F238E27FC236}">
              <a16:creationId xmlns:a16="http://schemas.microsoft.com/office/drawing/2014/main" id="{00000000-0008-0000-0100-00001F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6" name="Text Box 17">
          <a:extLst>
            <a:ext uri="{FF2B5EF4-FFF2-40B4-BE49-F238E27FC236}">
              <a16:creationId xmlns:a16="http://schemas.microsoft.com/office/drawing/2014/main" id="{00000000-0008-0000-0100-000020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7" name="Text Box 18">
          <a:extLst>
            <a:ext uri="{FF2B5EF4-FFF2-40B4-BE49-F238E27FC236}">
              <a16:creationId xmlns:a16="http://schemas.microsoft.com/office/drawing/2014/main" id="{00000000-0008-0000-0100-000021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8" name="Text Box 19">
          <a:extLst>
            <a:ext uri="{FF2B5EF4-FFF2-40B4-BE49-F238E27FC236}">
              <a16:creationId xmlns:a16="http://schemas.microsoft.com/office/drawing/2014/main" id="{00000000-0008-0000-0100-000022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39" name="Text Box 20">
          <a:extLst>
            <a:ext uri="{FF2B5EF4-FFF2-40B4-BE49-F238E27FC236}">
              <a16:creationId xmlns:a16="http://schemas.microsoft.com/office/drawing/2014/main" id="{00000000-0008-0000-0100-000023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0" name="Text Box 21">
          <a:extLst>
            <a:ext uri="{FF2B5EF4-FFF2-40B4-BE49-F238E27FC236}">
              <a16:creationId xmlns:a16="http://schemas.microsoft.com/office/drawing/2014/main" id="{00000000-0008-0000-0100-000024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1" name="Text Box 22">
          <a:extLst>
            <a:ext uri="{FF2B5EF4-FFF2-40B4-BE49-F238E27FC236}">
              <a16:creationId xmlns:a16="http://schemas.microsoft.com/office/drawing/2014/main" id="{00000000-0008-0000-0100-000025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2" name="Text Box 7">
          <a:extLst>
            <a:ext uri="{FF2B5EF4-FFF2-40B4-BE49-F238E27FC236}">
              <a16:creationId xmlns:a16="http://schemas.microsoft.com/office/drawing/2014/main" id="{00000000-0008-0000-0100-000026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3" name="Text Box 8">
          <a:extLst>
            <a:ext uri="{FF2B5EF4-FFF2-40B4-BE49-F238E27FC236}">
              <a16:creationId xmlns:a16="http://schemas.microsoft.com/office/drawing/2014/main" id="{00000000-0008-0000-0100-000027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4" name="Text Box 9">
          <a:extLst>
            <a:ext uri="{FF2B5EF4-FFF2-40B4-BE49-F238E27FC236}">
              <a16:creationId xmlns:a16="http://schemas.microsoft.com/office/drawing/2014/main" id="{00000000-0008-0000-0100-000028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5" name="Text Box 10">
          <a:extLst>
            <a:ext uri="{FF2B5EF4-FFF2-40B4-BE49-F238E27FC236}">
              <a16:creationId xmlns:a16="http://schemas.microsoft.com/office/drawing/2014/main" id="{00000000-0008-0000-0100-000029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6" name="Text Box 11">
          <a:extLst>
            <a:ext uri="{FF2B5EF4-FFF2-40B4-BE49-F238E27FC236}">
              <a16:creationId xmlns:a16="http://schemas.microsoft.com/office/drawing/2014/main" id="{00000000-0008-0000-0100-00002A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7" name="Text Box 12">
          <a:extLst>
            <a:ext uri="{FF2B5EF4-FFF2-40B4-BE49-F238E27FC236}">
              <a16:creationId xmlns:a16="http://schemas.microsoft.com/office/drawing/2014/main" id="{00000000-0008-0000-0100-00002B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48" name="Text Box 13">
          <a:extLst>
            <a:ext uri="{FF2B5EF4-FFF2-40B4-BE49-F238E27FC236}">
              <a16:creationId xmlns:a16="http://schemas.microsoft.com/office/drawing/2014/main" id="{00000000-0008-0000-0100-00002C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349" name="Text Box 14">
          <a:extLst>
            <a:ext uri="{FF2B5EF4-FFF2-40B4-BE49-F238E27FC236}">
              <a16:creationId xmlns:a16="http://schemas.microsoft.com/office/drawing/2014/main" id="{00000000-0008-0000-0100-00002D090000}"/>
            </a:ext>
          </a:extLst>
        </xdr:cNvPr>
        <xdr:cNvSpPr txBox="1">
          <a:spLocks noChangeArrowheads="1"/>
        </xdr:cNvSpPr>
      </xdr:nvSpPr>
      <xdr:spPr bwMode="auto">
        <a:xfrm>
          <a:off x="3901109" y="406096304"/>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350" name="Text Box 15">
          <a:extLst>
            <a:ext uri="{FF2B5EF4-FFF2-40B4-BE49-F238E27FC236}">
              <a16:creationId xmlns:a16="http://schemas.microsoft.com/office/drawing/2014/main" id="{00000000-0008-0000-0100-00002E090000}"/>
            </a:ext>
          </a:extLst>
        </xdr:cNvPr>
        <xdr:cNvSpPr txBox="1">
          <a:spLocks noChangeArrowheads="1"/>
        </xdr:cNvSpPr>
      </xdr:nvSpPr>
      <xdr:spPr bwMode="auto">
        <a:xfrm>
          <a:off x="3901109" y="406096304"/>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51" name="Text Box 5">
          <a:extLst>
            <a:ext uri="{FF2B5EF4-FFF2-40B4-BE49-F238E27FC236}">
              <a16:creationId xmlns:a16="http://schemas.microsoft.com/office/drawing/2014/main" id="{00000000-0008-0000-0100-00002F090000}"/>
            </a:ext>
          </a:extLst>
        </xdr:cNvPr>
        <xdr:cNvSpPr txBox="1">
          <a:spLocks noChangeArrowheads="1"/>
        </xdr:cNvSpPr>
      </xdr:nvSpPr>
      <xdr:spPr bwMode="auto">
        <a:xfrm>
          <a:off x="3901109" y="40609630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352" name="Text Box 6">
          <a:extLst>
            <a:ext uri="{FF2B5EF4-FFF2-40B4-BE49-F238E27FC236}">
              <a16:creationId xmlns:a16="http://schemas.microsoft.com/office/drawing/2014/main" id="{00000000-0008-0000-0100-000030090000}"/>
            </a:ext>
          </a:extLst>
        </xdr:cNvPr>
        <xdr:cNvSpPr txBox="1">
          <a:spLocks noChangeArrowheads="1"/>
        </xdr:cNvSpPr>
      </xdr:nvSpPr>
      <xdr:spPr bwMode="auto">
        <a:xfrm>
          <a:off x="3901109" y="406096304"/>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53" name="Text Box 7">
          <a:extLst>
            <a:ext uri="{FF2B5EF4-FFF2-40B4-BE49-F238E27FC236}">
              <a16:creationId xmlns:a16="http://schemas.microsoft.com/office/drawing/2014/main" id="{00000000-0008-0000-0100-000031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54" name="Text Box 8">
          <a:extLst>
            <a:ext uri="{FF2B5EF4-FFF2-40B4-BE49-F238E27FC236}">
              <a16:creationId xmlns:a16="http://schemas.microsoft.com/office/drawing/2014/main" id="{00000000-0008-0000-0100-000032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55" name="Text Box 9">
          <a:extLst>
            <a:ext uri="{FF2B5EF4-FFF2-40B4-BE49-F238E27FC236}">
              <a16:creationId xmlns:a16="http://schemas.microsoft.com/office/drawing/2014/main" id="{00000000-0008-0000-0100-000033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56" name="Text Box 10">
          <a:extLst>
            <a:ext uri="{FF2B5EF4-FFF2-40B4-BE49-F238E27FC236}">
              <a16:creationId xmlns:a16="http://schemas.microsoft.com/office/drawing/2014/main" id="{00000000-0008-0000-0100-000034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57" name="Text Box 11">
          <a:extLst>
            <a:ext uri="{FF2B5EF4-FFF2-40B4-BE49-F238E27FC236}">
              <a16:creationId xmlns:a16="http://schemas.microsoft.com/office/drawing/2014/main" id="{00000000-0008-0000-0100-000035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58" name="Text Box 12">
          <a:extLst>
            <a:ext uri="{FF2B5EF4-FFF2-40B4-BE49-F238E27FC236}">
              <a16:creationId xmlns:a16="http://schemas.microsoft.com/office/drawing/2014/main" id="{00000000-0008-0000-0100-000036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59" name="Text Box 13">
          <a:extLst>
            <a:ext uri="{FF2B5EF4-FFF2-40B4-BE49-F238E27FC236}">
              <a16:creationId xmlns:a16="http://schemas.microsoft.com/office/drawing/2014/main" id="{00000000-0008-0000-0100-000037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360" name="Text Box 14">
          <a:extLst>
            <a:ext uri="{FF2B5EF4-FFF2-40B4-BE49-F238E27FC236}">
              <a16:creationId xmlns:a16="http://schemas.microsoft.com/office/drawing/2014/main" id="{00000000-0008-0000-0100-000038090000}"/>
            </a:ext>
          </a:extLst>
        </xdr:cNvPr>
        <xdr:cNvSpPr txBox="1">
          <a:spLocks noChangeArrowheads="1"/>
        </xdr:cNvSpPr>
      </xdr:nvSpPr>
      <xdr:spPr bwMode="auto">
        <a:xfrm>
          <a:off x="3901109" y="406096304"/>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61" name="Text Box 15">
          <a:extLst>
            <a:ext uri="{FF2B5EF4-FFF2-40B4-BE49-F238E27FC236}">
              <a16:creationId xmlns:a16="http://schemas.microsoft.com/office/drawing/2014/main" id="{00000000-0008-0000-0100-000039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62" name="Text Box 16">
          <a:extLst>
            <a:ext uri="{FF2B5EF4-FFF2-40B4-BE49-F238E27FC236}">
              <a16:creationId xmlns:a16="http://schemas.microsoft.com/office/drawing/2014/main" id="{00000000-0008-0000-0100-00003A090000}"/>
            </a:ext>
          </a:extLst>
        </xdr:cNvPr>
        <xdr:cNvSpPr txBox="1">
          <a:spLocks noChangeArrowheads="1"/>
        </xdr:cNvSpPr>
      </xdr:nvSpPr>
      <xdr:spPr bwMode="auto">
        <a:xfrm>
          <a:off x="3901109" y="40609630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63" name="Text Box 17">
          <a:extLst>
            <a:ext uri="{FF2B5EF4-FFF2-40B4-BE49-F238E27FC236}">
              <a16:creationId xmlns:a16="http://schemas.microsoft.com/office/drawing/2014/main" id="{00000000-0008-0000-0100-00003B090000}"/>
            </a:ext>
          </a:extLst>
        </xdr:cNvPr>
        <xdr:cNvSpPr txBox="1">
          <a:spLocks noChangeArrowheads="1"/>
        </xdr:cNvSpPr>
      </xdr:nvSpPr>
      <xdr:spPr bwMode="auto">
        <a:xfrm>
          <a:off x="3901109" y="40609630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64" name="Text Box 18">
          <a:extLst>
            <a:ext uri="{FF2B5EF4-FFF2-40B4-BE49-F238E27FC236}">
              <a16:creationId xmlns:a16="http://schemas.microsoft.com/office/drawing/2014/main" id="{00000000-0008-0000-0100-00003C090000}"/>
            </a:ext>
          </a:extLst>
        </xdr:cNvPr>
        <xdr:cNvSpPr txBox="1">
          <a:spLocks noChangeArrowheads="1"/>
        </xdr:cNvSpPr>
      </xdr:nvSpPr>
      <xdr:spPr bwMode="auto">
        <a:xfrm>
          <a:off x="3901109" y="40609630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65" name="Text Box 19">
          <a:extLst>
            <a:ext uri="{FF2B5EF4-FFF2-40B4-BE49-F238E27FC236}">
              <a16:creationId xmlns:a16="http://schemas.microsoft.com/office/drawing/2014/main" id="{00000000-0008-0000-0100-00003D090000}"/>
            </a:ext>
          </a:extLst>
        </xdr:cNvPr>
        <xdr:cNvSpPr txBox="1">
          <a:spLocks noChangeArrowheads="1"/>
        </xdr:cNvSpPr>
      </xdr:nvSpPr>
      <xdr:spPr bwMode="auto">
        <a:xfrm>
          <a:off x="3901109" y="40609630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66" name="Text Box 20">
          <a:extLst>
            <a:ext uri="{FF2B5EF4-FFF2-40B4-BE49-F238E27FC236}">
              <a16:creationId xmlns:a16="http://schemas.microsoft.com/office/drawing/2014/main" id="{00000000-0008-0000-0100-00003E090000}"/>
            </a:ext>
          </a:extLst>
        </xdr:cNvPr>
        <xdr:cNvSpPr txBox="1">
          <a:spLocks noChangeArrowheads="1"/>
        </xdr:cNvSpPr>
      </xdr:nvSpPr>
      <xdr:spPr bwMode="auto">
        <a:xfrm>
          <a:off x="3901109" y="40609630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367" name="Text Box 21">
          <a:extLst>
            <a:ext uri="{FF2B5EF4-FFF2-40B4-BE49-F238E27FC236}">
              <a16:creationId xmlns:a16="http://schemas.microsoft.com/office/drawing/2014/main" id="{00000000-0008-0000-0100-00003F090000}"/>
            </a:ext>
          </a:extLst>
        </xdr:cNvPr>
        <xdr:cNvSpPr txBox="1">
          <a:spLocks noChangeArrowheads="1"/>
        </xdr:cNvSpPr>
      </xdr:nvSpPr>
      <xdr:spPr bwMode="auto">
        <a:xfrm>
          <a:off x="3901109" y="406096304"/>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368" name="Text Box 22">
          <a:extLst>
            <a:ext uri="{FF2B5EF4-FFF2-40B4-BE49-F238E27FC236}">
              <a16:creationId xmlns:a16="http://schemas.microsoft.com/office/drawing/2014/main" id="{00000000-0008-0000-0100-000040090000}"/>
            </a:ext>
          </a:extLst>
        </xdr:cNvPr>
        <xdr:cNvSpPr txBox="1">
          <a:spLocks noChangeArrowheads="1"/>
        </xdr:cNvSpPr>
      </xdr:nvSpPr>
      <xdr:spPr bwMode="auto">
        <a:xfrm>
          <a:off x="3901109" y="406096304"/>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69" name="Text Box 7">
          <a:extLst>
            <a:ext uri="{FF2B5EF4-FFF2-40B4-BE49-F238E27FC236}">
              <a16:creationId xmlns:a16="http://schemas.microsoft.com/office/drawing/2014/main" id="{00000000-0008-0000-0100-000041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70" name="Text Box 8">
          <a:extLst>
            <a:ext uri="{FF2B5EF4-FFF2-40B4-BE49-F238E27FC236}">
              <a16:creationId xmlns:a16="http://schemas.microsoft.com/office/drawing/2014/main" id="{00000000-0008-0000-0100-000042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71" name="Text Box 9">
          <a:extLst>
            <a:ext uri="{FF2B5EF4-FFF2-40B4-BE49-F238E27FC236}">
              <a16:creationId xmlns:a16="http://schemas.microsoft.com/office/drawing/2014/main" id="{00000000-0008-0000-0100-000043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72" name="Text Box 10">
          <a:extLst>
            <a:ext uri="{FF2B5EF4-FFF2-40B4-BE49-F238E27FC236}">
              <a16:creationId xmlns:a16="http://schemas.microsoft.com/office/drawing/2014/main" id="{00000000-0008-0000-0100-000044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73" name="Text Box 11">
          <a:extLst>
            <a:ext uri="{FF2B5EF4-FFF2-40B4-BE49-F238E27FC236}">
              <a16:creationId xmlns:a16="http://schemas.microsoft.com/office/drawing/2014/main" id="{00000000-0008-0000-0100-000045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74" name="Text Box 12">
          <a:extLst>
            <a:ext uri="{FF2B5EF4-FFF2-40B4-BE49-F238E27FC236}">
              <a16:creationId xmlns:a16="http://schemas.microsoft.com/office/drawing/2014/main" id="{00000000-0008-0000-0100-000046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75" name="Text Box 13">
          <a:extLst>
            <a:ext uri="{FF2B5EF4-FFF2-40B4-BE49-F238E27FC236}">
              <a16:creationId xmlns:a16="http://schemas.microsoft.com/office/drawing/2014/main" id="{00000000-0008-0000-0100-000047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376" name="Text Box 14">
          <a:extLst>
            <a:ext uri="{FF2B5EF4-FFF2-40B4-BE49-F238E27FC236}">
              <a16:creationId xmlns:a16="http://schemas.microsoft.com/office/drawing/2014/main" id="{00000000-0008-0000-0100-000048090000}"/>
            </a:ext>
          </a:extLst>
        </xdr:cNvPr>
        <xdr:cNvSpPr txBox="1">
          <a:spLocks noChangeArrowheads="1"/>
        </xdr:cNvSpPr>
      </xdr:nvSpPr>
      <xdr:spPr bwMode="auto">
        <a:xfrm>
          <a:off x="3901109" y="406096304"/>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377" name="Text Box 15">
          <a:extLst>
            <a:ext uri="{FF2B5EF4-FFF2-40B4-BE49-F238E27FC236}">
              <a16:creationId xmlns:a16="http://schemas.microsoft.com/office/drawing/2014/main" id="{00000000-0008-0000-0100-000049090000}"/>
            </a:ext>
          </a:extLst>
        </xdr:cNvPr>
        <xdr:cNvSpPr txBox="1">
          <a:spLocks noChangeArrowheads="1"/>
        </xdr:cNvSpPr>
      </xdr:nvSpPr>
      <xdr:spPr bwMode="auto">
        <a:xfrm>
          <a:off x="3901109" y="406096304"/>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78" name="Text Box 5">
          <a:extLst>
            <a:ext uri="{FF2B5EF4-FFF2-40B4-BE49-F238E27FC236}">
              <a16:creationId xmlns:a16="http://schemas.microsoft.com/office/drawing/2014/main" id="{00000000-0008-0000-0100-00004A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379" name="Text Box 6">
          <a:extLst>
            <a:ext uri="{FF2B5EF4-FFF2-40B4-BE49-F238E27FC236}">
              <a16:creationId xmlns:a16="http://schemas.microsoft.com/office/drawing/2014/main" id="{00000000-0008-0000-0100-00004B090000}"/>
            </a:ext>
          </a:extLst>
        </xdr:cNvPr>
        <xdr:cNvSpPr txBox="1">
          <a:spLocks noChangeArrowheads="1"/>
        </xdr:cNvSpPr>
      </xdr:nvSpPr>
      <xdr:spPr bwMode="auto">
        <a:xfrm>
          <a:off x="3901109" y="406096304"/>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0" name="Text Box 7">
          <a:extLst>
            <a:ext uri="{FF2B5EF4-FFF2-40B4-BE49-F238E27FC236}">
              <a16:creationId xmlns:a16="http://schemas.microsoft.com/office/drawing/2014/main" id="{00000000-0008-0000-0100-00004C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1" name="Text Box 8">
          <a:extLst>
            <a:ext uri="{FF2B5EF4-FFF2-40B4-BE49-F238E27FC236}">
              <a16:creationId xmlns:a16="http://schemas.microsoft.com/office/drawing/2014/main" id="{00000000-0008-0000-0100-00004D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2" name="Text Box 9">
          <a:extLst>
            <a:ext uri="{FF2B5EF4-FFF2-40B4-BE49-F238E27FC236}">
              <a16:creationId xmlns:a16="http://schemas.microsoft.com/office/drawing/2014/main" id="{00000000-0008-0000-0100-00004E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3" name="Text Box 10">
          <a:extLst>
            <a:ext uri="{FF2B5EF4-FFF2-40B4-BE49-F238E27FC236}">
              <a16:creationId xmlns:a16="http://schemas.microsoft.com/office/drawing/2014/main" id="{00000000-0008-0000-0100-00004F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4" name="Text Box 11">
          <a:extLst>
            <a:ext uri="{FF2B5EF4-FFF2-40B4-BE49-F238E27FC236}">
              <a16:creationId xmlns:a16="http://schemas.microsoft.com/office/drawing/2014/main" id="{00000000-0008-0000-0100-000050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5" name="Text Box 12">
          <a:extLst>
            <a:ext uri="{FF2B5EF4-FFF2-40B4-BE49-F238E27FC236}">
              <a16:creationId xmlns:a16="http://schemas.microsoft.com/office/drawing/2014/main" id="{00000000-0008-0000-0100-000051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6" name="Text Box 13">
          <a:extLst>
            <a:ext uri="{FF2B5EF4-FFF2-40B4-BE49-F238E27FC236}">
              <a16:creationId xmlns:a16="http://schemas.microsoft.com/office/drawing/2014/main" id="{00000000-0008-0000-0100-000052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8" name="Text Box 15">
          <a:extLst>
            <a:ext uri="{FF2B5EF4-FFF2-40B4-BE49-F238E27FC236}">
              <a16:creationId xmlns:a16="http://schemas.microsoft.com/office/drawing/2014/main" id="{00000000-0008-0000-0100-000054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89" name="Text Box 16">
          <a:extLst>
            <a:ext uri="{FF2B5EF4-FFF2-40B4-BE49-F238E27FC236}">
              <a16:creationId xmlns:a16="http://schemas.microsoft.com/office/drawing/2014/main" id="{00000000-0008-0000-0100-000055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0" name="Text Box 17">
          <a:extLst>
            <a:ext uri="{FF2B5EF4-FFF2-40B4-BE49-F238E27FC236}">
              <a16:creationId xmlns:a16="http://schemas.microsoft.com/office/drawing/2014/main" id="{00000000-0008-0000-0100-000056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1" name="Text Box 18">
          <a:extLst>
            <a:ext uri="{FF2B5EF4-FFF2-40B4-BE49-F238E27FC236}">
              <a16:creationId xmlns:a16="http://schemas.microsoft.com/office/drawing/2014/main" id="{00000000-0008-0000-0100-000057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2" name="Text Box 19">
          <a:extLst>
            <a:ext uri="{FF2B5EF4-FFF2-40B4-BE49-F238E27FC236}">
              <a16:creationId xmlns:a16="http://schemas.microsoft.com/office/drawing/2014/main" id="{00000000-0008-0000-0100-000058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3" name="Text Box 20">
          <a:extLst>
            <a:ext uri="{FF2B5EF4-FFF2-40B4-BE49-F238E27FC236}">
              <a16:creationId xmlns:a16="http://schemas.microsoft.com/office/drawing/2014/main" id="{00000000-0008-0000-0100-000059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4" name="Text Box 21">
          <a:extLst>
            <a:ext uri="{FF2B5EF4-FFF2-40B4-BE49-F238E27FC236}">
              <a16:creationId xmlns:a16="http://schemas.microsoft.com/office/drawing/2014/main" id="{00000000-0008-0000-0100-00005A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395" name="Text Box 22">
          <a:extLst>
            <a:ext uri="{FF2B5EF4-FFF2-40B4-BE49-F238E27FC236}">
              <a16:creationId xmlns:a16="http://schemas.microsoft.com/office/drawing/2014/main" id="{00000000-0008-0000-0100-00005B090000}"/>
            </a:ext>
          </a:extLst>
        </xdr:cNvPr>
        <xdr:cNvSpPr txBox="1">
          <a:spLocks noChangeArrowheads="1"/>
        </xdr:cNvSpPr>
      </xdr:nvSpPr>
      <xdr:spPr bwMode="auto">
        <a:xfrm>
          <a:off x="3901109" y="406096304"/>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6" name="Text Box 7">
          <a:extLst>
            <a:ext uri="{FF2B5EF4-FFF2-40B4-BE49-F238E27FC236}">
              <a16:creationId xmlns:a16="http://schemas.microsoft.com/office/drawing/2014/main" id="{00000000-0008-0000-0100-00005C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7" name="Text Box 8">
          <a:extLst>
            <a:ext uri="{FF2B5EF4-FFF2-40B4-BE49-F238E27FC236}">
              <a16:creationId xmlns:a16="http://schemas.microsoft.com/office/drawing/2014/main" id="{00000000-0008-0000-0100-00005D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8" name="Text Box 9">
          <a:extLst>
            <a:ext uri="{FF2B5EF4-FFF2-40B4-BE49-F238E27FC236}">
              <a16:creationId xmlns:a16="http://schemas.microsoft.com/office/drawing/2014/main" id="{00000000-0008-0000-0100-00005E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399" name="Text Box 10">
          <a:extLst>
            <a:ext uri="{FF2B5EF4-FFF2-40B4-BE49-F238E27FC236}">
              <a16:creationId xmlns:a16="http://schemas.microsoft.com/office/drawing/2014/main" id="{00000000-0008-0000-0100-00005F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00" name="Text Box 11">
          <a:extLst>
            <a:ext uri="{FF2B5EF4-FFF2-40B4-BE49-F238E27FC236}">
              <a16:creationId xmlns:a16="http://schemas.microsoft.com/office/drawing/2014/main" id="{00000000-0008-0000-0100-000060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01" name="Text Box 12">
          <a:extLst>
            <a:ext uri="{FF2B5EF4-FFF2-40B4-BE49-F238E27FC236}">
              <a16:creationId xmlns:a16="http://schemas.microsoft.com/office/drawing/2014/main" id="{00000000-0008-0000-0100-000061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02" name="Text Box 13">
          <a:extLst>
            <a:ext uri="{FF2B5EF4-FFF2-40B4-BE49-F238E27FC236}">
              <a16:creationId xmlns:a16="http://schemas.microsoft.com/office/drawing/2014/main" id="{00000000-0008-0000-0100-000062090000}"/>
            </a:ext>
          </a:extLst>
        </xdr:cNvPr>
        <xdr:cNvSpPr txBox="1">
          <a:spLocks noChangeArrowheads="1"/>
        </xdr:cNvSpPr>
      </xdr:nvSpPr>
      <xdr:spPr bwMode="auto">
        <a:xfrm>
          <a:off x="3901109" y="406096304"/>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404" name="Text Box 5">
          <a:extLst>
            <a:ext uri="{FF2B5EF4-FFF2-40B4-BE49-F238E27FC236}">
              <a16:creationId xmlns:a16="http://schemas.microsoft.com/office/drawing/2014/main" id="{00000000-0008-0000-0100-000064090000}"/>
            </a:ext>
          </a:extLst>
        </xdr:cNvPr>
        <xdr:cNvSpPr txBox="1">
          <a:spLocks noChangeArrowheads="1"/>
        </xdr:cNvSpPr>
      </xdr:nvSpPr>
      <xdr:spPr bwMode="auto">
        <a:xfrm>
          <a:off x="3901109" y="40609630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405" name="Text Box 6">
          <a:extLst>
            <a:ext uri="{FF2B5EF4-FFF2-40B4-BE49-F238E27FC236}">
              <a16:creationId xmlns:a16="http://schemas.microsoft.com/office/drawing/2014/main" id="{00000000-0008-0000-0100-000065090000}"/>
            </a:ext>
          </a:extLst>
        </xdr:cNvPr>
        <xdr:cNvSpPr txBox="1">
          <a:spLocks noChangeArrowheads="1"/>
        </xdr:cNvSpPr>
      </xdr:nvSpPr>
      <xdr:spPr bwMode="auto">
        <a:xfrm>
          <a:off x="3901109" y="40609630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406" name="Text Box 7">
          <a:extLst>
            <a:ext uri="{FF2B5EF4-FFF2-40B4-BE49-F238E27FC236}">
              <a16:creationId xmlns:a16="http://schemas.microsoft.com/office/drawing/2014/main" id="{00000000-0008-0000-0100-000066090000}"/>
            </a:ext>
          </a:extLst>
        </xdr:cNvPr>
        <xdr:cNvSpPr txBox="1">
          <a:spLocks noChangeArrowheads="1"/>
        </xdr:cNvSpPr>
      </xdr:nvSpPr>
      <xdr:spPr bwMode="auto">
        <a:xfrm>
          <a:off x="3901109" y="40609630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407" name="Text Box 8">
          <a:extLst>
            <a:ext uri="{FF2B5EF4-FFF2-40B4-BE49-F238E27FC236}">
              <a16:creationId xmlns:a16="http://schemas.microsoft.com/office/drawing/2014/main" id="{00000000-0008-0000-0100-000067090000}"/>
            </a:ext>
          </a:extLst>
        </xdr:cNvPr>
        <xdr:cNvSpPr txBox="1">
          <a:spLocks noChangeArrowheads="1"/>
        </xdr:cNvSpPr>
      </xdr:nvSpPr>
      <xdr:spPr bwMode="auto">
        <a:xfrm>
          <a:off x="3901109" y="40609630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408" name="Text Box 9">
          <a:extLst>
            <a:ext uri="{FF2B5EF4-FFF2-40B4-BE49-F238E27FC236}">
              <a16:creationId xmlns:a16="http://schemas.microsoft.com/office/drawing/2014/main" id="{00000000-0008-0000-0100-000068090000}"/>
            </a:ext>
          </a:extLst>
        </xdr:cNvPr>
        <xdr:cNvSpPr txBox="1">
          <a:spLocks noChangeArrowheads="1"/>
        </xdr:cNvSpPr>
      </xdr:nvSpPr>
      <xdr:spPr bwMode="auto">
        <a:xfrm>
          <a:off x="3901109" y="40609630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409" name="Text Box 10">
          <a:extLst>
            <a:ext uri="{FF2B5EF4-FFF2-40B4-BE49-F238E27FC236}">
              <a16:creationId xmlns:a16="http://schemas.microsoft.com/office/drawing/2014/main" id="{00000000-0008-0000-0100-000069090000}"/>
            </a:ext>
          </a:extLst>
        </xdr:cNvPr>
        <xdr:cNvSpPr txBox="1">
          <a:spLocks noChangeArrowheads="1"/>
        </xdr:cNvSpPr>
      </xdr:nvSpPr>
      <xdr:spPr bwMode="auto">
        <a:xfrm>
          <a:off x="3901109" y="40609630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410" name="Text Box 11">
          <a:extLst>
            <a:ext uri="{FF2B5EF4-FFF2-40B4-BE49-F238E27FC236}">
              <a16:creationId xmlns:a16="http://schemas.microsoft.com/office/drawing/2014/main" id="{00000000-0008-0000-0100-00006A090000}"/>
            </a:ext>
          </a:extLst>
        </xdr:cNvPr>
        <xdr:cNvSpPr txBox="1">
          <a:spLocks noChangeArrowheads="1"/>
        </xdr:cNvSpPr>
      </xdr:nvSpPr>
      <xdr:spPr bwMode="auto">
        <a:xfrm>
          <a:off x="3901109" y="40609630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411" name="Text Box 12">
          <a:extLst>
            <a:ext uri="{FF2B5EF4-FFF2-40B4-BE49-F238E27FC236}">
              <a16:creationId xmlns:a16="http://schemas.microsoft.com/office/drawing/2014/main" id="{00000000-0008-0000-0100-00006B090000}"/>
            </a:ext>
          </a:extLst>
        </xdr:cNvPr>
        <xdr:cNvSpPr txBox="1">
          <a:spLocks noChangeArrowheads="1"/>
        </xdr:cNvSpPr>
      </xdr:nvSpPr>
      <xdr:spPr bwMode="auto">
        <a:xfrm>
          <a:off x="3901109" y="406096304"/>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412" name="Text Box 1">
          <a:extLst>
            <a:ext uri="{FF2B5EF4-FFF2-40B4-BE49-F238E27FC236}">
              <a16:creationId xmlns:a16="http://schemas.microsoft.com/office/drawing/2014/main" id="{00000000-0008-0000-0100-00006C090000}"/>
            </a:ext>
          </a:extLst>
        </xdr:cNvPr>
        <xdr:cNvSpPr txBox="1">
          <a:spLocks noChangeArrowheads="1"/>
        </xdr:cNvSpPr>
      </xdr:nvSpPr>
      <xdr:spPr bwMode="auto">
        <a:xfrm>
          <a:off x="4580283" y="40609630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413" name="Text Box 1">
          <a:extLst>
            <a:ext uri="{FF2B5EF4-FFF2-40B4-BE49-F238E27FC236}">
              <a16:creationId xmlns:a16="http://schemas.microsoft.com/office/drawing/2014/main" id="{00000000-0008-0000-0100-00006D090000}"/>
            </a:ext>
          </a:extLst>
        </xdr:cNvPr>
        <xdr:cNvSpPr txBox="1">
          <a:spLocks noChangeArrowheads="1"/>
        </xdr:cNvSpPr>
      </xdr:nvSpPr>
      <xdr:spPr bwMode="auto">
        <a:xfrm>
          <a:off x="4580283" y="40609630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414" name="Text Box 1">
          <a:extLst>
            <a:ext uri="{FF2B5EF4-FFF2-40B4-BE49-F238E27FC236}">
              <a16:creationId xmlns:a16="http://schemas.microsoft.com/office/drawing/2014/main" id="{00000000-0008-0000-0100-00006E090000}"/>
            </a:ext>
          </a:extLst>
        </xdr:cNvPr>
        <xdr:cNvSpPr txBox="1">
          <a:spLocks noChangeArrowheads="1"/>
        </xdr:cNvSpPr>
      </xdr:nvSpPr>
      <xdr:spPr bwMode="auto">
        <a:xfrm>
          <a:off x="4580283" y="40609630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415" name="Text Box 1">
          <a:extLst>
            <a:ext uri="{FF2B5EF4-FFF2-40B4-BE49-F238E27FC236}">
              <a16:creationId xmlns:a16="http://schemas.microsoft.com/office/drawing/2014/main" id="{00000000-0008-0000-0100-00006F090000}"/>
            </a:ext>
          </a:extLst>
        </xdr:cNvPr>
        <xdr:cNvSpPr txBox="1">
          <a:spLocks noChangeArrowheads="1"/>
        </xdr:cNvSpPr>
      </xdr:nvSpPr>
      <xdr:spPr bwMode="auto">
        <a:xfrm>
          <a:off x="4580283" y="406096304"/>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16" name="Text Box 5">
          <a:extLst>
            <a:ext uri="{FF2B5EF4-FFF2-40B4-BE49-F238E27FC236}">
              <a16:creationId xmlns:a16="http://schemas.microsoft.com/office/drawing/2014/main" id="{00000000-0008-0000-0100-000070090000}"/>
            </a:ext>
          </a:extLst>
        </xdr:cNvPr>
        <xdr:cNvSpPr txBox="1">
          <a:spLocks noChangeArrowheads="1"/>
        </xdr:cNvSpPr>
      </xdr:nvSpPr>
      <xdr:spPr bwMode="auto">
        <a:xfrm>
          <a:off x="3901109" y="41683056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417" name="Text Box 6">
          <a:extLst>
            <a:ext uri="{FF2B5EF4-FFF2-40B4-BE49-F238E27FC236}">
              <a16:creationId xmlns:a16="http://schemas.microsoft.com/office/drawing/2014/main" id="{00000000-0008-0000-0100-000071090000}"/>
            </a:ext>
          </a:extLst>
        </xdr:cNvPr>
        <xdr:cNvSpPr txBox="1">
          <a:spLocks noChangeArrowheads="1"/>
        </xdr:cNvSpPr>
      </xdr:nvSpPr>
      <xdr:spPr bwMode="auto">
        <a:xfrm>
          <a:off x="3901109" y="416830565"/>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18" name="Text Box 16">
          <a:extLst>
            <a:ext uri="{FF2B5EF4-FFF2-40B4-BE49-F238E27FC236}">
              <a16:creationId xmlns:a16="http://schemas.microsoft.com/office/drawing/2014/main" id="{00000000-0008-0000-0100-000072090000}"/>
            </a:ext>
          </a:extLst>
        </xdr:cNvPr>
        <xdr:cNvSpPr txBox="1">
          <a:spLocks noChangeArrowheads="1"/>
        </xdr:cNvSpPr>
      </xdr:nvSpPr>
      <xdr:spPr bwMode="auto">
        <a:xfrm>
          <a:off x="3901109" y="41683056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19" name="Text Box 17">
          <a:extLst>
            <a:ext uri="{FF2B5EF4-FFF2-40B4-BE49-F238E27FC236}">
              <a16:creationId xmlns:a16="http://schemas.microsoft.com/office/drawing/2014/main" id="{00000000-0008-0000-0100-000073090000}"/>
            </a:ext>
          </a:extLst>
        </xdr:cNvPr>
        <xdr:cNvSpPr txBox="1">
          <a:spLocks noChangeArrowheads="1"/>
        </xdr:cNvSpPr>
      </xdr:nvSpPr>
      <xdr:spPr bwMode="auto">
        <a:xfrm>
          <a:off x="3901109" y="41683056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20" name="Text Box 18">
          <a:extLst>
            <a:ext uri="{FF2B5EF4-FFF2-40B4-BE49-F238E27FC236}">
              <a16:creationId xmlns:a16="http://schemas.microsoft.com/office/drawing/2014/main" id="{00000000-0008-0000-0100-000074090000}"/>
            </a:ext>
          </a:extLst>
        </xdr:cNvPr>
        <xdr:cNvSpPr txBox="1">
          <a:spLocks noChangeArrowheads="1"/>
        </xdr:cNvSpPr>
      </xdr:nvSpPr>
      <xdr:spPr bwMode="auto">
        <a:xfrm>
          <a:off x="3901109" y="41683056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21" name="Text Box 19">
          <a:extLst>
            <a:ext uri="{FF2B5EF4-FFF2-40B4-BE49-F238E27FC236}">
              <a16:creationId xmlns:a16="http://schemas.microsoft.com/office/drawing/2014/main" id="{00000000-0008-0000-0100-000075090000}"/>
            </a:ext>
          </a:extLst>
        </xdr:cNvPr>
        <xdr:cNvSpPr txBox="1">
          <a:spLocks noChangeArrowheads="1"/>
        </xdr:cNvSpPr>
      </xdr:nvSpPr>
      <xdr:spPr bwMode="auto">
        <a:xfrm>
          <a:off x="3901109" y="41683056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22" name="Text Box 20">
          <a:extLst>
            <a:ext uri="{FF2B5EF4-FFF2-40B4-BE49-F238E27FC236}">
              <a16:creationId xmlns:a16="http://schemas.microsoft.com/office/drawing/2014/main" id="{00000000-0008-0000-0100-000076090000}"/>
            </a:ext>
          </a:extLst>
        </xdr:cNvPr>
        <xdr:cNvSpPr txBox="1">
          <a:spLocks noChangeArrowheads="1"/>
        </xdr:cNvSpPr>
      </xdr:nvSpPr>
      <xdr:spPr bwMode="auto">
        <a:xfrm>
          <a:off x="3901109" y="41683056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23" name="Text Box 21">
          <a:extLst>
            <a:ext uri="{FF2B5EF4-FFF2-40B4-BE49-F238E27FC236}">
              <a16:creationId xmlns:a16="http://schemas.microsoft.com/office/drawing/2014/main" id="{00000000-0008-0000-0100-000077090000}"/>
            </a:ext>
          </a:extLst>
        </xdr:cNvPr>
        <xdr:cNvSpPr txBox="1">
          <a:spLocks noChangeArrowheads="1"/>
        </xdr:cNvSpPr>
      </xdr:nvSpPr>
      <xdr:spPr bwMode="auto">
        <a:xfrm>
          <a:off x="3901109" y="416830565"/>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424" name="Text Box 22">
          <a:extLst>
            <a:ext uri="{FF2B5EF4-FFF2-40B4-BE49-F238E27FC236}">
              <a16:creationId xmlns:a16="http://schemas.microsoft.com/office/drawing/2014/main" id="{00000000-0008-0000-0100-000078090000}"/>
            </a:ext>
          </a:extLst>
        </xdr:cNvPr>
        <xdr:cNvSpPr txBox="1">
          <a:spLocks noChangeArrowheads="1"/>
        </xdr:cNvSpPr>
      </xdr:nvSpPr>
      <xdr:spPr bwMode="auto">
        <a:xfrm>
          <a:off x="3901109" y="416830565"/>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425" name="Text Box 1">
          <a:extLst>
            <a:ext uri="{FF2B5EF4-FFF2-40B4-BE49-F238E27FC236}">
              <a16:creationId xmlns:a16="http://schemas.microsoft.com/office/drawing/2014/main" id="{00000000-0008-0000-0100-000079090000}"/>
            </a:ext>
          </a:extLst>
        </xdr:cNvPr>
        <xdr:cNvSpPr txBox="1">
          <a:spLocks noChangeArrowheads="1"/>
        </xdr:cNvSpPr>
      </xdr:nvSpPr>
      <xdr:spPr bwMode="auto">
        <a:xfrm>
          <a:off x="4580283" y="41683056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426" name="Text Box 1">
          <a:extLst>
            <a:ext uri="{FF2B5EF4-FFF2-40B4-BE49-F238E27FC236}">
              <a16:creationId xmlns:a16="http://schemas.microsoft.com/office/drawing/2014/main" id="{00000000-0008-0000-0100-00007A090000}"/>
            </a:ext>
          </a:extLst>
        </xdr:cNvPr>
        <xdr:cNvSpPr txBox="1">
          <a:spLocks noChangeArrowheads="1"/>
        </xdr:cNvSpPr>
      </xdr:nvSpPr>
      <xdr:spPr bwMode="auto">
        <a:xfrm>
          <a:off x="4580283" y="41683056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427" name="Text Box 1">
          <a:extLst>
            <a:ext uri="{FF2B5EF4-FFF2-40B4-BE49-F238E27FC236}">
              <a16:creationId xmlns:a16="http://schemas.microsoft.com/office/drawing/2014/main" id="{00000000-0008-0000-0100-00007B090000}"/>
            </a:ext>
          </a:extLst>
        </xdr:cNvPr>
        <xdr:cNvSpPr txBox="1">
          <a:spLocks noChangeArrowheads="1"/>
        </xdr:cNvSpPr>
      </xdr:nvSpPr>
      <xdr:spPr bwMode="auto">
        <a:xfrm>
          <a:off x="4580283" y="41683056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428" name="Text Box 1">
          <a:extLst>
            <a:ext uri="{FF2B5EF4-FFF2-40B4-BE49-F238E27FC236}">
              <a16:creationId xmlns:a16="http://schemas.microsoft.com/office/drawing/2014/main" id="{00000000-0008-0000-0100-00007C090000}"/>
            </a:ext>
          </a:extLst>
        </xdr:cNvPr>
        <xdr:cNvSpPr txBox="1">
          <a:spLocks noChangeArrowheads="1"/>
        </xdr:cNvSpPr>
      </xdr:nvSpPr>
      <xdr:spPr bwMode="auto">
        <a:xfrm>
          <a:off x="4580283" y="416830565"/>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29" name="Text Box 5">
          <a:extLst>
            <a:ext uri="{FF2B5EF4-FFF2-40B4-BE49-F238E27FC236}">
              <a16:creationId xmlns:a16="http://schemas.microsoft.com/office/drawing/2014/main" id="{00000000-0008-0000-0100-00007D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0" name="Text Box 6">
          <a:extLst>
            <a:ext uri="{FF2B5EF4-FFF2-40B4-BE49-F238E27FC236}">
              <a16:creationId xmlns:a16="http://schemas.microsoft.com/office/drawing/2014/main" id="{00000000-0008-0000-0100-00007E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1" name="Text Box 7">
          <a:extLst>
            <a:ext uri="{FF2B5EF4-FFF2-40B4-BE49-F238E27FC236}">
              <a16:creationId xmlns:a16="http://schemas.microsoft.com/office/drawing/2014/main" id="{00000000-0008-0000-0100-00007F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2" name="Text Box 8">
          <a:extLst>
            <a:ext uri="{FF2B5EF4-FFF2-40B4-BE49-F238E27FC236}">
              <a16:creationId xmlns:a16="http://schemas.microsoft.com/office/drawing/2014/main" id="{00000000-0008-0000-0100-000080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3" name="Text Box 9">
          <a:extLst>
            <a:ext uri="{FF2B5EF4-FFF2-40B4-BE49-F238E27FC236}">
              <a16:creationId xmlns:a16="http://schemas.microsoft.com/office/drawing/2014/main" id="{00000000-0008-0000-0100-000081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4" name="Text Box 10">
          <a:extLst>
            <a:ext uri="{FF2B5EF4-FFF2-40B4-BE49-F238E27FC236}">
              <a16:creationId xmlns:a16="http://schemas.microsoft.com/office/drawing/2014/main" id="{00000000-0008-0000-0100-000082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5" name="Text Box 11">
          <a:extLst>
            <a:ext uri="{FF2B5EF4-FFF2-40B4-BE49-F238E27FC236}">
              <a16:creationId xmlns:a16="http://schemas.microsoft.com/office/drawing/2014/main" id="{00000000-0008-0000-0100-000083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6" name="Text Box 12">
          <a:extLst>
            <a:ext uri="{FF2B5EF4-FFF2-40B4-BE49-F238E27FC236}">
              <a16:creationId xmlns:a16="http://schemas.microsoft.com/office/drawing/2014/main" id="{00000000-0008-0000-0100-000084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7" name="Text Box 13">
          <a:extLst>
            <a:ext uri="{FF2B5EF4-FFF2-40B4-BE49-F238E27FC236}">
              <a16:creationId xmlns:a16="http://schemas.microsoft.com/office/drawing/2014/main" id="{00000000-0008-0000-0100-000085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438" name="Text Box 14">
          <a:extLst>
            <a:ext uri="{FF2B5EF4-FFF2-40B4-BE49-F238E27FC236}">
              <a16:creationId xmlns:a16="http://schemas.microsoft.com/office/drawing/2014/main" id="{00000000-0008-0000-0100-000086090000}"/>
            </a:ext>
          </a:extLst>
        </xdr:cNvPr>
        <xdr:cNvSpPr txBox="1">
          <a:spLocks noChangeArrowheads="1"/>
        </xdr:cNvSpPr>
      </xdr:nvSpPr>
      <xdr:spPr bwMode="auto">
        <a:xfrm>
          <a:off x="3901109" y="427564826"/>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39" name="Text Box 15">
          <a:extLst>
            <a:ext uri="{FF2B5EF4-FFF2-40B4-BE49-F238E27FC236}">
              <a16:creationId xmlns:a16="http://schemas.microsoft.com/office/drawing/2014/main" id="{00000000-0008-0000-0100-000087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0" name="Text Box 16">
          <a:extLst>
            <a:ext uri="{FF2B5EF4-FFF2-40B4-BE49-F238E27FC236}">
              <a16:creationId xmlns:a16="http://schemas.microsoft.com/office/drawing/2014/main" id="{00000000-0008-0000-0100-000088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1" name="Text Box 17">
          <a:extLst>
            <a:ext uri="{FF2B5EF4-FFF2-40B4-BE49-F238E27FC236}">
              <a16:creationId xmlns:a16="http://schemas.microsoft.com/office/drawing/2014/main" id="{00000000-0008-0000-0100-000089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2" name="Text Box 18">
          <a:extLst>
            <a:ext uri="{FF2B5EF4-FFF2-40B4-BE49-F238E27FC236}">
              <a16:creationId xmlns:a16="http://schemas.microsoft.com/office/drawing/2014/main" id="{00000000-0008-0000-0100-00008A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3" name="Text Box 19">
          <a:extLst>
            <a:ext uri="{FF2B5EF4-FFF2-40B4-BE49-F238E27FC236}">
              <a16:creationId xmlns:a16="http://schemas.microsoft.com/office/drawing/2014/main" id="{00000000-0008-0000-0100-00008B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4" name="Text Box 20">
          <a:extLst>
            <a:ext uri="{FF2B5EF4-FFF2-40B4-BE49-F238E27FC236}">
              <a16:creationId xmlns:a16="http://schemas.microsoft.com/office/drawing/2014/main" id="{00000000-0008-0000-0100-00008C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5" name="Text Box 21">
          <a:extLst>
            <a:ext uri="{FF2B5EF4-FFF2-40B4-BE49-F238E27FC236}">
              <a16:creationId xmlns:a16="http://schemas.microsoft.com/office/drawing/2014/main" id="{00000000-0008-0000-0100-00008D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6" name="Text Box 22">
          <a:extLst>
            <a:ext uri="{FF2B5EF4-FFF2-40B4-BE49-F238E27FC236}">
              <a16:creationId xmlns:a16="http://schemas.microsoft.com/office/drawing/2014/main" id="{00000000-0008-0000-0100-00008E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7" name="Text Box 7">
          <a:extLst>
            <a:ext uri="{FF2B5EF4-FFF2-40B4-BE49-F238E27FC236}">
              <a16:creationId xmlns:a16="http://schemas.microsoft.com/office/drawing/2014/main" id="{00000000-0008-0000-0100-00008F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8" name="Text Box 8">
          <a:extLst>
            <a:ext uri="{FF2B5EF4-FFF2-40B4-BE49-F238E27FC236}">
              <a16:creationId xmlns:a16="http://schemas.microsoft.com/office/drawing/2014/main" id="{00000000-0008-0000-0100-000090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49" name="Text Box 9">
          <a:extLst>
            <a:ext uri="{FF2B5EF4-FFF2-40B4-BE49-F238E27FC236}">
              <a16:creationId xmlns:a16="http://schemas.microsoft.com/office/drawing/2014/main" id="{00000000-0008-0000-0100-000091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50" name="Text Box 10">
          <a:extLst>
            <a:ext uri="{FF2B5EF4-FFF2-40B4-BE49-F238E27FC236}">
              <a16:creationId xmlns:a16="http://schemas.microsoft.com/office/drawing/2014/main" id="{00000000-0008-0000-0100-000092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51" name="Text Box 11">
          <a:extLst>
            <a:ext uri="{FF2B5EF4-FFF2-40B4-BE49-F238E27FC236}">
              <a16:creationId xmlns:a16="http://schemas.microsoft.com/office/drawing/2014/main" id="{00000000-0008-0000-0100-000093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52" name="Text Box 12">
          <a:extLst>
            <a:ext uri="{FF2B5EF4-FFF2-40B4-BE49-F238E27FC236}">
              <a16:creationId xmlns:a16="http://schemas.microsoft.com/office/drawing/2014/main" id="{00000000-0008-0000-0100-000094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53" name="Text Box 13">
          <a:extLst>
            <a:ext uri="{FF2B5EF4-FFF2-40B4-BE49-F238E27FC236}">
              <a16:creationId xmlns:a16="http://schemas.microsoft.com/office/drawing/2014/main" id="{00000000-0008-0000-0100-000095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454" name="Text Box 14">
          <a:extLst>
            <a:ext uri="{FF2B5EF4-FFF2-40B4-BE49-F238E27FC236}">
              <a16:creationId xmlns:a16="http://schemas.microsoft.com/office/drawing/2014/main" id="{00000000-0008-0000-0100-000096090000}"/>
            </a:ext>
          </a:extLst>
        </xdr:cNvPr>
        <xdr:cNvSpPr txBox="1">
          <a:spLocks noChangeArrowheads="1"/>
        </xdr:cNvSpPr>
      </xdr:nvSpPr>
      <xdr:spPr bwMode="auto">
        <a:xfrm>
          <a:off x="3901109" y="427564826"/>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455" name="Text Box 15">
          <a:extLst>
            <a:ext uri="{FF2B5EF4-FFF2-40B4-BE49-F238E27FC236}">
              <a16:creationId xmlns:a16="http://schemas.microsoft.com/office/drawing/2014/main" id="{00000000-0008-0000-0100-000097090000}"/>
            </a:ext>
          </a:extLst>
        </xdr:cNvPr>
        <xdr:cNvSpPr txBox="1">
          <a:spLocks noChangeArrowheads="1"/>
        </xdr:cNvSpPr>
      </xdr:nvSpPr>
      <xdr:spPr bwMode="auto">
        <a:xfrm>
          <a:off x="3901109" y="427564826"/>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56" name="Text Box 5">
          <a:extLst>
            <a:ext uri="{FF2B5EF4-FFF2-40B4-BE49-F238E27FC236}">
              <a16:creationId xmlns:a16="http://schemas.microsoft.com/office/drawing/2014/main" id="{00000000-0008-0000-0100-000098090000}"/>
            </a:ext>
          </a:extLst>
        </xdr:cNvPr>
        <xdr:cNvSpPr txBox="1">
          <a:spLocks noChangeArrowheads="1"/>
        </xdr:cNvSpPr>
      </xdr:nvSpPr>
      <xdr:spPr bwMode="auto">
        <a:xfrm>
          <a:off x="3901109" y="427564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457" name="Text Box 6">
          <a:extLst>
            <a:ext uri="{FF2B5EF4-FFF2-40B4-BE49-F238E27FC236}">
              <a16:creationId xmlns:a16="http://schemas.microsoft.com/office/drawing/2014/main" id="{00000000-0008-0000-0100-000099090000}"/>
            </a:ext>
          </a:extLst>
        </xdr:cNvPr>
        <xdr:cNvSpPr txBox="1">
          <a:spLocks noChangeArrowheads="1"/>
        </xdr:cNvSpPr>
      </xdr:nvSpPr>
      <xdr:spPr bwMode="auto">
        <a:xfrm>
          <a:off x="3901109" y="427564826"/>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58" name="Text Box 7">
          <a:extLst>
            <a:ext uri="{FF2B5EF4-FFF2-40B4-BE49-F238E27FC236}">
              <a16:creationId xmlns:a16="http://schemas.microsoft.com/office/drawing/2014/main" id="{00000000-0008-0000-0100-00009A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59" name="Text Box 8">
          <a:extLst>
            <a:ext uri="{FF2B5EF4-FFF2-40B4-BE49-F238E27FC236}">
              <a16:creationId xmlns:a16="http://schemas.microsoft.com/office/drawing/2014/main" id="{00000000-0008-0000-0100-00009B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60" name="Text Box 9">
          <a:extLst>
            <a:ext uri="{FF2B5EF4-FFF2-40B4-BE49-F238E27FC236}">
              <a16:creationId xmlns:a16="http://schemas.microsoft.com/office/drawing/2014/main" id="{00000000-0008-0000-0100-00009C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61" name="Text Box 10">
          <a:extLst>
            <a:ext uri="{FF2B5EF4-FFF2-40B4-BE49-F238E27FC236}">
              <a16:creationId xmlns:a16="http://schemas.microsoft.com/office/drawing/2014/main" id="{00000000-0008-0000-0100-00009D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62" name="Text Box 11">
          <a:extLst>
            <a:ext uri="{FF2B5EF4-FFF2-40B4-BE49-F238E27FC236}">
              <a16:creationId xmlns:a16="http://schemas.microsoft.com/office/drawing/2014/main" id="{00000000-0008-0000-0100-00009E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63" name="Text Box 12">
          <a:extLst>
            <a:ext uri="{FF2B5EF4-FFF2-40B4-BE49-F238E27FC236}">
              <a16:creationId xmlns:a16="http://schemas.microsoft.com/office/drawing/2014/main" id="{00000000-0008-0000-0100-00009F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64" name="Text Box 13">
          <a:extLst>
            <a:ext uri="{FF2B5EF4-FFF2-40B4-BE49-F238E27FC236}">
              <a16:creationId xmlns:a16="http://schemas.microsoft.com/office/drawing/2014/main" id="{00000000-0008-0000-0100-0000A0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465" name="Text Box 14">
          <a:extLst>
            <a:ext uri="{FF2B5EF4-FFF2-40B4-BE49-F238E27FC236}">
              <a16:creationId xmlns:a16="http://schemas.microsoft.com/office/drawing/2014/main" id="{00000000-0008-0000-0100-0000A1090000}"/>
            </a:ext>
          </a:extLst>
        </xdr:cNvPr>
        <xdr:cNvSpPr txBox="1">
          <a:spLocks noChangeArrowheads="1"/>
        </xdr:cNvSpPr>
      </xdr:nvSpPr>
      <xdr:spPr bwMode="auto">
        <a:xfrm>
          <a:off x="3901109" y="427564826"/>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66" name="Text Box 15">
          <a:extLst>
            <a:ext uri="{FF2B5EF4-FFF2-40B4-BE49-F238E27FC236}">
              <a16:creationId xmlns:a16="http://schemas.microsoft.com/office/drawing/2014/main" id="{00000000-0008-0000-0100-0000A2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67" name="Text Box 16">
          <a:extLst>
            <a:ext uri="{FF2B5EF4-FFF2-40B4-BE49-F238E27FC236}">
              <a16:creationId xmlns:a16="http://schemas.microsoft.com/office/drawing/2014/main" id="{00000000-0008-0000-0100-0000A3090000}"/>
            </a:ext>
          </a:extLst>
        </xdr:cNvPr>
        <xdr:cNvSpPr txBox="1">
          <a:spLocks noChangeArrowheads="1"/>
        </xdr:cNvSpPr>
      </xdr:nvSpPr>
      <xdr:spPr bwMode="auto">
        <a:xfrm>
          <a:off x="3901109" y="427564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68" name="Text Box 17">
          <a:extLst>
            <a:ext uri="{FF2B5EF4-FFF2-40B4-BE49-F238E27FC236}">
              <a16:creationId xmlns:a16="http://schemas.microsoft.com/office/drawing/2014/main" id="{00000000-0008-0000-0100-0000A4090000}"/>
            </a:ext>
          </a:extLst>
        </xdr:cNvPr>
        <xdr:cNvSpPr txBox="1">
          <a:spLocks noChangeArrowheads="1"/>
        </xdr:cNvSpPr>
      </xdr:nvSpPr>
      <xdr:spPr bwMode="auto">
        <a:xfrm>
          <a:off x="3901109" y="427564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69" name="Text Box 18">
          <a:extLst>
            <a:ext uri="{FF2B5EF4-FFF2-40B4-BE49-F238E27FC236}">
              <a16:creationId xmlns:a16="http://schemas.microsoft.com/office/drawing/2014/main" id="{00000000-0008-0000-0100-0000A5090000}"/>
            </a:ext>
          </a:extLst>
        </xdr:cNvPr>
        <xdr:cNvSpPr txBox="1">
          <a:spLocks noChangeArrowheads="1"/>
        </xdr:cNvSpPr>
      </xdr:nvSpPr>
      <xdr:spPr bwMode="auto">
        <a:xfrm>
          <a:off x="3901109" y="427564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70" name="Text Box 19">
          <a:extLst>
            <a:ext uri="{FF2B5EF4-FFF2-40B4-BE49-F238E27FC236}">
              <a16:creationId xmlns:a16="http://schemas.microsoft.com/office/drawing/2014/main" id="{00000000-0008-0000-0100-0000A6090000}"/>
            </a:ext>
          </a:extLst>
        </xdr:cNvPr>
        <xdr:cNvSpPr txBox="1">
          <a:spLocks noChangeArrowheads="1"/>
        </xdr:cNvSpPr>
      </xdr:nvSpPr>
      <xdr:spPr bwMode="auto">
        <a:xfrm>
          <a:off x="3901109" y="427564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71" name="Text Box 20">
          <a:extLst>
            <a:ext uri="{FF2B5EF4-FFF2-40B4-BE49-F238E27FC236}">
              <a16:creationId xmlns:a16="http://schemas.microsoft.com/office/drawing/2014/main" id="{00000000-0008-0000-0100-0000A7090000}"/>
            </a:ext>
          </a:extLst>
        </xdr:cNvPr>
        <xdr:cNvSpPr txBox="1">
          <a:spLocks noChangeArrowheads="1"/>
        </xdr:cNvSpPr>
      </xdr:nvSpPr>
      <xdr:spPr bwMode="auto">
        <a:xfrm>
          <a:off x="3901109" y="427564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472" name="Text Box 21">
          <a:extLst>
            <a:ext uri="{FF2B5EF4-FFF2-40B4-BE49-F238E27FC236}">
              <a16:creationId xmlns:a16="http://schemas.microsoft.com/office/drawing/2014/main" id="{00000000-0008-0000-0100-0000A8090000}"/>
            </a:ext>
          </a:extLst>
        </xdr:cNvPr>
        <xdr:cNvSpPr txBox="1">
          <a:spLocks noChangeArrowheads="1"/>
        </xdr:cNvSpPr>
      </xdr:nvSpPr>
      <xdr:spPr bwMode="auto">
        <a:xfrm>
          <a:off x="3901109" y="427564826"/>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473" name="Text Box 22">
          <a:extLst>
            <a:ext uri="{FF2B5EF4-FFF2-40B4-BE49-F238E27FC236}">
              <a16:creationId xmlns:a16="http://schemas.microsoft.com/office/drawing/2014/main" id="{00000000-0008-0000-0100-0000A9090000}"/>
            </a:ext>
          </a:extLst>
        </xdr:cNvPr>
        <xdr:cNvSpPr txBox="1">
          <a:spLocks noChangeArrowheads="1"/>
        </xdr:cNvSpPr>
      </xdr:nvSpPr>
      <xdr:spPr bwMode="auto">
        <a:xfrm>
          <a:off x="3901109" y="427564826"/>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74" name="Text Box 7">
          <a:extLst>
            <a:ext uri="{FF2B5EF4-FFF2-40B4-BE49-F238E27FC236}">
              <a16:creationId xmlns:a16="http://schemas.microsoft.com/office/drawing/2014/main" id="{00000000-0008-0000-0100-0000AA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75" name="Text Box 8">
          <a:extLst>
            <a:ext uri="{FF2B5EF4-FFF2-40B4-BE49-F238E27FC236}">
              <a16:creationId xmlns:a16="http://schemas.microsoft.com/office/drawing/2014/main" id="{00000000-0008-0000-0100-0000AB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76" name="Text Box 9">
          <a:extLst>
            <a:ext uri="{FF2B5EF4-FFF2-40B4-BE49-F238E27FC236}">
              <a16:creationId xmlns:a16="http://schemas.microsoft.com/office/drawing/2014/main" id="{00000000-0008-0000-0100-0000AC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77" name="Text Box 10">
          <a:extLst>
            <a:ext uri="{FF2B5EF4-FFF2-40B4-BE49-F238E27FC236}">
              <a16:creationId xmlns:a16="http://schemas.microsoft.com/office/drawing/2014/main" id="{00000000-0008-0000-0100-0000AD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78" name="Text Box 11">
          <a:extLst>
            <a:ext uri="{FF2B5EF4-FFF2-40B4-BE49-F238E27FC236}">
              <a16:creationId xmlns:a16="http://schemas.microsoft.com/office/drawing/2014/main" id="{00000000-0008-0000-0100-0000AE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79" name="Text Box 12">
          <a:extLst>
            <a:ext uri="{FF2B5EF4-FFF2-40B4-BE49-F238E27FC236}">
              <a16:creationId xmlns:a16="http://schemas.microsoft.com/office/drawing/2014/main" id="{00000000-0008-0000-0100-0000AF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80" name="Text Box 13">
          <a:extLst>
            <a:ext uri="{FF2B5EF4-FFF2-40B4-BE49-F238E27FC236}">
              <a16:creationId xmlns:a16="http://schemas.microsoft.com/office/drawing/2014/main" id="{00000000-0008-0000-0100-0000B0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481" name="Text Box 14">
          <a:extLst>
            <a:ext uri="{FF2B5EF4-FFF2-40B4-BE49-F238E27FC236}">
              <a16:creationId xmlns:a16="http://schemas.microsoft.com/office/drawing/2014/main" id="{00000000-0008-0000-0100-0000B1090000}"/>
            </a:ext>
          </a:extLst>
        </xdr:cNvPr>
        <xdr:cNvSpPr txBox="1">
          <a:spLocks noChangeArrowheads="1"/>
        </xdr:cNvSpPr>
      </xdr:nvSpPr>
      <xdr:spPr bwMode="auto">
        <a:xfrm>
          <a:off x="3901109" y="427564826"/>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482" name="Text Box 15">
          <a:extLst>
            <a:ext uri="{FF2B5EF4-FFF2-40B4-BE49-F238E27FC236}">
              <a16:creationId xmlns:a16="http://schemas.microsoft.com/office/drawing/2014/main" id="{00000000-0008-0000-0100-0000B2090000}"/>
            </a:ext>
          </a:extLst>
        </xdr:cNvPr>
        <xdr:cNvSpPr txBox="1">
          <a:spLocks noChangeArrowheads="1"/>
        </xdr:cNvSpPr>
      </xdr:nvSpPr>
      <xdr:spPr bwMode="auto">
        <a:xfrm>
          <a:off x="3901109" y="427564826"/>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83" name="Text Box 5">
          <a:extLst>
            <a:ext uri="{FF2B5EF4-FFF2-40B4-BE49-F238E27FC236}">
              <a16:creationId xmlns:a16="http://schemas.microsoft.com/office/drawing/2014/main" id="{00000000-0008-0000-0100-0000B3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484" name="Text Box 6">
          <a:extLst>
            <a:ext uri="{FF2B5EF4-FFF2-40B4-BE49-F238E27FC236}">
              <a16:creationId xmlns:a16="http://schemas.microsoft.com/office/drawing/2014/main" id="{00000000-0008-0000-0100-0000B4090000}"/>
            </a:ext>
          </a:extLst>
        </xdr:cNvPr>
        <xdr:cNvSpPr txBox="1">
          <a:spLocks noChangeArrowheads="1"/>
        </xdr:cNvSpPr>
      </xdr:nvSpPr>
      <xdr:spPr bwMode="auto">
        <a:xfrm>
          <a:off x="3901109" y="427564826"/>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85" name="Text Box 7">
          <a:extLst>
            <a:ext uri="{FF2B5EF4-FFF2-40B4-BE49-F238E27FC236}">
              <a16:creationId xmlns:a16="http://schemas.microsoft.com/office/drawing/2014/main" id="{00000000-0008-0000-0100-0000B5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86" name="Text Box 8">
          <a:extLst>
            <a:ext uri="{FF2B5EF4-FFF2-40B4-BE49-F238E27FC236}">
              <a16:creationId xmlns:a16="http://schemas.microsoft.com/office/drawing/2014/main" id="{00000000-0008-0000-0100-0000B6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87" name="Text Box 9">
          <a:extLst>
            <a:ext uri="{FF2B5EF4-FFF2-40B4-BE49-F238E27FC236}">
              <a16:creationId xmlns:a16="http://schemas.microsoft.com/office/drawing/2014/main" id="{00000000-0008-0000-0100-0000B7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88" name="Text Box 10">
          <a:extLst>
            <a:ext uri="{FF2B5EF4-FFF2-40B4-BE49-F238E27FC236}">
              <a16:creationId xmlns:a16="http://schemas.microsoft.com/office/drawing/2014/main" id="{00000000-0008-0000-0100-0000B8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89" name="Text Box 11">
          <a:extLst>
            <a:ext uri="{FF2B5EF4-FFF2-40B4-BE49-F238E27FC236}">
              <a16:creationId xmlns:a16="http://schemas.microsoft.com/office/drawing/2014/main" id="{00000000-0008-0000-0100-0000B9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0" name="Text Box 12">
          <a:extLst>
            <a:ext uri="{FF2B5EF4-FFF2-40B4-BE49-F238E27FC236}">
              <a16:creationId xmlns:a16="http://schemas.microsoft.com/office/drawing/2014/main" id="{00000000-0008-0000-0100-0000BA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1" name="Text Box 13">
          <a:extLst>
            <a:ext uri="{FF2B5EF4-FFF2-40B4-BE49-F238E27FC236}">
              <a16:creationId xmlns:a16="http://schemas.microsoft.com/office/drawing/2014/main" id="{00000000-0008-0000-0100-0000BB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492" name="Text Box 14">
          <a:extLst>
            <a:ext uri="{FF2B5EF4-FFF2-40B4-BE49-F238E27FC236}">
              <a16:creationId xmlns:a16="http://schemas.microsoft.com/office/drawing/2014/main" id="{00000000-0008-0000-0100-0000BC090000}"/>
            </a:ext>
          </a:extLst>
        </xdr:cNvPr>
        <xdr:cNvSpPr txBox="1">
          <a:spLocks noChangeArrowheads="1"/>
        </xdr:cNvSpPr>
      </xdr:nvSpPr>
      <xdr:spPr bwMode="auto">
        <a:xfrm>
          <a:off x="3901109" y="427564826"/>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3" name="Text Box 15">
          <a:extLst>
            <a:ext uri="{FF2B5EF4-FFF2-40B4-BE49-F238E27FC236}">
              <a16:creationId xmlns:a16="http://schemas.microsoft.com/office/drawing/2014/main" id="{00000000-0008-0000-0100-0000BD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4" name="Text Box 16">
          <a:extLst>
            <a:ext uri="{FF2B5EF4-FFF2-40B4-BE49-F238E27FC236}">
              <a16:creationId xmlns:a16="http://schemas.microsoft.com/office/drawing/2014/main" id="{00000000-0008-0000-0100-0000BE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5" name="Text Box 17">
          <a:extLst>
            <a:ext uri="{FF2B5EF4-FFF2-40B4-BE49-F238E27FC236}">
              <a16:creationId xmlns:a16="http://schemas.microsoft.com/office/drawing/2014/main" id="{00000000-0008-0000-0100-0000BF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6" name="Text Box 18">
          <a:extLst>
            <a:ext uri="{FF2B5EF4-FFF2-40B4-BE49-F238E27FC236}">
              <a16:creationId xmlns:a16="http://schemas.microsoft.com/office/drawing/2014/main" id="{00000000-0008-0000-0100-0000C0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7" name="Text Box 19">
          <a:extLst>
            <a:ext uri="{FF2B5EF4-FFF2-40B4-BE49-F238E27FC236}">
              <a16:creationId xmlns:a16="http://schemas.microsoft.com/office/drawing/2014/main" id="{00000000-0008-0000-0100-0000C1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8" name="Text Box 20">
          <a:extLst>
            <a:ext uri="{FF2B5EF4-FFF2-40B4-BE49-F238E27FC236}">
              <a16:creationId xmlns:a16="http://schemas.microsoft.com/office/drawing/2014/main" id="{00000000-0008-0000-0100-0000C2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499" name="Text Box 21">
          <a:extLst>
            <a:ext uri="{FF2B5EF4-FFF2-40B4-BE49-F238E27FC236}">
              <a16:creationId xmlns:a16="http://schemas.microsoft.com/office/drawing/2014/main" id="{00000000-0008-0000-0100-0000C3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500" name="Text Box 22">
          <a:extLst>
            <a:ext uri="{FF2B5EF4-FFF2-40B4-BE49-F238E27FC236}">
              <a16:creationId xmlns:a16="http://schemas.microsoft.com/office/drawing/2014/main" id="{00000000-0008-0000-0100-0000C4090000}"/>
            </a:ext>
          </a:extLst>
        </xdr:cNvPr>
        <xdr:cNvSpPr txBox="1">
          <a:spLocks noChangeArrowheads="1"/>
        </xdr:cNvSpPr>
      </xdr:nvSpPr>
      <xdr:spPr bwMode="auto">
        <a:xfrm>
          <a:off x="3901109" y="427564826"/>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501" name="Text Box 7">
          <a:extLst>
            <a:ext uri="{FF2B5EF4-FFF2-40B4-BE49-F238E27FC236}">
              <a16:creationId xmlns:a16="http://schemas.microsoft.com/office/drawing/2014/main" id="{00000000-0008-0000-0100-0000C5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502" name="Text Box 8">
          <a:extLst>
            <a:ext uri="{FF2B5EF4-FFF2-40B4-BE49-F238E27FC236}">
              <a16:creationId xmlns:a16="http://schemas.microsoft.com/office/drawing/2014/main" id="{00000000-0008-0000-0100-0000C6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503" name="Text Box 9">
          <a:extLst>
            <a:ext uri="{FF2B5EF4-FFF2-40B4-BE49-F238E27FC236}">
              <a16:creationId xmlns:a16="http://schemas.microsoft.com/office/drawing/2014/main" id="{00000000-0008-0000-0100-0000C7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504" name="Text Box 10">
          <a:extLst>
            <a:ext uri="{FF2B5EF4-FFF2-40B4-BE49-F238E27FC236}">
              <a16:creationId xmlns:a16="http://schemas.microsoft.com/office/drawing/2014/main" id="{00000000-0008-0000-0100-0000C8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505" name="Text Box 11">
          <a:extLst>
            <a:ext uri="{FF2B5EF4-FFF2-40B4-BE49-F238E27FC236}">
              <a16:creationId xmlns:a16="http://schemas.microsoft.com/office/drawing/2014/main" id="{00000000-0008-0000-0100-0000C9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506" name="Text Box 12">
          <a:extLst>
            <a:ext uri="{FF2B5EF4-FFF2-40B4-BE49-F238E27FC236}">
              <a16:creationId xmlns:a16="http://schemas.microsoft.com/office/drawing/2014/main" id="{00000000-0008-0000-0100-0000CA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507" name="Text Box 13">
          <a:extLst>
            <a:ext uri="{FF2B5EF4-FFF2-40B4-BE49-F238E27FC236}">
              <a16:creationId xmlns:a16="http://schemas.microsoft.com/office/drawing/2014/main" id="{00000000-0008-0000-0100-0000CB090000}"/>
            </a:ext>
          </a:extLst>
        </xdr:cNvPr>
        <xdr:cNvSpPr txBox="1">
          <a:spLocks noChangeArrowheads="1"/>
        </xdr:cNvSpPr>
      </xdr:nvSpPr>
      <xdr:spPr bwMode="auto">
        <a:xfrm>
          <a:off x="3901109" y="427564826"/>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508" name="Text Box 14">
          <a:extLst>
            <a:ext uri="{FF2B5EF4-FFF2-40B4-BE49-F238E27FC236}">
              <a16:creationId xmlns:a16="http://schemas.microsoft.com/office/drawing/2014/main" id="{00000000-0008-0000-0100-0000CC090000}"/>
            </a:ext>
          </a:extLst>
        </xdr:cNvPr>
        <xdr:cNvSpPr txBox="1">
          <a:spLocks noChangeArrowheads="1"/>
        </xdr:cNvSpPr>
      </xdr:nvSpPr>
      <xdr:spPr bwMode="auto">
        <a:xfrm>
          <a:off x="3901109" y="427564826"/>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509" name="Text Box 5">
          <a:extLst>
            <a:ext uri="{FF2B5EF4-FFF2-40B4-BE49-F238E27FC236}">
              <a16:creationId xmlns:a16="http://schemas.microsoft.com/office/drawing/2014/main" id="{00000000-0008-0000-0100-0000CD090000}"/>
            </a:ext>
          </a:extLst>
        </xdr:cNvPr>
        <xdr:cNvSpPr txBox="1">
          <a:spLocks noChangeArrowheads="1"/>
        </xdr:cNvSpPr>
      </xdr:nvSpPr>
      <xdr:spPr bwMode="auto">
        <a:xfrm>
          <a:off x="3901109" y="427564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510" name="Text Box 6">
          <a:extLst>
            <a:ext uri="{FF2B5EF4-FFF2-40B4-BE49-F238E27FC236}">
              <a16:creationId xmlns:a16="http://schemas.microsoft.com/office/drawing/2014/main" id="{00000000-0008-0000-0100-0000CE090000}"/>
            </a:ext>
          </a:extLst>
        </xdr:cNvPr>
        <xdr:cNvSpPr txBox="1">
          <a:spLocks noChangeArrowheads="1"/>
        </xdr:cNvSpPr>
      </xdr:nvSpPr>
      <xdr:spPr bwMode="auto">
        <a:xfrm>
          <a:off x="3901109" y="427564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511" name="Text Box 7">
          <a:extLst>
            <a:ext uri="{FF2B5EF4-FFF2-40B4-BE49-F238E27FC236}">
              <a16:creationId xmlns:a16="http://schemas.microsoft.com/office/drawing/2014/main" id="{00000000-0008-0000-0100-0000CF090000}"/>
            </a:ext>
          </a:extLst>
        </xdr:cNvPr>
        <xdr:cNvSpPr txBox="1">
          <a:spLocks noChangeArrowheads="1"/>
        </xdr:cNvSpPr>
      </xdr:nvSpPr>
      <xdr:spPr bwMode="auto">
        <a:xfrm>
          <a:off x="3901109" y="427564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512" name="Text Box 8">
          <a:extLst>
            <a:ext uri="{FF2B5EF4-FFF2-40B4-BE49-F238E27FC236}">
              <a16:creationId xmlns:a16="http://schemas.microsoft.com/office/drawing/2014/main" id="{00000000-0008-0000-0100-0000D0090000}"/>
            </a:ext>
          </a:extLst>
        </xdr:cNvPr>
        <xdr:cNvSpPr txBox="1">
          <a:spLocks noChangeArrowheads="1"/>
        </xdr:cNvSpPr>
      </xdr:nvSpPr>
      <xdr:spPr bwMode="auto">
        <a:xfrm>
          <a:off x="3901109" y="427564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513" name="Text Box 9">
          <a:extLst>
            <a:ext uri="{FF2B5EF4-FFF2-40B4-BE49-F238E27FC236}">
              <a16:creationId xmlns:a16="http://schemas.microsoft.com/office/drawing/2014/main" id="{00000000-0008-0000-0100-0000D1090000}"/>
            </a:ext>
          </a:extLst>
        </xdr:cNvPr>
        <xdr:cNvSpPr txBox="1">
          <a:spLocks noChangeArrowheads="1"/>
        </xdr:cNvSpPr>
      </xdr:nvSpPr>
      <xdr:spPr bwMode="auto">
        <a:xfrm>
          <a:off x="3901109" y="427564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514" name="Text Box 10">
          <a:extLst>
            <a:ext uri="{FF2B5EF4-FFF2-40B4-BE49-F238E27FC236}">
              <a16:creationId xmlns:a16="http://schemas.microsoft.com/office/drawing/2014/main" id="{00000000-0008-0000-0100-0000D2090000}"/>
            </a:ext>
          </a:extLst>
        </xdr:cNvPr>
        <xdr:cNvSpPr txBox="1">
          <a:spLocks noChangeArrowheads="1"/>
        </xdr:cNvSpPr>
      </xdr:nvSpPr>
      <xdr:spPr bwMode="auto">
        <a:xfrm>
          <a:off x="3901109" y="427564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515" name="Text Box 11">
          <a:extLst>
            <a:ext uri="{FF2B5EF4-FFF2-40B4-BE49-F238E27FC236}">
              <a16:creationId xmlns:a16="http://schemas.microsoft.com/office/drawing/2014/main" id="{00000000-0008-0000-0100-0000D3090000}"/>
            </a:ext>
          </a:extLst>
        </xdr:cNvPr>
        <xdr:cNvSpPr txBox="1">
          <a:spLocks noChangeArrowheads="1"/>
        </xdr:cNvSpPr>
      </xdr:nvSpPr>
      <xdr:spPr bwMode="auto">
        <a:xfrm>
          <a:off x="3901109" y="427564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516" name="Text Box 12">
          <a:extLst>
            <a:ext uri="{FF2B5EF4-FFF2-40B4-BE49-F238E27FC236}">
              <a16:creationId xmlns:a16="http://schemas.microsoft.com/office/drawing/2014/main" id="{00000000-0008-0000-0100-0000D4090000}"/>
            </a:ext>
          </a:extLst>
        </xdr:cNvPr>
        <xdr:cNvSpPr txBox="1">
          <a:spLocks noChangeArrowheads="1"/>
        </xdr:cNvSpPr>
      </xdr:nvSpPr>
      <xdr:spPr bwMode="auto">
        <a:xfrm>
          <a:off x="3901109" y="427564826"/>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517" name="Text Box 1">
          <a:extLst>
            <a:ext uri="{FF2B5EF4-FFF2-40B4-BE49-F238E27FC236}">
              <a16:creationId xmlns:a16="http://schemas.microsoft.com/office/drawing/2014/main" id="{00000000-0008-0000-0100-0000D5090000}"/>
            </a:ext>
          </a:extLst>
        </xdr:cNvPr>
        <xdr:cNvSpPr txBox="1">
          <a:spLocks noChangeArrowheads="1"/>
        </xdr:cNvSpPr>
      </xdr:nvSpPr>
      <xdr:spPr bwMode="auto">
        <a:xfrm>
          <a:off x="4580283" y="42756482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518" name="Text Box 1">
          <a:extLst>
            <a:ext uri="{FF2B5EF4-FFF2-40B4-BE49-F238E27FC236}">
              <a16:creationId xmlns:a16="http://schemas.microsoft.com/office/drawing/2014/main" id="{00000000-0008-0000-0100-0000D6090000}"/>
            </a:ext>
          </a:extLst>
        </xdr:cNvPr>
        <xdr:cNvSpPr txBox="1">
          <a:spLocks noChangeArrowheads="1"/>
        </xdr:cNvSpPr>
      </xdr:nvSpPr>
      <xdr:spPr bwMode="auto">
        <a:xfrm>
          <a:off x="4580283" y="42756482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519" name="Text Box 1">
          <a:extLst>
            <a:ext uri="{FF2B5EF4-FFF2-40B4-BE49-F238E27FC236}">
              <a16:creationId xmlns:a16="http://schemas.microsoft.com/office/drawing/2014/main" id="{00000000-0008-0000-0100-0000D7090000}"/>
            </a:ext>
          </a:extLst>
        </xdr:cNvPr>
        <xdr:cNvSpPr txBox="1">
          <a:spLocks noChangeArrowheads="1"/>
        </xdr:cNvSpPr>
      </xdr:nvSpPr>
      <xdr:spPr bwMode="auto">
        <a:xfrm>
          <a:off x="4580283" y="42756482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520" name="Text Box 1">
          <a:extLst>
            <a:ext uri="{FF2B5EF4-FFF2-40B4-BE49-F238E27FC236}">
              <a16:creationId xmlns:a16="http://schemas.microsoft.com/office/drawing/2014/main" id="{00000000-0008-0000-0100-0000D8090000}"/>
            </a:ext>
          </a:extLst>
        </xdr:cNvPr>
        <xdr:cNvSpPr txBox="1">
          <a:spLocks noChangeArrowheads="1"/>
        </xdr:cNvSpPr>
      </xdr:nvSpPr>
      <xdr:spPr bwMode="auto">
        <a:xfrm>
          <a:off x="4580283" y="427564826"/>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521" name="Text Box 5">
          <a:extLst>
            <a:ext uri="{FF2B5EF4-FFF2-40B4-BE49-F238E27FC236}">
              <a16:creationId xmlns:a16="http://schemas.microsoft.com/office/drawing/2014/main" id="{00000000-0008-0000-0100-0000D9090000}"/>
            </a:ext>
          </a:extLst>
        </xdr:cNvPr>
        <xdr:cNvSpPr txBox="1">
          <a:spLocks noChangeArrowheads="1"/>
        </xdr:cNvSpPr>
      </xdr:nvSpPr>
      <xdr:spPr bwMode="auto">
        <a:xfrm>
          <a:off x="3901109" y="438299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522" name="Text Box 6">
          <a:extLst>
            <a:ext uri="{FF2B5EF4-FFF2-40B4-BE49-F238E27FC236}">
              <a16:creationId xmlns:a16="http://schemas.microsoft.com/office/drawing/2014/main" id="{00000000-0008-0000-0100-0000DA090000}"/>
            </a:ext>
          </a:extLst>
        </xdr:cNvPr>
        <xdr:cNvSpPr txBox="1">
          <a:spLocks noChangeArrowheads="1"/>
        </xdr:cNvSpPr>
      </xdr:nvSpPr>
      <xdr:spPr bwMode="auto">
        <a:xfrm>
          <a:off x="3901109" y="43829908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523" name="Text Box 16">
          <a:extLst>
            <a:ext uri="{FF2B5EF4-FFF2-40B4-BE49-F238E27FC236}">
              <a16:creationId xmlns:a16="http://schemas.microsoft.com/office/drawing/2014/main" id="{00000000-0008-0000-0100-0000DB090000}"/>
            </a:ext>
          </a:extLst>
        </xdr:cNvPr>
        <xdr:cNvSpPr txBox="1">
          <a:spLocks noChangeArrowheads="1"/>
        </xdr:cNvSpPr>
      </xdr:nvSpPr>
      <xdr:spPr bwMode="auto">
        <a:xfrm>
          <a:off x="3901109" y="438299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524" name="Text Box 17">
          <a:extLst>
            <a:ext uri="{FF2B5EF4-FFF2-40B4-BE49-F238E27FC236}">
              <a16:creationId xmlns:a16="http://schemas.microsoft.com/office/drawing/2014/main" id="{00000000-0008-0000-0100-0000DC090000}"/>
            </a:ext>
          </a:extLst>
        </xdr:cNvPr>
        <xdr:cNvSpPr txBox="1">
          <a:spLocks noChangeArrowheads="1"/>
        </xdr:cNvSpPr>
      </xdr:nvSpPr>
      <xdr:spPr bwMode="auto">
        <a:xfrm>
          <a:off x="3901109" y="438299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525" name="Text Box 18">
          <a:extLst>
            <a:ext uri="{FF2B5EF4-FFF2-40B4-BE49-F238E27FC236}">
              <a16:creationId xmlns:a16="http://schemas.microsoft.com/office/drawing/2014/main" id="{00000000-0008-0000-0100-0000DD090000}"/>
            </a:ext>
          </a:extLst>
        </xdr:cNvPr>
        <xdr:cNvSpPr txBox="1">
          <a:spLocks noChangeArrowheads="1"/>
        </xdr:cNvSpPr>
      </xdr:nvSpPr>
      <xdr:spPr bwMode="auto">
        <a:xfrm>
          <a:off x="3901109" y="438299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526" name="Text Box 19">
          <a:extLst>
            <a:ext uri="{FF2B5EF4-FFF2-40B4-BE49-F238E27FC236}">
              <a16:creationId xmlns:a16="http://schemas.microsoft.com/office/drawing/2014/main" id="{00000000-0008-0000-0100-0000DE090000}"/>
            </a:ext>
          </a:extLst>
        </xdr:cNvPr>
        <xdr:cNvSpPr txBox="1">
          <a:spLocks noChangeArrowheads="1"/>
        </xdr:cNvSpPr>
      </xdr:nvSpPr>
      <xdr:spPr bwMode="auto">
        <a:xfrm>
          <a:off x="3901109" y="438299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527" name="Text Box 20">
          <a:extLst>
            <a:ext uri="{FF2B5EF4-FFF2-40B4-BE49-F238E27FC236}">
              <a16:creationId xmlns:a16="http://schemas.microsoft.com/office/drawing/2014/main" id="{00000000-0008-0000-0100-0000DF090000}"/>
            </a:ext>
          </a:extLst>
        </xdr:cNvPr>
        <xdr:cNvSpPr txBox="1">
          <a:spLocks noChangeArrowheads="1"/>
        </xdr:cNvSpPr>
      </xdr:nvSpPr>
      <xdr:spPr bwMode="auto">
        <a:xfrm>
          <a:off x="3901109" y="438299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528" name="Text Box 21">
          <a:extLst>
            <a:ext uri="{FF2B5EF4-FFF2-40B4-BE49-F238E27FC236}">
              <a16:creationId xmlns:a16="http://schemas.microsoft.com/office/drawing/2014/main" id="{00000000-0008-0000-0100-0000E0090000}"/>
            </a:ext>
          </a:extLst>
        </xdr:cNvPr>
        <xdr:cNvSpPr txBox="1">
          <a:spLocks noChangeArrowheads="1"/>
        </xdr:cNvSpPr>
      </xdr:nvSpPr>
      <xdr:spPr bwMode="auto">
        <a:xfrm>
          <a:off x="3901109" y="438299087"/>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529" name="Text Box 22">
          <a:extLst>
            <a:ext uri="{FF2B5EF4-FFF2-40B4-BE49-F238E27FC236}">
              <a16:creationId xmlns:a16="http://schemas.microsoft.com/office/drawing/2014/main" id="{00000000-0008-0000-0100-0000E1090000}"/>
            </a:ext>
          </a:extLst>
        </xdr:cNvPr>
        <xdr:cNvSpPr txBox="1">
          <a:spLocks noChangeArrowheads="1"/>
        </xdr:cNvSpPr>
      </xdr:nvSpPr>
      <xdr:spPr bwMode="auto">
        <a:xfrm>
          <a:off x="3901109" y="438299087"/>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530" name="Text Box 1">
          <a:extLst>
            <a:ext uri="{FF2B5EF4-FFF2-40B4-BE49-F238E27FC236}">
              <a16:creationId xmlns:a16="http://schemas.microsoft.com/office/drawing/2014/main" id="{00000000-0008-0000-0100-0000E2090000}"/>
            </a:ext>
          </a:extLst>
        </xdr:cNvPr>
        <xdr:cNvSpPr txBox="1">
          <a:spLocks noChangeArrowheads="1"/>
        </xdr:cNvSpPr>
      </xdr:nvSpPr>
      <xdr:spPr bwMode="auto">
        <a:xfrm>
          <a:off x="4580283" y="43829908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531" name="Text Box 1">
          <a:extLst>
            <a:ext uri="{FF2B5EF4-FFF2-40B4-BE49-F238E27FC236}">
              <a16:creationId xmlns:a16="http://schemas.microsoft.com/office/drawing/2014/main" id="{00000000-0008-0000-0100-0000E3090000}"/>
            </a:ext>
          </a:extLst>
        </xdr:cNvPr>
        <xdr:cNvSpPr txBox="1">
          <a:spLocks noChangeArrowheads="1"/>
        </xdr:cNvSpPr>
      </xdr:nvSpPr>
      <xdr:spPr bwMode="auto">
        <a:xfrm>
          <a:off x="4580283" y="43829908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532" name="Text Box 1">
          <a:extLst>
            <a:ext uri="{FF2B5EF4-FFF2-40B4-BE49-F238E27FC236}">
              <a16:creationId xmlns:a16="http://schemas.microsoft.com/office/drawing/2014/main" id="{00000000-0008-0000-0100-0000E4090000}"/>
            </a:ext>
          </a:extLst>
        </xdr:cNvPr>
        <xdr:cNvSpPr txBox="1">
          <a:spLocks noChangeArrowheads="1"/>
        </xdr:cNvSpPr>
      </xdr:nvSpPr>
      <xdr:spPr bwMode="auto">
        <a:xfrm>
          <a:off x="4580283" y="43829908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533" name="Text Box 1">
          <a:extLst>
            <a:ext uri="{FF2B5EF4-FFF2-40B4-BE49-F238E27FC236}">
              <a16:creationId xmlns:a16="http://schemas.microsoft.com/office/drawing/2014/main" id="{00000000-0008-0000-0100-0000E5090000}"/>
            </a:ext>
          </a:extLst>
        </xdr:cNvPr>
        <xdr:cNvSpPr txBox="1">
          <a:spLocks noChangeArrowheads="1"/>
        </xdr:cNvSpPr>
      </xdr:nvSpPr>
      <xdr:spPr bwMode="auto">
        <a:xfrm>
          <a:off x="4580283" y="438299087"/>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34" name="Text Box 5">
          <a:extLst>
            <a:ext uri="{FF2B5EF4-FFF2-40B4-BE49-F238E27FC236}">
              <a16:creationId xmlns:a16="http://schemas.microsoft.com/office/drawing/2014/main" id="{00000000-0008-0000-0100-0000E6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35" name="Text Box 6">
          <a:extLst>
            <a:ext uri="{FF2B5EF4-FFF2-40B4-BE49-F238E27FC236}">
              <a16:creationId xmlns:a16="http://schemas.microsoft.com/office/drawing/2014/main" id="{00000000-0008-0000-0100-0000E7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36" name="Text Box 7">
          <a:extLst>
            <a:ext uri="{FF2B5EF4-FFF2-40B4-BE49-F238E27FC236}">
              <a16:creationId xmlns:a16="http://schemas.microsoft.com/office/drawing/2014/main" id="{00000000-0008-0000-0100-0000E8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37" name="Text Box 8">
          <a:extLst>
            <a:ext uri="{FF2B5EF4-FFF2-40B4-BE49-F238E27FC236}">
              <a16:creationId xmlns:a16="http://schemas.microsoft.com/office/drawing/2014/main" id="{00000000-0008-0000-0100-0000E9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38" name="Text Box 9">
          <a:extLst>
            <a:ext uri="{FF2B5EF4-FFF2-40B4-BE49-F238E27FC236}">
              <a16:creationId xmlns:a16="http://schemas.microsoft.com/office/drawing/2014/main" id="{00000000-0008-0000-0100-0000EA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39" name="Text Box 10">
          <a:extLst>
            <a:ext uri="{FF2B5EF4-FFF2-40B4-BE49-F238E27FC236}">
              <a16:creationId xmlns:a16="http://schemas.microsoft.com/office/drawing/2014/main" id="{00000000-0008-0000-0100-0000EB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0" name="Text Box 11">
          <a:extLst>
            <a:ext uri="{FF2B5EF4-FFF2-40B4-BE49-F238E27FC236}">
              <a16:creationId xmlns:a16="http://schemas.microsoft.com/office/drawing/2014/main" id="{00000000-0008-0000-0100-0000EC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1" name="Text Box 12">
          <a:extLst>
            <a:ext uri="{FF2B5EF4-FFF2-40B4-BE49-F238E27FC236}">
              <a16:creationId xmlns:a16="http://schemas.microsoft.com/office/drawing/2014/main" id="{00000000-0008-0000-0100-0000ED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2" name="Text Box 13">
          <a:extLst>
            <a:ext uri="{FF2B5EF4-FFF2-40B4-BE49-F238E27FC236}">
              <a16:creationId xmlns:a16="http://schemas.microsoft.com/office/drawing/2014/main" id="{00000000-0008-0000-0100-0000EE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241149" cy="339773"/>
    <xdr:sp macro="" textlink="">
      <xdr:nvSpPr>
        <xdr:cNvPr id="2543" name="Text Box 14">
          <a:extLst>
            <a:ext uri="{FF2B5EF4-FFF2-40B4-BE49-F238E27FC236}">
              <a16:creationId xmlns:a16="http://schemas.microsoft.com/office/drawing/2014/main" id="{00000000-0008-0000-0100-0000EF090000}"/>
            </a:ext>
          </a:extLst>
        </xdr:cNvPr>
        <xdr:cNvSpPr txBox="1">
          <a:spLocks noChangeArrowheads="1"/>
        </xdr:cNvSpPr>
      </xdr:nvSpPr>
      <xdr:spPr bwMode="auto">
        <a:xfrm>
          <a:off x="3901109" y="36261260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4" name="Text Box 15">
          <a:extLst>
            <a:ext uri="{FF2B5EF4-FFF2-40B4-BE49-F238E27FC236}">
              <a16:creationId xmlns:a16="http://schemas.microsoft.com/office/drawing/2014/main" id="{00000000-0008-0000-0100-0000F0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5" name="Text Box 16">
          <a:extLst>
            <a:ext uri="{FF2B5EF4-FFF2-40B4-BE49-F238E27FC236}">
              <a16:creationId xmlns:a16="http://schemas.microsoft.com/office/drawing/2014/main" id="{00000000-0008-0000-0100-0000F1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6" name="Text Box 17">
          <a:extLst>
            <a:ext uri="{FF2B5EF4-FFF2-40B4-BE49-F238E27FC236}">
              <a16:creationId xmlns:a16="http://schemas.microsoft.com/office/drawing/2014/main" id="{00000000-0008-0000-0100-0000F2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7" name="Text Box 18">
          <a:extLst>
            <a:ext uri="{FF2B5EF4-FFF2-40B4-BE49-F238E27FC236}">
              <a16:creationId xmlns:a16="http://schemas.microsoft.com/office/drawing/2014/main" id="{00000000-0008-0000-0100-0000F3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8" name="Text Box 19">
          <a:extLst>
            <a:ext uri="{FF2B5EF4-FFF2-40B4-BE49-F238E27FC236}">
              <a16:creationId xmlns:a16="http://schemas.microsoft.com/office/drawing/2014/main" id="{00000000-0008-0000-0100-0000F4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49" name="Text Box 20">
          <a:extLst>
            <a:ext uri="{FF2B5EF4-FFF2-40B4-BE49-F238E27FC236}">
              <a16:creationId xmlns:a16="http://schemas.microsoft.com/office/drawing/2014/main" id="{00000000-0008-0000-0100-0000F5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0" name="Text Box 21">
          <a:extLst>
            <a:ext uri="{FF2B5EF4-FFF2-40B4-BE49-F238E27FC236}">
              <a16:creationId xmlns:a16="http://schemas.microsoft.com/office/drawing/2014/main" id="{00000000-0008-0000-0100-0000F6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1" name="Text Box 22">
          <a:extLst>
            <a:ext uri="{FF2B5EF4-FFF2-40B4-BE49-F238E27FC236}">
              <a16:creationId xmlns:a16="http://schemas.microsoft.com/office/drawing/2014/main" id="{00000000-0008-0000-0100-0000F7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2" name="Text Box 7">
          <a:extLst>
            <a:ext uri="{FF2B5EF4-FFF2-40B4-BE49-F238E27FC236}">
              <a16:creationId xmlns:a16="http://schemas.microsoft.com/office/drawing/2014/main" id="{00000000-0008-0000-0100-0000F8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3" name="Text Box 8">
          <a:extLst>
            <a:ext uri="{FF2B5EF4-FFF2-40B4-BE49-F238E27FC236}">
              <a16:creationId xmlns:a16="http://schemas.microsoft.com/office/drawing/2014/main" id="{00000000-0008-0000-0100-0000F9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4" name="Text Box 9">
          <a:extLst>
            <a:ext uri="{FF2B5EF4-FFF2-40B4-BE49-F238E27FC236}">
              <a16:creationId xmlns:a16="http://schemas.microsoft.com/office/drawing/2014/main" id="{00000000-0008-0000-0100-0000FA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5" name="Text Box 10">
          <a:extLst>
            <a:ext uri="{FF2B5EF4-FFF2-40B4-BE49-F238E27FC236}">
              <a16:creationId xmlns:a16="http://schemas.microsoft.com/office/drawing/2014/main" id="{00000000-0008-0000-0100-0000FB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6" name="Text Box 11">
          <a:extLst>
            <a:ext uri="{FF2B5EF4-FFF2-40B4-BE49-F238E27FC236}">
              <a16:creationId xmlns:a16="http://schemas.microsoft.com/office/drawing/2014/main" id="{00000000-0008-0000-0100-0000FC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7" name="Text Box 12">
          <a:extLst>
            <a:ext uri="{FF2B5EF4-FFF2-40B4-BE49-F238E27FC236}">
              <a16:creationId xmlns:a16="http://schemas.microsoft.com/office/drawing/2014/main" id="{00000000-0008-0000-0100-0000FD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58" name="Text Box 13">
          <a:extLst>
            <a:ext uri="{FF2B5EF4-FFF2-40B4-BE49-F238E27FC236}">
              <a16:creationId xmlns:a16="http://schemas.microsoft.com/office/drawing/2014/main" id="{00000000-0008-0000-0100-0000FE09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241149" cy="339773"/>
    <xdr:sp macro="" textlink="">
      <xdr:nvSpPr>
        <xdr:cNvPr id="2559" name="Text Box 14">
          <a:extLst>
            <a:ext uri="{FF2B5EF4-FFF2-40B4-BE49-F238E27FC236}">
              <a16:creationId xmlns:a16="http://schemas.microsoft.com/office/drawing/2014/main" id="{00000000-0008-0000-0100-0000FF090000}"/>
            </a:ext>
          </a:extLst>
        </xdr:cNvPr>
        <xdr:cNvSpPr txBox="1">
          <a:spLocks noChangeArrowheads="1"/>
        </xdr:cNvSpPr>
      </xdr:nvSpPr>
      <xdr:spPr bwMode="auto">
        <a:xfrm>
          <a:off x="3901109" y="36261260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3"/>
    <xdr:sp macro="" textlink="">
      <xdr:nvSpPr>
        <xdr:cNvPr id="2560" name="Text Box 15">
          <a:extLst>
            <a:ext uri="{FF2B5EF4-FFF2-40B4-BE49-F238E27FC236}">
              <a16:creationId xmlns:a16="http://schemas.microsoft.com/office/drawing/2014/main" id="{00000000-0008-0000-0100-0000000A0000}"/>
            </a:ext>
          </a:extLst>
        </xdr:cNvPr>
        <xdr:cNvSpPr txBox="1">
          <a:spLocks noChangeArrowheads="1"/>
        </xdr:cNvSpPr>
      </xdr:nvSpPr>
      <xdr:spPr bwMode="auto">
        <a:xfrm>
          <a:off x="3901109" y="3626126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56668"/>
    <xdr:sp macro="" textlink="">
      <xdr:nvSpPr>
        <xdr:cNvPr id="2561" name="Text Box 5">
          <a:extLst>
            <a:ext uri="{FF2B5EF4-FFF2-40B4-BE49-F238E27FC236}">
              <a16:creationId xmlns:a16="http://schemas.microsoft.com/office/drawing/2014/main" id="{00000000-0008-0000-0100-0000010A0000}"/>
            </a:ext>
          </a:extLst>
        </xdr:cNvPr>
        <xdr:cNvSpPr txBox="1">
          <a:spLocks noChangeArrowheads="1"/>
        </xdr:cNvSpPr>
      </xdr:nvSpPr>
      <xdr:spPr bwMode="auto">
        <a:xfrm>
          <a:off x="3901109" y="362612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68827"/>
    <xdr:sp macro="" textlink="">
      <xdr:nvSpPr>
        <xdr:cNvPr id="2562" name="Text Box 6">
          <a:extLst>
            <a:ext uri="{FF2B5EF4-FFF2-40B4-BE49-F238E27FC236}">
              <a16:creationId xmlns:a16="http://schemas.microsoft.com/office/drawing/2014/main" id="{00000000-0008-0000-0100-0000020A0000}"/>
            </a:ext>
          </a:extLst>
        </xdr:cNvPr>
        <xdr:cNvSpPr txBox="1">
          <a:spLocks noChangeArrowheads="1"/>
        </xdr:cNvSpPr>
      </xdr:nvSpPr>
      <xdr:spPr bwMode="auto">
        <a:xfrm>
          <a:off x="3901109" y="3626126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63" name="Text Box 7">
          <a:extLst>
            <a:ext uri="{FF2B5EF4-FFF2-40B4-BE49-F238E27FC236}">
              <a16:creationId xmlns:a16="http://schemas.microsoft.com/office/drawing/2014/main" id="{00000000-0008-0000-0100-000003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64" name="Text Box 8">
          <a:extLst>
            <a:ext uri="{FF2B5EF4-FFF2-40B4-BE49-F238E27FC236}">
              <a16:creationId xmlns:a16="http://schemas.microsoft.com/office/drawing/2014/main" id="{00000000-0008-0000-0100-000004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65" name="Text Box 9">
          <a:extLst>
            <a:ext uri="{FF2B5EF4-FFF2-40B4-BE49-F238E27FC236}">
              <a16:creationId xmlns:a16="http://schemas.microsoft.com/office/drawing/2014/main" id="{00000000-0008-0000-0100-000005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66" name="Text Box 10">
          <a:extLst>
            <a:ext uri="{FF2B5EF4-FFF2-40B4-BE49-F238E27FC236}">
              <a16:creationId xmlns:a16="http://schemas.microsoft.com/office/drawing/2014/main" id="{00000000-0008-0000-0100-000006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67" name="Text Box 11">
          <a:extLst>
            <a:ext uri="{FF2B5EF4-FFF2-40B4-BE49-F238E27FC236}">
              <a16:creationId xmlns:a16="http://schemas.microsoft.com/office/drawing/2014/main" id="{00000000-0008-0000-0100-000007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68" name="Text Box 12">
          <a:extLst>
            <a:ext uri="{FF2B5EF4-FFF2-40B4-BE49-F238E27FC236}">
              <a16:creationId xmlns:a16="http://schemas.microsoft.com/office/drawing/2014/main" id="{00000000-0008-0000-0100-000008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69" name="Text Box 13">
          <a:extLst>
            <a:ext uri="{FF2B5EF4-FFF2-40B4-BE49-F238E27FC236}">
              <a16:creationId xmlns:a16="http://schemas.microsoft.com/office/drawing/2014/main" id="{00000000-0008-0000-0100-000009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241149" cy="339770"/>
    <xdr:sp macro="" textlink="">
      <xdr:nvSpPr>
        <xdr:cNvPr id="2570" name="Text Box 14">
          <a:extLst>
            <a:ext uri="{FF2B5EF4-FFF2-40B4-BE49-F238E27FC236}">
              <a16:creationId xmlns:a16="http://schemas.microsoft.com/office/drawing/2014/main" id="{00000000-0008-0000-0100-00000A0A0000}"/>
            </a:ext>
          </a:extLst>
        </xdr:cNvPr>
        <xdr:cNvSpPr txBox="1">
          <a:spLocks noChangeArrowheads="1"/>
        </xdr:cNvSpPr>
      </xdr:nvSpPr>
      <xdr:spPr bwMode="auto">
        <a:xfrm>
          <a:off x="3901109" y="36261260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71" name="Text Box 15">
          <a:extLst>
            <a:ext uri="{FF2B5EF4-FFF2-40B4-BE49-F238E27FC236}">
              <a16:creationId xmlns:a16="http://schemas.microsoft.com/office/drawing/2014/main" id="{00000000-0008-0000-0100-00000B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56668"/>
    <xdr:sp macro="" textlink="">
      <xdr:nvSpPr>
        <xdr:cNvPr id="2572" name="Text Box 16">
          <a:extLst>
            <a:ext uri="{FF2B5EF4-FFF2-40B4-BE49-F238E27FC236}">
              <a16:creationId xmlns:a16="http://schemas.microsoft.com/office/drawing/2014/main" id="{00000000-0008-0000-0100-00000C0A0000}"/>
            </a:ext>
          </a:extLst>
        </xdr:cNvPr>
        <xdr:cNvSpPr txBox="1">
          <a:spLocks noChangeArrowheads="1"/>
        </xdr:cNvSpPr>
      </xdr:nvSpPr>
      <xdr:spPr bwMode="auto">
        <a:xfrm>
          <a:off x="3901109" y="362612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56668"/>
    <xdr:sp macro="" textlink="">
      <xdr:nvSpPr>
        <xdr:cNvPr id="2573" name="Text Box 17">
          <a:extLst>
            <a:ext uri="{FF2B5EF4-FFF2-40B4-BE49-F238E27FC236}">
              <a16:creationId xmlns:a16="http://schemas.microsoft.com/office/drawing/2014/main" id="{00000000-0008-0000-0100-00000D0A0000}"/>
            </a:ext>
          </a:extLst>
        </xdr:cNvPr>
        <xdr:cNvSpPr txBox="1">
          <a:spLocks noChangeArrowheads="1"/>
        </xdr:cNvSpPr>
      </xdr:nvSpPr>
      <xdr:spPr bwMode="auto">
        <a:xfrm>
          <a:off x="3901109" y="362612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56668"/>
    <xdr:sp macro="" textlink="">
      <xdr:nvSpPr>
        <xdr:cNvPr id="2574" name="Text Box 18">
          <a:extLst>
            <a:ext uri="{FF2B5EF4-FFF2-40B4-BE49-F238E27FC236}">
              <a16:creationId xmlns:a16="http://schemas.microsoft.com/office/drawing/2014/main" id="{00000000-0008-0000-0100-00000E0A0000}"/>
            </a:ext>
          </a:extLst>
        </xdr:cNvPr>
        <xdr:cNvSpPr txBox="1">
          <a:spLocks noChangeArrowheads="1"/>
        </xdr:cNvSpPr>
      </xdr:nvSpPr>
      <xdr:spPr bwMode="auto">
        <a:xfrm>
          <a:off x="3901109" y="362612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56668"/>
    <xdr:sp macro="" textlink="">
      <xdr:nvSpPr>
        <xdr:cNvPr id="2575" name="Text Box 19">
          <a:extLst>
            <a:ext uri="{FF2B5EF4-FFF2-40B4-BE49-F238E27FC236}">
              <a16:creationId xmlns:a16="http://schemas.microsoft.com/office/drawing/2014/main" id="{00000000-0008-0000-0100-00000F0A0000}"/>
            </a:ext>
          </a:extLst>
        </xdr:cNvPr>
        <xdr:cNvSpPr txBox="1">
          <a:spLocks noChangeArrowheads="1"/>
        </xdr:cNvSpPr>
      </xdr:nvSpPr>
      <xdr:spPr bwMode="auto">
        <a:xfrm>
          <a:off x="3901109" y="362612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56668"/>
    <xdr:sp macro="" textlink="">
      <xdr:nvSpPr>
        <xdr:cNvPr id="2576" name="Text Box 20">
          <a:extLst>
            <a:ext uri="{FF2B5EF4-FFF2-40B4-BE49-F238E27FC236}">
              <a16:creationId xmlns:a16="http://schemas.microsoft.com/office/drawing/2014/main" id="{00000000-0008-0000-0100-0000100A0000}"/>
            </a:ext>
          </a:extLst>
        </xdr:cNvPr>
        <xdr:cNvSpPr txBox="1">
          <a:spLocks noChangeArrowheads="1"/>
        </xdr:cNvSpPr>
      </xdr:nvSpPr>
      <xdr:spPr bwMode="auto">
        <a:xfrm>
          <a:off x="3901109" y="362612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56668"/>
    <xdr:sp macro="" textlink="">
      <xdr:nvSpPr>
        <xdr:cNvPr id="2577" name="Text Box 21">
          <a:extLst>
            <a:ext uri="{FF2B5EF4-FFF2-40B4-BE49-F238E27FC236}">
              <a16:creationId xmlns:a16="http://schemas.microsoft.com/office/drawing/2014/main" id="{00000000-0008-0000-0100-0000110A0000}"/>
            </a:ext>
          </a:extLst>
        </xdr:cNvPr>
        <xdr:cNvSpPr txBox="1">
          <a:spLocks noChangeArrowheads="1"/>
        </xdr:cNvSpPr>
      </xdr:nvSpPr>
      <xdr:spPr bwMode="auto">
        <a:xfrm>
          <a:off x="3901109" y="3626126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68827"/>
    <xdr:sp macro="" textlink="">
      <xdr:nvSpPr>
        <xdr:cNvPr id="2578" name="Text Box 22">
          <a:extLst>
            <a:ext uri="{FF2B5EF4-FFF2-40B4-BE49-F238E27FC236}">
              <a16:creationId xmlns:a16="http://schemas.microsoft.com/office/drawing/2014/main" id="{00000000-0008-0000-0100-0000120A0000}"/>
            </a:ext>
          </a:extLst>
        </xdr:cNvPr>
        <xdr:cNvSpPr txBox="1">
          <a:spLocks noChangeArrowheads="1"/>
        </xdr:cNvSpPr>
      </xdr:nvSpPr>
      <xdr:spPr bwMode="auto">
        <a:xfrm>
          <a:off x="3901109" y="3626126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79" name="Text Box 7">
          <a:extLst>
            <a:ext uri="{FF2B5EF4-FFF2-40B4-BE49-F238E27FC236}">
              <a16:creationId xmlns:a16="http://schemas.microsoft.com/office/drawing/2014/main" id="{00000000-0008-0000-0100-000013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80" name="Text Box 8">
          <a:extLst>
            <a:ext uri="{FF2B5EF4-FFF2-40B4-BE49-F238E27FC236}">
              <a16:creationId xmlns:a16="http://schemas.microsoft.com/office/drawing/2014/main" id="{00000000-0008-0000-0100-000014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81" name="Text Box 9">
          <a:extLst>
            <a:ext uri="{FF2B5EF4-FFF2-40B4-BE49-F238E27FC236}">
              <a16:creationId xmlns:a16="http://schemas.microsoft.com/office/drawing/2014/main" id="{00000000-0008-0000-0100-000015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82" name="Text Box 10">
          <a:extLst>
            <a:ext uri="{FF2B5EF4-FFF2-40B4-BE49-F238E27FC236}">
              <a16:creationId xmlns:a16="http://schemas.microsoft.com/office/drawing/2014/main" id="{00000000-0008-0000-0100-000016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83" name="Text Box 11">
          <a:extLst>
            <a:ext uri="{FF2B5EF4-FFF2-40B4-BE49-F238E27FC236}">
              <a16:creationId xmlns:a16="http://schemas.microsoft.com/office/drawing/2014/main" id="{00000000-0008-0000-0100-000017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84" name="Text Box 12">
          <a:extLst>
            <a:ext uri="{FF2B5EF4-FFF2-40B4-BE49-F238E27FC236}">
              <a16:creationId xmlns:a16="http://schemas.microsoft.com/office/drawing/2014/main" id="{00000000-0008-0000-0100-000018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85" name="Text Box 13">
          <a:extLst>
            <a:ext uri="{FF2B5EF4-FFF2-40B4-BE49-F238E27FC236}">
              <a16:creationId xmlns:a16="http://schemas.microsoft.com/office/drawing/2014/main" id="{00000000-0008-0000-0100-000019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241149" cy="339770"/>
    <xdr:sp macro="" textlink="">
      <xdr:nvSpPr>
        <xdr:cNvPr id="2586" name="Text Box 14">
          <a:extLst>
            <a:ext uri="{FF2B5EF4-FFF2-40B4-BE49-F238E27FC236}">
              <a16:creationId xmlns:a16="http://schemas.microsoft.com/office/drawing/2014/main" id="{00000000-0008-0000-0100-00001A0A0000}"/>
            </a:ext>
          </a:extLst>
        </xdr:cNvPr>
        <xdr:cNvSpPr txBox="1">
          <a:spLocks noChangeArrowheads="1"/>
        </xdr:cNvSpPr>
      </xdr:nvSpPr>
      <xdr:spPr bwMode="auto">
        <a:xfrm>
          <a:off x="3901109" y="36261260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339770"/>
    <xdr:sp macro="" textlink="">
      <xdr:nvSpPr>
        <xdr:cNvPr id="2587" name="Text Box 15">
          <a:extLst>
            <a:ext uri="{FF2B5EF4-FFF2-40B4-BE49-F238E27FC236}">
              <a16:creationId xmlns:a16="http://schemas.microsoft.com/office/drawing/2014/main" id="{00000000-0008-0000-0100-00001B0A0000}"/>
            </a:ext>
          </a:extLst>
        </xdr:cNvPr>
        <xdr:cNvSpPr txBox="1">
          <a:spLocks noChangeArrowheads="1"/>
        </xdr:cNvSpPr>
      </xdr:nvSpPr>
      <xdr:spPr bwMode="auto">
        <a:xfrm>
          <a:off x="3901109" y="3626126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88" name="Text Box 5">
          <a:extLst>
            <a:ext uri="{FF2B5EF4-FFF2-40B4-BE49-F238E27FC236}">
              <a16:creationId xmlns:a16="http://schemas.microsoft.com/office/drawing/2014/main" id="{00000000-0008-0000-0100-00001C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32388"/>
    <xdr:sp macro="" textlink="">
      <xdr:nvSpPr>
        <xdr:cNvPr id="2589" name="Text Box 6">
          <a:extLst>
            <a:ext uri="{FF2B5EF4-FFF2-40B4-BE49-F238E27FC236}">
              <a16:creationId xmlns:a16="http://schemas.microsoft.com/office/drawing/2014/main" id="{00000000-0008-0000-0100-00001D0A0000}"/>
            </a:ext>
          </a:extLst>
        </xdr:cNvPr>
        <xdr:cNvSpPr txBox="1">
          <a:spLocks noChangeArrowheads="1"/>
        </xdr:cNvSpPr>
      </xdr:nvSpPr>
      <xdr:spPr bwMode="auto">
        <a:xfrm>
          <a:off x="3901109" y="362612609"/>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0" name="Text Box 7">
          <a:extLst>
            <a:ext uri="{FF2B5EF4-FFF2-40B4-BE49-F238E27FC236}">
              <a16:creationId xmlns:a16="http://schemas.microsoft.com/office/drawing/2014/main" id="{00000000-0008-0000-0100-00001E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1" name="Text Box 8">
          <a:extLst>
            <a:ext uri="{FF2B5EF4-FFF2-40B4-BE49-F238E27FC236}">
              <a16:creationId xmlns:a16="http://schemas.microsoft.com/office/drawing/2014/main" id="{00000000-0008-0000-0100-00001F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2" name="Text Box 9">
          <a:extLst>
            <a:ext uri="{FF2B5EF4-FFF2-40B4-BE49-F238E27FC236}">
              <a16:creationId xmlns:a16="http://schemas.microsoft.com/office/drawing/2014/main" id="{00000000-0008-0000-0100-000020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3" name="Text Box 10">
          <a:extLst>
            <a:ext uri="{FF2B5EF4-FFF2-40B4-BE49-F238E27FC236}">
              <a16:creationId xmlns:a16="http://schemas.microsoft.com/office/drawing/2014/main" id="{00000000-0008-0000-0100-000021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4" name="Text Box 11">
          <a:extLst>
            <a:ext uri="{FF2B5EF4-FFF2-40B4-BE49-F238E27FC236}">
              <a16:creationId xmlns:a16="http://schemas.microsoft.com/office/drawing/2014/main" id="{00000000-0008-0000-0100-000022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5" name="Text Box 12">
          <a:extLst>
            <a:ext uri="{FF2B5EF4-FFF2-40B4-BE49-F238E27FC236}">
              <a16:creationId xmlns:a16="http://schemas.microsoft.com/office/drawing/2014/main" id="{00000000-0008-0000-0100-000023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6" name="Text Box 13">
          <a:extLst>
            <a:ext uri="{FF2B5EF4-FFF2-40B4-BE49-F238E27FC236}">
              <a16:creationId xmlns:a16="http://schemas.microsoft.com/office/drawing/2014/main" id="{00000000-0008-0000-0100-000024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241149" cy="2151438"/>
    <xdr:sp macro="" textlink="">
      <xdr:nvSpPr>
        <xdr:cNvPr id="2597" name="Text Box 14">
          <a:extLst>
            <a:ext uri="{FF2B5EF4-FFF2-40B4-BE49-F238E27FC236}">
              <a16:creationId xmlns:a16="http://schemas.microsoft.com/office/drawing/2014/main" id="{00000000-0008-0000-0100-0000250A0000}"/>
            </a:ext>
          </a:extLst>
        </xdr:cNvPr>
        <xdr:cNvSpPr txBox="1">
          <a:spLocks noChangeArrowheads="1"/>
        </xdr:cNvSpPr>
      </xdr:nvSpPr>
      <xdr:spPr bwMode="auto">
        <a:xfrm>
          <a:off x="3901109" y="362612609"/>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8" name="Text Box 15">
          <a:extLst>
            <a:ext uri="{FF2B5EF4-FFF2-40B4-BE49-F238E27FC236}">
              <a16:creationId xmlns:a16="http://schemas.microsoft.com/office/drawing/2014/main" id="{00000000-0008-0000-0100-000026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599" name="Text Box 16">
          <a:extLst>
            <a:ext uri="{FF2B5EF4-FFF2-40B4-BE49-F238E27FC236}">
              <a16:creationId xmlns:a16="http://schemas.microsoft.com/office/drawing/2014/main" id="{00000000-0008-0000-0100-000027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0" name="Text Box 17">
          <a:extLst>
            <a:ext uri="{FF2B5EF4-FFF2-40B4-BE49-F238E27FC236}">
              <a16:creationId xmlns:a16="http://schemas.microsoft.com/office/drawing/2014/main" id="{00000000-0008-0000-0100-000028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1" name="Text Box 18">
          <a:extLst>
            <a:ext uri="{FF2B5EF4-FFF2-40B4-BE49-F238E27FC236}">
              <a16:creationId xmlns:a16="http://schemas.microsoft.com/office/drawing/2014/main" id="{00000000-0008-0000-0100-000029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2" name="Text Box 19">
          <a:extLst>
            <a:ext uri="{FF2B5EF4-FFF2-40B4-BE49-F238E27FC236}">
              <a16:creationId xmlns:a16="http://schemas.microsoft.com/office/drawing/2014/main" id="{00000000-0008-0000-0100-00002A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3" name="Text Box 20">
          <a:extLst>
            <a:ext uri="{FF2B5EF4-FFF2-40B4-BE49-F238E27FC236}">
              <a16:creationId xmlns:a16="http://schemas.microsoft.com/office/drawing/2014/main" id="{00000000-0008-0000-0100-00002B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4" name="Text Box 21">
          <a:extLst>
            <a:ext uri="{FF2B5EF4-FFF2-40B4-BE49-F238E27FC236}">
              <a16:creationId xmlns:a16="http://schemas.microsoft.com/office/drawing/2014/main" id="{00000000-0008-0000-0100-00002C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32388"/>
    <xdr:sp macro="" textlink="">
      <xdr:nvSpPr>
        <xdr:cNvPr id="2605" name="Text Box 22">
          <a:extLst>
            <a:ext uri="{FF2B5EF4-FFF2-40B4-BE49-F238E27FC236}">
              <a16:creationId xmlns:a16="http://schemas.microsoft.com/office/drawing/2014/main" id="{00000000-0008-0000-0100-00002D0A0000}"/>
            </a:ext>
          </a:extLst>
        </xdr:cNvPr>
        <xdr:cNvSpPr txBox="1">
          <a:spLocks noChangeArrowheads="1"/>
        </xdr:cNvSpPr>
      </xdr:nvSpPr>
      <xdr:spPr bwMode="auto">
        <a:xfrm>
          <a:off x="3901109" y="362612609"/>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6" name="Text Box 7">
          <a:extLst>
            <a:ext uri="{FF2B5EF4-FFF2-40B4-BE49-F238E27FC236}">
              <a16:creationId xmlns:a16="http://schemas.microsoft.com/office/drawing/2014/main" id="{00000000-0008-0000-0100-00002E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7" name="Text Box 8">
          <a:extLst>
            <a:ext uri="{FF2B5EF4-FFF2-40B4-BE49-F238E27FC236}">
              <a16:creationId xmlns:a16="http://schemas.microsoft.com/office/drawing/2014/main" id="{00000000-0008-0000-0100-00002F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8" name="Text Box 9">
          <a:extLst>
            <a:ext uri="{FF2B5EF4-FFF2-40B4-BE49-F238E27FC236}">
              <a16:creationId xmlns:a16="http://schemas.microsoft.com/office/drawing/2014/main" id="{00000000-0008-0000-0100-000030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09" name="Text Box 10">
          <a:extLst>
            <a:ext uri="{FF2B5EF4-FFF2-40B4-BE49-F238E27FC236}">
              <a16:creationId xmlns:a16="http://schemas.microsoft.com/office/drawing/2014/main" id="{00000000-0008-0000-0100-000031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10" name="Text Box 11">
          <a:extLst>
            <a:ext uri="{FF2B5EF4-FFF2-40B4-BE49-F238E27FC236}">
              <a16:creationId xmlns:a16="http://schemas.microsoft.com/office/drawing/2014/main" id="{00000000-0008-0000-0100-000032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11" name="Text Box 12">
          <a:extLst>
            <a:ext uri="{FF2B5EF4-FFF2-40B4-BE49-F238E27FC236}">
              <a16:creationId xmlns:a16="http://schemas.microsoft.com/office/drawing/2014/main" id="{00000000-0008-0000-0100-000033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2151438"/>
    <xdr:sp macro="" textlink="">
      <xdr:nvSpPr>
        <xdr:cNvPr id="2612" name="Text Box 13">
          <a:extLst>
            <a:ext uri="{FF2B5EF4-FFF2-40B4-BE49-F238E27FC236}">
              <a16:creationId xmlns:a16="http://schemas.microsoft.com/office/drawing/2014/main" id="{00000000-0008-0000-0100-0000340A0000}"/>
            </a:ext>
          </a:extLst>
        </xdr:cNvPr>
        <xdr:cNvSpPr txBox="1">
          <a:spLocks noChangeArrowheads="1"/>
        </xdr:cNvSpPr>
      </xdr:nvSpPr>
      <xdr:spPr bwMode="auto">
        <a:xfrm>
          <a:off x="3901109" y="362612609"/>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241149" cy="2151438"/>
    <xdr:sp macro="" textlink="">
      <xdr:nvSpPr>
        <xdr:cNvPr id="2613" name="Text Box 14">
          <a:extLst>
            <a:ext uri="{FF2B5EF4-FFF2-40B4-BE49-F238E27FC236}">
              <a16:creationId xmlns:a16="http://schemas.microsoft.com/office/drawing/2014/main" id="{00000000-0008-0000-0100-0000350A0000}"/>
            </a:ext>
          </a:extLst>
        </xdr:cNvPr>
        <xdr:cNvSpPr txBox="1">
          <a:spLocks noChangeArrowheads="1"/>
        </xdr:cNvSpPr>
      </xdr:nvSpPr>
      <xdr:spPr bwMode="auto">
        <a:xfrm>
          <a:off x="3901109" y="362612609"/>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061194"/>
    <xdr:sp macro="" textlink="">
      <xdr:nvSpPr>
        <xdr:cNvPr id="2614" name="Text Box 5">
          <a:extLst>
            <a:ext uri="{FF2B5EF4-FFF2-40B4-BE49-F238E27FC236}">
              <a16:creationId xmlns:a16="http://schemas.microsoft.com/office/drawing/2014/main" id="{00000000-0008-0000-0100-0000360A0000}"/>
            </a:ext>
          </a:extLst>
        </xdr:cNvPr>
        <xdr:cNvSpPr txBox="1">
          <a:spLocks noChangeArrowheads="1"/>
        </xdr:cNvSpPr>
      </xdr:nvSpPr>
      <xdr:spPr bwMode="auto">
        <a:xfrm>
          <a:off x="3901109" y="3626126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061194"/>
    <xdr:sp macro="" textlink="">
      <xdr:nvSpPr>
        <xdr:cNvPr id="2615" name="Text Box 6">
          <a:extLst>
            <a:ext uri="{FF2B5EF4-FFF2-40B4-BE49-F238E27FC236}">
              <a16:creationId xmlns:a16="http://schemas.microsoft.com/office/drawing/2014/main" id="{00000000-0008-0000-0100-0000370A0000}"/>
            </a:ext>
          </a:extLst>
        </xdr:cNvPr>
        <xdr:cNvSpPr txBox="1">
          <a:spLocks noChangeArrowheads="1"/>
        </xdr:cNvSpPr>
      </xdr:nvSpPr>
      <xdr:spPr bwMode="auto">
        <a:xfrm>
          <a:off x="3901109" y="3626126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061194"/>
    <xdr:sp macro="" textlink="">
      <xdr:nvSpPr>
        <xdr:cNvPr id="2616" name="Text Box 7">
          <a:extLst>
            <a:ext uri="{FF2B5EF4-FFF2-40B4-BE49-F238E27FC236}">
              <a16:creationId xmlns:a16="http://schemas.microsoft.com/office/drawing/2014/main" id="{00000000-0008-0000-0100-0000380A0000}"/>
            </a:ext>
          </a:extLst>
        </xdr:cNvPr>
        <xdr:cNvSpPr txBox="1">
          <a:spLocks noChangeArrowheads="1"/>
        </xdr:cNvSpPr>
      </xdr:nvSpPr>
      <xdr:spPr bwMode="auto">
        <a:xfrm>
          <a:off x="3901109" y="3626126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061194"/>
    <xdr:sp macro="" textlink="">
      <xdr:nvSpPr>
        <xdr:cNvPr id="2617" name="Text Box 8">
          <a:extLst>
            <a:ext uri="{FF2B5EF4-FFF2-40B4-BE49-F238E27FC236}">
              <a16:creationId xmlns:a16="http://schemas.microsoft.com/office/drawing/2014/main" id="{00000000-0008-0000-0100-0000390A0000}"/>
            </a:ext>
          </a:extLst>
        </xdr:cNvPr>
        <xdr:cNvSpPr txBox="1">
          <a:spLocks noChangeArrowheads="1"/>
        </xdr:cNvSpPr>
      </xdr:nvSpPr>
      <xdr:spPr bwMode="auto">
        <a:xfrm>
          <a:off x="3901109" y="3626126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061194"/>
    <xdr:sp macro="" textlink="">
      <xdr:nvSpPr>
        <xdr:cNvPr id="2618" name="Text Box 9">
          <a:extLst>
            <a:ext uri="{FF2B5EF4-FFF2-40B4-BE49-F238E27FC236}">
              <a16:creationId xmlns:a16="http://schemas.microsoft.com/office/drawing/2014/main" id="{00000000-0008-0000-0100-00003A0A0000}"/>
            </a:ext>
          </a:extLst>
        </xdr:cNvPr>
        <xdr:cNvSpPr txBox="1">
          <a:spLocks noChangeArrowheads="1"/>
        </xdr:cNvSpPr>
      </xdr:nvSpPr>
      <xdr:spPr bwMode="auto">
        <a:xfrm>
          <a:off x="3901109" y="3626126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061194"/>
    <xdr:sp macro="" textlink="">
      <xdr:nvSpPr>
        <xdr:cNvPr id="2619" name="Text Box 10">
          <a:extLst>
            <a:ext uri="{FF2B5EF4-FFF2-40B4-BE49-F238E27FC236}">
              <a16:creationId xmlns:a16="http://schemas.microsoft.com/office/drawing/2014/main" id="{00000000-0008-0000-0100-00003B0A0000}"/>
            </a:ext>
          </a:extLst>
        </xdr:cNvPr>
        <xdr:cNvSpPr txBox="1">
          <a:spLocks noChangeArrowheads="1"/>
        </xdr:cNvSpPr>
      </xdr:nvSpPr>
      <xdr:spPr bwMode="auto">
        <a:xfrm>
          <a:off x="3901109" y="3626126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061194"/>
    <xdr:sp macro="" textlink="">
      <xdr:nvSpPr>
        <xdr:cNvPr id="2620" name="Text Box 11">
          <a:extLst>
            <a:ext uri="{FF2B5EF4-FFF2-40B4-BE49-F238E27FC236}">
              <a16:creationId xmlns:a16="http://schemas.microsoft.com/office/drawing/2014/main" id="{00000000-0008-0000-0100-00003C0A0000}"/>
            </a:ext>
          </a:extLst>
        </xdr:cNvPr>
        <xdr:cNvSpPr txBox="1">
          <a:spLocks noChangeArrowheads="1"/>
        </xdr:cNvSpPr>
      </xdr:nvSpPr>
      <xdr:spPr bwMode="auto">
        <a:xfrm>
          <a:off x="3901109" y="3626126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117324" cy="1061194"/>
    <xdr:sp macro="" textlink="">
      <xdr:nvSpPr>
        <xdr:cNvPr id="2621" name="Text Box 12">
          <a:extLst>
            <a:ext uri="{FF2B5EF4-FFF2-40B4-BE49-F238E27FC236}">
              <a16:creationId xmlns:a16="http://schemas.microsoft.com/office/drawing/2014/main" id="{00000000-0008-0000-0100-00003D0A0000}"/>
            </a:ext>
          </a:extLst>
        </xdr:cNvPr>
        <xdr:cNvSpPr txBox="1">
          <a:spLocks noChangeArrowheads="1"/>
        </xdr:cNvSpPr>
      </xdr:nvSpPr>
      <xdr:spPr bwMode="auto">
        <a:xfrm>
          <a:off x="3901109" y="3626126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04775" cy="0"/>
    <xdr:sp macro="" textlink="">
      <xdr:nvSpPr>
        <xdr:cNvPr id="2622" name="Text Box 1">
          <a:extLst>
            <a:ext uri="{FF2B5EF4-FFF2-40B4-BE49-F238E27FC236}">
              <a16:creationId xmlns:a16="http://schemas.microsoft.com/office/drawing/2014/main" id="{00000000-0008-0000-0100-00003E0A0000}"/>
            </a:ext>
          </a:extLst>
        </xdr:cNvPr>
        <xdr:cNvSpPr txBox="1">
          <a:spLocks noChangeArrowheads="1"/>
        </xdr:cNvSpPr>
      </xdr:nvSpPr>
      <xdr:spPr bwMode="auto">
        <a:xfrm>
          <a:off x="4580283" y="362612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04775" cy="0"/>
    <xdr:sp macro="" textlink="">
      <xdr:nvSpPr>
        <xdr:cNvPr id="2623" name="Text Box 1">
          <a:extLst>
            <a:ext uri="{FF2B5EF4-FFF2-40B4-BE49-F238E27FC236}">
              <a16:creationId xmlns:a16="http://schemas.microsoft.com/office/drawing/2014/main" id="{00000000-0008-0000-0100-00003F0A0000}"/>
            </a:ext>
          </a:extLst>
        </xdr:cNvPr>
        <xdr:cNvSpPr txBox="1">
          <a:spLocks noChangeArrowheads="1"/>
        </xdr:cNvSpPr>
      </xdr:nvSpPr>
      <xdr:spPr bwMode="auto">
        <a:xfrm>
          <a:off x="4580283" y="362612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04775" cy="0"/>
    <xdr:sp macro="" textlink="">
      <xdr:nvSpPr>
        <xdr:cNvPr id="2624" name="Text Box 1">
          <a:extLst>
            <a:ext uri="{FF2B5EF4-FFF2-40B4-BE49-F238E27FC236}">
              <a16:creationId xmlns:a16="http://schemas.microsoft.com/office/drawing/2014/main" id="{00000000-0008-0000-0100-0000400A0000}"/>
            </a:ext>
          </a:extLst>
        </xdr:cNvPr>
        <xdr:cNvSpPr txBox="1">
          <a:spLocks noChangeArrowheads="1"/>
        </xdr:cNvSpPr>
      </xdr:nvSpPr>
      <xdr:spPr bwMode="auto">
        <a:xfrm>
          <a:off x="4580283" y="362612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718</xdr:row>
      <xdr:rowOff>0</xdr:rowOff>
    </xdr:from>
    <xdr:ext cx="104775" cy="0"/>
    <xdr:sp macro="" textlink="">
      <xdr:nvSpPr>
        <xdr:cNvPr id="2625" name="Text Box 1">
          <a:extLst>
            <a:ext uri="{FF2B5EF4-FFF2-40B4-BE49-F238E27FC236}">
              <a16:creationId xmlns:a16="http://schemas.microsoft.com/office/drawing/2014/main" id="{00000000-0008-0000-0100-0000410A0000}"/>
            </a:ext>
          </a:extLst>
        </xdr:cNvPr>
        <xdr:cNvSpPr txBox="1">
          <a:spLocks noChangeArrowheads="1"/>
        </xdr:cNvSpPr>
      </xdr:nvSpPr>
      <xdr:spPr bwMode="auto">
        <a:xfrm>
          <a:off x="4580283" y="362612609"/>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26" name="Text Box 5">
          <a:extLst>
            <a:ext uri="{FF2B5EF4-FFF2-40B4-BE49-F238E27FC236}">
              <a16:creationId xmlns:a16="http://schemas.microsoft.com/office/drawing/2014/main" id="{00000000-0008-0000-0100-0000420A0000}"/>
            </a:ext>
          </a:extLst>
        </xdr:cNvPr>
        <xdr:cNvSpPr txBox="1">
          <a:spLocks noChangeArrowheads="1"/>
        </xdr:cNvSpPr>
      </xdr:nvSpPr>
      <xdr:spPr bwMode="auto">
        <a:xfrm>
          <a:off x="3901109" y="373346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627" name="Text Box 6">
          <a:extLst>
            <a:ext uri="{FF2B5EF4-FFF2-40B4-BE49-F238E27FC236}">
              <a16:creationId xmlns:a16="http://schemas.microsoft.com/office/drawing/2014/main" id="{00000000-0008-0000-0100-0000430A0000}"/>
            </a:ext>
          </a:extLst>
        </xdr:cNvPr>
        <xdr:cNvSpPr txBox="1">
          <a:spLocks noChangeArrowheads="1"/>
        </xdr:cNvSpPr>
      </xdr:nvSpPr>
      <xdr:spPr bwMode="auto">
        <a:xfrm>
          <a:off x="3901109" y="37334687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28" name="Text Box 16">
          <a:extLst>
            <a:ext uri="{FF2B5EF4-FFF2-40B4-BE49-F238E27FC236}">
              <a16:creationId xmlns:a16="http://schemas.microsoft.com/office/drawing/2014/main" id="{00000000-0008-0000-0100-0000440A0000}"/>
            </a:ext>
          </a:extLst>
        </xdr:cNvPr>
        <xdr:cNvSpPr txBox="1">
          <a:spLocks noChangeArrowheads="1"/>
        </xdr:cNvSpPr>
      </xdr:nvSpPr>
      <xdr:spPr bwMode="auto">
        <a:xfrm>
          <a:off x="3901109" y="373346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29" name="Text Box 17">
          <a:extLst>
            <a:ext uri="{FF2B5EF4-FFF2-40B4-BE49-F238E27FC236}">
              <a16:creationId xmlns:a16="http://schemas.microsoft.com/office/drawing/2014/main" id="{00000000-0008-0000-0100-0000450A0000}"/>
            </a:ext>
          </a:extLst>
        </xdr:cNvPr>
        <xdr:cNvSpPr txBox="1">
          <a:spLocks noChangeArrowheads="1"/>
        </xdr:cNvSpPr>
      </xdr:nvSpPr>
      <xdr:spPr bwMode="auto">
        <a:xfrm>
          <a:off x="3901109" y="373346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30" name="Text Box 18">
          <a:extLst>
            <a:ext uri="{FF2B5EF4-FFF2-40B4-BE49-F238E27FC236}">
              <a16:creationId xmlns:a16="http://schemas.microsoft.com/office/drawing/2014/main" id="{00000000-0008-0000-0100-0000460A0000}"/>
            </a:ext>
          </a:extLst>
        </xdr:cNvPr>
        <xdr:cNvSpPr txBox="1">
          <a:spLocks noChangeArrowheads="1"/>
        </xdr:cNvSpPr>
      </xdr:nvSpPr>
      <xdr:spPr bwMode="auto">
        <a:xfrm>
          <a:off x="3901109" y="373346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31" name="Text Box 19">
          <a:extLst>
            <a:ext uri="{FF2B5EF4-FFF2-40B4-BE49-F238E27FC236}">
              <a16:creationId xmlns:a16="http://schemas.microsoft.com/office/drawing/2014/main" id="{00000000-0008-0000-0100-0000470A0000}"/>
            </a:ext>
          </a:extLst>
        </xdr:cNvPr>
        <xdr:cNvSpPr txBox="1">
          <a:spLocks noChangeArrowheads="1"/>
        </xdr:cNvSpPr>
      </xdr:nvSpPr>
      <xdr:spPr bwMode="auto">
        <a:xfrm>
          <a:off x="3901109" y="373346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32" name="Text Box 20">
          <a:extLst>
            <a:ext uri="{FF2B5EF4-FFF2-40B4-BE49-F238E27FC236}">
              <a16:creationId xmlns:a16="http://schemas.microsoft.com/office/drawing/2014/main" id="{00000000-0008-0000-0100-0000480A0000}"/>
            </a:ext>
          </a:extLst>
        </xdr:cNvPr>
        <xdr:cNvSpPr txBox="1">
          <a:spLocks noChangeArrowheads="1"/>
        </xdr:cNvSpPr>
      </xdr:nvSpPr>
      <xdr:spPr bwMode="auto">
        <a:xfrm>
          <a:off x="3901109" y="373346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33" name="Text Box 21">
          <a:extLst>
            <a:ext uri="{FF2B5EF4-FFF2-40B4-BE49-F238E27FC236}">
              <a16:creationId xmlns:a16="http://schemas.microsoft.com/office/drawing/2014/main" id="{00000000-0008-0000-0100-0000490A0000}"/>
            </a:ext>
          </a:extLst>
        </xdr:cNvPr>
        <xdr:cNvSpPr txBox="1">
          <a:spLocks noChangeArrowheads="1"/>
        </xdr:cNvSpPr>
      </xdr:nvSpPr>
      <xdr:spPr bwMode="auto">
        <a:xfrm>
          <a:off x="3901109" y="37334687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634" name="Text Box 22">
          <a:extLst>
            <a:ext uri="{FF2B5EF4-FFF2-40B4-BE49-F238E27FC236}">
              <a16:creationId xmlns:a16="http://schemas.microsoft.com/office/drawing/2014/main" id="{00000000-0008-0000-0100-00004A0A0000}"/>
            </a:ext>
          </a:extLst>
        </xdr:cNvPr>
        <xdr:cNvSpPr txBox="1">
          <a:spLocks noChangeArrowheads="1"/>
        </xdr:cNvSpPr>
      </xdr:nvSpPr>
      <xdr:spPr bwMode="auto">
        <a:xfrm>
          <a:off x="3901109" y="37334687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635" name="Text Box 1">
          <a:extLst>
            <a:ext uri="{FF2B5EF4-FFF2-40B4-BE49-F238E27FC236}">
              <a16:creationId xmlns:a16="http://schemas.microsoft.com/office/drawing/2014/main" id="{00000000-0008-0000-0100-00004B0A0000}"/>
            </a:ext>
          </a:extLst>
        </xdr:cNvPr>
        <xdr:cNvSpPr txBox="1">
          <a:spLocks noChangeArrowheads="1"/>
        </xdr:cNvSpPr>
      </xdr:nvSpPr>
      <xdr:spPr bwMode="auto">
        <a:xfrm>
          <a:off x="4580283" y="3733468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636" name="Text Box 1">
          <a:extLst>
            <a:ext uri="{FF2B5EF4-FFF2-40B4-BE49-F238E27FC236}">
              <a16:creationId xmlns:a16="http://schemas.microsoft.com/office/drawing/2014/main" id="{00000000-0008-0000-0100-00004C0A0000}"/>
            </a:ext>
          </a:extLst>
        </xdr:cNvPr>
        <xdr:cNvSpPr txBox="1">
          <a:spLocks noChangeArrowheads="1"/>
        </xdr:cNvSpPr>
      </xdr:nvSpPr>
      <xdr:spPr bwMode="auto">
        <a:xfrm>
          <a:off x="4580283" y="3733468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637" name="Text Box 1">
          <a:extLst>
            <a:ext uri="{FF2B5EF4-FFF2-40B4-BE49-F238E27FC236}">
              <a16:creationId xmlns:a16="http://schemas.microsoft.com/office/drawing/2014/main" id="{00000000-0008-0000-0100-00004D0A0000}"/>
            </a:ext>
          </a:extLst>
        </xdr:cNvPr>
        <xdr:cNvSpPr txBox="1">
          <a:spLocks noChangeArrowheads="1"/>
        </xdr:cNvSpPr>
      </xdr:nvSpPr>
      <xdr:spPr bwMode="auto">
        <a:xfrm>
          <a:off x="4580283" y="3733468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638" name="Text Box 1">
          <a:extLst>
            <a:ext uri="{FF2B5EF4-FFF2-40B4-BE49-F238E27FC236}">
              <a16:creationId xmlns:a16="http://schemas.microsoft.com/office/drawing/2014/main" id="{00000000-0008-0000-0100-00004E0A0000}"/>
            </a:ext>
          </a:extLst>
        </xdr:cNvPr>
        <xdr:cNvSpPr txBox="1">
          <a:spLocks noChangeArrowheads="1"/>
        </xdr:cNvSpPr>
      </xdr:nvSpPr>
      <xdr:spPr bwMode="auto">
        <a:xfrm>
          <a:off x="4580283" y="37334687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39" name="Text Box 5">
          <a:extLst>
            <a:ext uri="{FF2B5EF4-FFF2-40B4-BE49-F238E27FC236}">
              <a16:creationId xmlns:a16="http://schemas.microsoft.com/office/drawing/2014/main" id="{00000000-0008-0000-0100-00004F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0" name="Text Box 6">
          <a:extLst>
            <a:ext uri="{FF2B5EF4-FFF2-40B4-BE49-F238E27FC236}">
              <a16:creationId xmlns:a16="http://schemas.microsoft.com/office/drawing/2014/main" id="{00000000-0008-0000-0100-000050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1" name="Text Box 7">
          <a:extLst>
            <a:ext uri="{FF2B5EF4-FFF2-40B4-BE49-F238E27FC236}">
              <a16:creationId xmlns:a16="http://schemas.microsoft.com/office/drawing/2014/main" id="{00000000-0008-0000-0100-000051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2" name="Text Box 8">
          <a:extLst>
            <a:ext uri="{FF2B5EF4-FFF2-40B4-BE49-F238E27FC236}">
              <a16:creationId xmlns:a16="http://schemas.microsoft.com/office/drawing/2014/main" id="{00000000-0008-0000-0100-000052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3" name="Text Box 9">
          <a:extLst>
            <a:ext uri="{FF2B5EF4-FFF2-40B4-BE49-F238E27FC236}">
              <a16:creationId xmlns:a16="http://schemas.microsoft.com/office/drawing/2014/main" id="{00000000-0008-0000-0100-000053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4" name="Text Box 10">
          <a:extLst>
            <a:ext uri="{FF2B5EF4-FFF2-40B4-BE49-F238E27FC236}">
              <a16:creationId xmlns:a16="http://schemas.microsoft.com/office/drawing/2014/main" id="{00000000-0008-0000-0100-000054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5" name="Text Box 11">
          <a:extLst>
            <a:ext uri="{FF2B5EF4-FFF2-40B4-BE49-F238E27FC236}">
              <a16:creationId xmlns:a16="http://schemas.microsoft.com/office/drawing/2014/main" id="{00000000-0008-0000-0100-000055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6" name="Text Box 12">
          <a:extLst>
            <a:ext uri="{FF2B5EF4-FFF2-40B4-BE49-F238E27FC236}">
              <a16:creationId xmlns:a16="http://schemas.microsoft.com/office/drawing/2014/main" id="{00000000-0008-0000-0100-000056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7" name="Text Box 13">
          <a:extLst>
            <a:ext uri="{FF2B5EF4-FFF2-40B4-BE49-F238E27FC236}">
              <a16:creationId xmlns:a16="http://schemas.microsoft.com/office/drawing/2014/main" id="{00000000-0008-0000-0100-000057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648" name="Text Box 14">
          <a:extLst>
            <a:ext uri="{FF2B5EF4-FFF2-40B4-BE49-F238E27FC236}">
              <a16:creationId xmlns:a16="http://schemas.microsoft.com/office/drawing/2014/main" id="{00000000-0008-0000-0100-0000580A0000}"/>
            </a:ext>
          </a:extLst>
        </xdr:cNvPr>
        <xdr:cNvSpPr txBox="1">
          <a:spLocks noChangeArrowheads="1"/>
        </xdr:cNvSpPr>
      </xdr:nvSpPr>
      <xdr:spPr bwMode="auto">
        <a:xfrm>
          <a:off x="3901109" y="38408113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49" name="Text Box 15">
          <a:extLst>
            <a:ext uri="{FF2B5EF4-FFF2-40B4-BE49-F238E27FC236}">
              <a16:creationId xmlns:a16="http://schemas.microsoft.com/office/drawing/2014/main" id="{00000000-0008-0000-0100-000059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0" name="Text Box 16">
          <a:extLst>
            <a:ext uri="{FF2B5EF4-FFF2-40B4-BE49-F238E27FC236}">
              <a16:creationId xmlns:a16="http://schemas.microsoft.com/office/drawing/2014/main" id="{00000000-0008-0000-0100-00005A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1" name="Text Box 17">
          <a:extLst>
            <a:ext uri="{FF2B5EF4-FFF2-40B4-BE49-F238E27FC236}">
              <a16:creationId xmlns:a16="http://schemas.microsoft.com/office/drawing/2014/main" id="{00000000-0008-0000-0100-00005B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2" name="Text Box 18">
          <a:extLst>
            <a:ext uri="{FF2B5EF4-FFF2-40B4-BE49-F238E27FC236}">
              <a16:creationId xmlns:a16="http://schemas.microsoft.com/office/drawing/2014/main" id="{00000000-0008-0000-0100-00005C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3" name="Text Box 19">
          <a:extLst>
            <a:ext uri="{FF2B5EF4-FFF2-40B4-BE49-F238E27FC236}">
              <a16:creationId xmlns:a16="http://schemas.microsoft.com/office/drawing/2014/main" id="{00000000-0008-0000-0100-00005D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4" name="Text Box 20">
          <a:extLst>
            <a:ext uri="{FF2B5EF4-FFF2-40B4-BE49-F238E27FC236}">
              <a16:creationId xmlns:a16="http://schemas.microsoft.com/office/drawing/2014/main" id="{00000000-0008-0000-0100-00005E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5" name="Text Box 21">
          <a:extLst>
            <a:ext uri="{FF2B5EF4-FFF2-40B4-BE49-F238E27FC236}">
              <a16:creationId xmlns:a16="http://schemas.microsoft.com/office/drawing/2014/main" id="{00000000-0008-0000-0100-00005F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6" name="Text Box 22">
          <a:extLst>
            <a:ext uri="{FF2B5EF4-FFF2-40B4-BE49-F238E27FC236}">
              <a16:creationId xmlns:a16="http://schemas.microsoft.com/office/drawing/2014/main" id="{00000000-0008-0000-0100-000060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7" name="Text Box 7">
          <a:extLst>
            <a:ext uri="{FF2B5EF4-FFF2-40B4-BE49-F238E27FC236}">
              <a16:creationId xmlns:a16="http://schemas.microsoft.com/office/drawing/2014/main" id="{00000000-0008-0000-0100-000061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8" name="Text Box 8">
          <a:extLst>
            <a:ext uri="{FF2B5EF4-FFF2-40B4-BE49-F238E27FC236}">
              <a16:creationId xmlns:a16="http://schemas.microsoft.com/office/drawing/2014/main" id="{00000000-0008-0000-0100-000062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59" name="Text Box 9">
          <a:extLst>
            <a:ext uri="{FF2B5EF4-FFF2-40B4-BE49-F238E27FC236}">
              <a16:creationId xmlns:a16="http://schemas.microsoft.com/office/drawing/2014/main" id="{00000000-0008-0000-0100-000063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60" name="Text Box 10">
          <a:extLst>
            <a:ext uri="{FF2B5EF4-FFF2-40B4-BE49-F238E27FC236}">
              <a16:creationId xmlns:a16="http://schemas.microsoft.com/office/drawing/2014/main" id="{00000000-0008-0000-0100-000064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61" name="Text Box 11">
          <a:extLst>
            <a:ext uri="{FF2B5EF4-FFF2-40B4-BE49-F238E27FC236}">
              <a16:creationId xmlns:a16="http://schemas.microsoft.com/office/drawing/2014/main" id="{00000000-0008-0000-0100-000065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62" name="Text Box 12">
          <a:extLst>
            <a:ext uri="{FF2B5EF4-FFF2-40B4-BE49-F238E27FC236}">
              <a16:creationId xmlns:a16="http://schemas.microsoft.com/office/drawing/2014/main" id="{00000000-0008-0000-0100-000066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63" name="Text Box 13">
          <a:extLst>
            <a:ext uri="{FF2B5EF4-FFF2-40B4-BE49-F238E27FC236}">
              <a16:creationId xmlns:a16="http://schemas.microsoft.com/office/drawing/2014/main" id="{00000000-0008-0000-0100-000067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664" name="Text Box 14">
          <a:extLst>
            <a:ext uri="{FF2B5EF4-FFF2-40B4-BE49-F238E27FC236}">
              <a16:creationId xmlns:a16="http://schemas.microsoft.com/office/drawing/2014/main" id="{00000000-0008-0000-0100-0000680A0000}"/>
            </a:ext>
          </a:extLst>
        </xdr:cNvPr>
        <xdr:cNvSpPr txBox="1">
          <a:spLocks noChangeArrowheads="1"/>
        </xdr:cNvSpPr>
      </xdr:nvSpPr>
      <xdr:spPr bwMode="auto">
        <a:xfrm>
          <a:off x="3901109" y="384081130"/>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665" name="Text Box 15">
          <a:extLst>
            <a:ext uri="{FF2B5EF4-FFF2-40B4-BE49-F238E27FC236}">
              <a16:creationId xmlns:a16="http://schemas.microsoft.com/office/drawing/2014/main" id="{00000000-0008-0000-0100-0000690A0000}"/>
            </a:ext>
          </a:extLst>
        </xdr:cNvPr>
        <xdr:cNvSpPr txBox="1">
          <a:spLocks noChangeArrowheads="1"/>
        </xdr:cNvSpPr>
      </xdr:nvSpPr>
      <xdr:spPr bwMode="auto">
        <a:xfrm>
          <a:off x="3901109" y="384081130"/>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66" name="Text Box 5">
          <a:extLst>
            <a:ext uri="{FF2B5EF4-FFF2-40B4-BE49-F238E27FC236}">
              <a16:creationId xmlns:a16="http://schemas.microsoft.com/office/drawing/2014/main" id="{00000000-0008-0000-0100-00006A0A0000}"/>
            </a:ext>
          </a:extLst>
        </xdr:cNvPr>
        <xdr:cNvSpPr txBox="1">
          <a:spLocks noChangeArrowheads="1"/>
        </xdr:cNvSpPr>
      </xdr:nvSpPr>
      <xdr:spPr bwMode="auto">
        <a:xfrm>
          <a:off x="3901109" y="384081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667" name="Text Box 6">
          <a:extLst>
            <a:ext uri="{FF2B5EF4-FFF2-40B4-BE49-F238E27FC236}">
              <a16:creationId xmlns:a16="http://schemas.microsoft.com/office/drawing/2014/main" id="{00000000-0008-0000-0100-00006B0A0000}"/>
            </a:ext>
          </a:extLst>
        </xdr:cNvPr>
        <xdr:cNvSpPr txBox="1">
          <a:spLocks noChangeArrowheads="1"/>
        </xdr:cNvSpPr>
      </xdr:nvSpPr>
      <xdr:spPr bwMode="auto">
        <a:xfrm>
          <a:off x="3901109" y="38408113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68" name="Text Box 7">
          <a:extLst>
            <a:ext uri="{FF2B5EF4-FFF2-40B4-BE49-F238E27FC236}">
              <a16:creationId xmlns:a16="http://schemas.microsoft.com/office/drawing/2014/main" id="{00000000-0008-0000-0100-00006C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69" name="Text Box 8">
          <a:extLst>
            <a:ext uri="{FF2B5EF4-FFF2-40B4-BE49-F238E27FC236}">
              <a16:creationId xmlns:a16="http://schemas.microsoft.com/office/drawing/2014/main" id="{00000000-0008-0000-0100-00006D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70" name="Text Box 9">
          <a:extLst>
            <a:ext uri="{FF2B5EF4-FFF2-40B4-BE49-F238E27FC236}">
              <a16:creationId xmlns:a16="http://schemas.microsoft.com/office/drawing/2014/main" id="{00000000-0008-0000-0100-00006E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71" name="Text Box 10">
          <a:extLst>
            <a:ext uri="{FF2B5EF4-FFF2-40B4-BE49-F238E27FC236}">
              <a16:creationId xmlns:a16="http://schemas.microsoft.com/office/drawing/2014/main" id="{00000000-0008-0000-0100-00006F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72" name="Text Box 11">
          <a:extLst>
            <a:ext uri="{FF2B5EF4-FFF2-40B4-BE49-F238E27FC236}">
              <a16:creationId xmlns:a16="http://schemas.microsoft.com/office/drawing/2014/main" id="{00000000-0008-0000-0100-000070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73" name="Text Box 12">
          <a:extLst>
            <a:ext uri="{FF2B5EF4-FFF2-40B4-BE49-F238E27FC236}">
              <a16:creationId xmlns:a16="http://schemas.microsoft.com/office/drawing/2014/main" id="{00000000-0008-0000-0100-000071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74" name="Text Box 13">
          <a:extLst>
            <a:ext uri="{FF2B5EF4-FFF2-40B4-BE49-F238E27FC236}">
              <a16:creationId xmlns:a16="http://schemas.microsoft.com/office/drawing/2014/main" id="{00000000-0008-0000-0100-000072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675" name="Text Box 14">
          <a:extLst>
            <a:ext uri="{FF2B5EF4-FFF2-40B4-BE49-F238E27FC236}">
              <a16:creationId xmlns:a16="http://schemas.microsoft.com/office/drawing/2014/main" id="{00000000-0008-0000-0100-0000730A0000}"/>
            </a:ext>
          </a:extLst>
        </xdr:cNvPr>
        <xdr:cNvSpPr txBox="1">
          <a:spLocks noChangeArrowheads="1"/>
        </xdr:cNvSpPr>
      </xdr:nvSpPr>
      <xdr:spPr bwMode="auto">
        <a:xfrm>
          <a:off x="3901109" y="38408113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76" name="Text Box 15">
          <a:extLst>
            <a:ext uri="{FF2B5EF4-FFF2-40B4-BE49-F238E27FC236}">
              <a16:creationId xmlns:a16="http://schemas.microsoft.com/office/drawing/2014/main" id="{00000000-0008-0000-0100-000074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77" name="Text Box 16">
          <a:extLst>
            <a:ext uri="{FF2B5EF4-FFF2-40B4-BE49-F238E27FC236}">
              <a16:creationId xmlns:a16="http://schemas.microsoft.com/office/drawing/2014/main" id="{00000000-0008-0000-0100-0000750A0000}"/>
            </a:ext>
          </a:extLst>
        </xdr:cNvPr>
        <xdr:cNvSpPr txBox="1">
          <a:spLocks noChangeArrowheads="1"/>
        </xdr:cNvSpPr>
      </xdr:nvSpPr>
      <xdr:spPr bwMode="auto">
        <a:xfrm>
          <a:off x="3901109" y="384081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78" name="Text Box 17">
          <a:extLst>
            <a:ext uri="{FF2B5EF4-FFF2-40B4-BE49-F238E27FC236}">
              <a16:creationId xmlns:a16="http://schemas.microsoft.com/office/drawing/2014/main" id="{00000000-0008-0000-0100-0000760A0000}"/>
            </a:ext>
          </a:extLst>
        </xdr:cNvPr>
        <xdr:cNvSpPr txBox="1">
          <a:spLocks noChangeArrowheads="1"/>
        </xdr:cNvSpPr>
      </xdr:nvSpPr>
      <xdr:spPr bwMode="auto">
        <a:xfrm>
          <a:off x="3901109" y="384081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79" name="Text Box 18">
          <a:extLst>
            <a:ext uri="{FF2B5EF4-FFF2-40B4-BE49-F238E27FC236}">
              <a16:creationId xmlns:a16="http://schemas.microsoft.com/office/drawing/2014/main" id="{00000000-0008-0000-0100-0000770A0000}"/>
            </a:ext>
          </a:extLst>
        </xdr:cNvPr>
        <xdr:cNvSpPr txBox="1">
          <a:spLocks noChangeArrowheads="1"/>
        </xdr:cNvSpPr>
      </xdr:nvSpPr>
      <xdr:spPr bwMode="auto">
        <a:xfrm>
          <a:off x="3901109" y="384081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80" name="Text Box 19">
          <a:extLst>
            <a:ext uri="{FF2B5EF4-FFF2-40B4-BE49-F238E27FC236}">
              <a16:creationId xmlns:a16="http://schemas.microsoft.com/office/drawing/2014/main" id="{00000000-0008-0000-0100-0000780A0000}"/>
            </a:ext>
          </a:extLst>
        </xdr:cNvPr>
        <xdr:cNvSpPr txBox="1">
          <a:spLocks noChangeArrowheads="1"/>
        </xdr:cNvSpPr>
      </xdr:nvSpPr>
      <xdr:spPr bwMode="auto">
        <a:xfrm>
          <a:off x="3901109" y="384081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81" name="Text Box 20">
          <a:extLst>
            <a:ext uri="{FF2B5EF4-FFF2-40B4-BE49-F238E27FC236}">
              <a16:creationId xmlns:a16="http://schemas.microsoft.com/office/drawing/2014/main" id="{00000000-0008-0000-0100-0000790A0000}"/>
            </a:ext>
          </a:extLst>
        </xdr:cNvPr>
        <xdr:cNvSpPr txBox="1">
          <a:spLocks noChangeArrowheads="1"/>
        </xdr:cNvSpPr>
      </xdr:nvSpPr>
      <xdr:spPr bwMode="auto">
        <a:xfrm>
          <a:off x="3901109" y="384081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682" name="Text Box 21">
          <a:extLst>
            <a:ext uri="{FF2B5EF4-FFF2-40B4-BE49-F238E27FC236}">
              <a16:creationId xmlns:a16="http://schemas.microsoft.com/office/drawing/2014/main" id="{00000000-0008-0000-0100-00007A0A0000}"/>
            </a:ext>
          </a:extLst>
        </xdr:cNvPr>
        <xdr:cNvSpPr txBox="1">
          <a:spLocks noChangeArrowheads="1"/>
        </xdr:cNvSpPr>
      </xdr:nvSpPr>
      <xdr:spPr bwMode="auto">
        <a:xfrm>
          <a:off x="3901109" y="384081130"/>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683" name="Text Box 22">
          <a:extLst>
            <a:ext uri="{FF2B5EF4-FFF2-40B4-BE49-F238E27FC236}">
              <a16:creationId xmlns:a16="http://schemas.microsoft.com/office/drawing/2014/main" id="{00000000-0008-0000-0100-00007B0A0000}"/>
            </a:ext>
          </a:extLst>
        </xdr:cNvPr>
        <xdr:cNvSpPr txBox="1">
          <a:spLocks noChangeArrowheads="1"/>
        </xdr:cNvSpPr>
      </xdr:nvSpPr>
      <xdr:spPr bwMode="auto">
        <a:xfrm>
          <a:off x="3901109" y="384081130"/>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84" name="Text Box 7">
          <a:extLst>
            <a:ext uri="{FF2B5EF4-FFF2-40B4-BE49-F238E27FC236}">
              <a16:creationId xmlns:a16="http://schemas.microsoft.com/office/drawing/2014/main" id="{00000000-0008-0000-0100-00007C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85" name="Text Box 8">
          <a:extLst>
            <a:ext uri="{FF2B5EF4-FFF2-40B4-BE49-F238E27FC236}">
              <a16:creationId xmlns:a16="http://schemas.microsoft.com/office/drawing/2014/main" id="{00000000-0008-0000-0100-00007D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86" name="Text Box 9">
          <a:extLst>
            <a:ext uri="{FF2B5EF4-FFF2-40B4-BE49-F238E27FC236}">
              <a16:creationId xmlns:a16="http://schemas.microsoft.com/office/drawing/2014/main" id="{00000000-0008-0000-0100-00007E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87" name="Text Box 10">
          <a:extLst>
            <a:ext uri="{FF2B5EF4-FFF2-40B4-BE49-F238E27FC236}">
              <a16:creationId xmlns:a16="http://schemas.microsoft.com/office/drawing/2014/main" id="{00000000-0008-0000-0100-00007F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88" name="Text Box 11">
          <a:extLst>
            <a:ext uri="{FF2B5EF4-FFF2-40B4-BE49-F238E27FC236}">
              <a16:creationId xmlns:a16="http://schemas.microsoft.com/office/drawing/2014/main" id="{00000000-0008-0000-0100-000080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89" name="Text Box 12">
          <a:extLst>
            <a:ext uri="{FF2B5EF4-FFF2-40B4-BE49-F238E27FC236}">
              <a16:creationId xmlns:a16="http://schemas.microsoft.com/office/drawing/2014/main" id="{00000000-0008-0000-0100-000081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90" name="Text Box 13">
          <a:extLst>
            <a:ext uri="{FF2B5EF4-FFF2-40B4-BE49-F238E27FC236}">
              <a16:creationId xmlns:a16="http://schemas.microsoft.com/office/drawing/2014/main" id="{00000000-0008-0000-0100-000082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691" name="Text Box 14">
          <a:extLst>
            <a:ext uri="{FF2B5EF4-FFF2-40B4-BE49-F238E27FC236}">
              <a16:creationId xmlns:a16="http://schemas.microsoft.com/office/drawing/2014/main" id="{00000000-0008-0000-0100-0000830A0000}"/>
            </a:ext>
          </a:extLst>
        </xdr:cNvPr>
        <xdr:cNvSpPr txBox="1">
          <a:spLocks noChangeArrowheads="1"/>
        </xdr:cNvSpPr>
      </xdr:nvSpPr>
      <xdr:spPr bwMode="auto">
        <a:xfrm>
          <a:off x="3901109" y="384081130"/>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692" name="Text Box 15">
          <a:extLst>
            <a:ext uri="{FF2B5EF4-FFF2-40B4-BE49-F238E27FC236}">
              <a16:creationId xmlns:a16="http://schemas.microsoft.com/office/drawing/2014/main" id="{00000000-0008-0000-0100-0000840A0000}"/>
            </a:ext>
          </a:extLst>
        </xdr:cNvPr>
        <xdr:cNvSpPr txBox="1">
          <a:spLocks noChangeArrowheads="1"/>
        </xdr:cNvSpPr>
      </xdr:nvSpPr>
      <xdr:spPr bwMode="auto">
        <a:xfrm>
          <a:off x="3901109" y="384081130"/>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693" name="Text Box 5">
          <a:extLst>
            <a:ext uri="{FF2B5EF4-FFF2-40B4-BE49-F238E27FC236}">
              <a16:creationId xmlns:a16="http://schemas.microsoft.com/office/drawing/2014/main" id="{00000000-0008-0000-0100-000085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694" name="Text Box 6">
          <a:extLst>
            <a:ext uri="{FF2B5EF4-FFF2-40B4-BE49-F238E27FC236}">
              <a16:creationId xmlns:a16="http://schemas.microsoft.com/office/drawing/2014/main" id="{00000000-0008-0000-0100-0000860A0000}"/>
            </a:ext>
          </a:extLst>
        </xdr:cNvPr>
        <xdr:cNvSpPr txBox="1">
          <a:spLocks noChangeArrowheads="1"/>
        </xdr:cNvSpPr>
      </xdr:nvSpPr>
      <xdr:spPr bwMode="auto">
        <a:xfrm>
          <a:off x="3901109" y="38408113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695" name="Text Box 7">
          <a:extLst>
            <a:ext uri="{FF2B5EF4-FFF2-40B4-BE49-F238E27FC236}">
              <a16:creationId xmlns:a16="http://schemas.microsoft.com/office/drawing/2014/main" id="{00000000-0008-0000-0100-000087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696" name="Text Box 8">
          <a:extLst>
            <a:ext uri="{FF2B5EF4-FFF2-40B4-BE49-F238E27FC236}">
              <a16:creationId xmlns:a16="http://schemas.microsoft.com/office/drawing/2014/main" id="{00000000-0008-0000-0100-000088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697" name="Text Box 9">
          <a:extLst>
            <a:ext uri="{FF2B5EF4-FFF2-40B4-BE49-F238E27FC236}">
              <a16:creationId xmlns:a16="http://schemas.microsoft.com/office/drawing/2014/main" id="{00000000-0008-0000-0100-000089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698" name="Text Box 10">
          <a:extLst>
            <a:ext uri="{FF2B5EF4-FFF2-40B4-BE49-F238E27FC236}">
              <a16:creationId xmlns:a16="http://schemas.microsoft.com/office/drawing/2014/main" id="{00000000-0008-0000-0100-00008A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699" name="Text Box 11">
          <a:extLst>
            <a:ext uri="{FF2B5EF4-FFF2-40B4-BE49-F238E27FC236}">
              <a16:creationId xmlns:a16="http://schemas.microsoft.com/office/drawing/2014/main" id="{00000000-0008-0000-0100-00008B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0" name="Text Box 12">
          <a:extLst>
            <a:ext uri="{FF2B5EF4-FFF2-40B4-BE49-F238E27FC236}">
              <a16:creationId xmlns:a16="http://schemas.microsoft.com/office/drawing/2014/main" id="{00000000-0008-0000-0100-00008C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1" name="Text Box 13">
          <a:extLst>
            <a:ext uri="{FF2B5EF4-FFF2-40B4-BE49-F238E27FC236}">
              <a16:creationId xmlns:a16="http://schemas.microsoft.com/office/drawing/2014/main" id="{00000000-0008-0000-0100-00008D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2151438"/>
    <xdr:sp macro="" textlink="">
      <xdr:nvSpPr>
        <xdr:cNvPr id="2702" name="Text Box 14">
          <a:extLst>
            <a:ext uri="{FF2B5EF4-FFF2-40B4-BE49-F238E27FC236}">
              <a16:creationId xmlns:a16="http://schemas.microsoft.com/office/drawing/2014/main" id="{00000000-0008-0000-0100-00008E0A0000}"/>
            </a:ext>
          </a:extLst>
        </xdr:cNvPr>
        <xdr:cNvSpPr txBox="1">
          <a:spLocks noChangeArrowheads="1"/>
        </xdr:cNvSpPr>
      </xdr:nvSpPr>
      <xdr:spPr bwMode="auto">
        <a:xfrm>
          <a:off x="3901109" y="384081130"/>
          <a:ext cx="1241149"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3" name="Text Box 15">
          <a:extLst>
            <a:ext uri="{FF2B5EF4-FFF2-40B4-BE49-F238E27FC236}">
              <a16:creationId xmlns:a16="http://schemas.microsoft.com/office/drawing/2014/main" id="{00000000-0008-0000-0100-00008F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4" name="Text Box 16">
          <a:extLst>
            <a:ext uri="{FF2B5EF4-FFF2-40B4-BE49-F238E27FC236}">
              <a16:creationId xmlns:a16="http://schemas.microsoft.com/office/drawing/2014/main" id="{00000000-0008-0000-0100-000090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5" name="Text Box 17">
          <a:extLst>
            <a:ext uri="{FF2B5EF4-FFF2-40B4-BE49-F238E27FC236}">
              <a16:creationId xmlns:a16="http://schemas.microsoft.com/office/drawing/2014/main" id="{00000000-0008-0000-0100-000091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6" name="Text Box 18">
          <a:extLst>
            <a:ext uri="{FF2B5EF4-FFF2-40B4-BE49-F238E27FC236}">
              <a16:creationId xmlns:a16="http://schemas.microsoft.com/office/drawing/2014/main" id="{00000000-0008-0000-0100-000092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7" name="Text Box 19">
          <a:extLst>
            <a:ext uri="{FF2B5EF4-FFF2-40B4-BE49-F238E27FC236}">
              <a16:creationId xmlns:a16="http://schemas.microsoft.com/office/drawing/2014/main" id="{00000000-0008-0000-0100-000093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8" name="Text Box 20">
          <a:extLst>
            <a:ext uri="{FF2B5EF4-FFF2-40B4-BE49-F238E27FC236}">
              <a16:creationId xmlns:a16="http://schemas.microsoft.com/office/drawing/2014/main" id="{00000000-0008-0000-0100-000094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09" name="Text Box 21">
          <a:extLst>
            <a:ext uri="{FF2B5EF4-FFF2-40B4-BE49-F238E27FC236}">
              <a16:creationId xmlns:a16="http://schemas.microsoft.com/office/drawing/2014/main" id="{00000000-0008-0000-0100-000095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32388"/>
    <xdr:sp macro="" textlink="">
      <xdr:nvSpPr>
        <xdr:cNvPr id="2710" name="Text Box 22">
          <a:extLst>
            <a:ext uri="{FF2B5EF4-FFF2-40B4-BE49-F238E27FC236}">
              <a16:creationId xmlns:a16="http://schemas.microsoft.com/office/drawing/2014/main" id="{00000000-0008-0000-0100-0000960A0000}"/>
            </a:ext>
          </a:extLst>
        </xdr:cNvPr>
        <xdr:cNvSpPr txBox="1">
          <a:spLocks noChangeArrowheads="1"/>
        </xdr:cNvSpPr>
      </xdr:nvSpPr>
      <xdr:spPr bwMode="auto">
        <a:xfrm>
          <a:off x="3901109" y="384081130"/>
          <a:ext cx="1117324" cy="213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11" name="Text Box 7">
          <a:extLst>
            <a:ext uri="{FF2B5EF4-FFF2-40B4-BE49-F238E27FC236}">
              <a16:creationId xmlns:a16="http://schemas.microsoft.com/office/drawing/2014/main" id="{00000000-0008-0000-0100-000097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12" name="Text Box 8">
          <a:extLst>
            <a:ext uri="{FF2B5EF4-FFF2-40B4-BE49-F238E27FC236}">
              <a16:creationId xmlns:a16="http://schemas.microsoft.com/office/drawing/2014/main" id="{00000000-0008-0000-0100-000098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13" name="Text Box 9">
          <a:extLst>
            <a:ext uri="{FF2B5EF4-FFF2-40B4-BE49-F238E27FC236}">
              <a16:creationId xmlns:a16="http://schemas.microsoft.com/office/drawing/2014/main" id="{00000000-0008-0000-0100-000099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14" name="Text Box 10">
          <a:extLst>
            <a:ext uri="{FF2B5EF4-FFF2-40B4-BE49-F238E27FC236}">
              <a16:creationId xmlns:a16="http://schemas.microsoft.com/office/drawing/2014/main" id="{00000000-0008-0000-0100-00009A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15" name="Text Box 11">
          <a:extLst>
            <a:ext uri="{FF2B5EF4-FFF2-40B4-BE49-F238E27FC236}">
              <a16:creationId xmlns:a16="http://schemas.microsoft.com/office/drawing/2014/main" id="{00000000-0008-0000-0100-00009B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16" name="Text Box 12">
          <a:extLst>
            <a:ext uri="{FF2B5EF4-FFF2-40B4-BE49-F238E27FC236}">
              <a16:creationId xmlns:a16="http://schemas.microsoft.com/office/drawing/2014/main" id="{00000000-0008-0000-0100-00009C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151438"/>
    <xdr:sp macro="" textlink="">
      <xdr:nvSpPr>
        <xdr:cNvPr id="2717" name="Text Box 13">
          <a:extLst>
            <a:ext uri="{FF2B5EF4-FFF2-40B4-BE49-F238E27FC236}">
              <a16:creationId xmlns:a16="http://schemas.microsoft.com/office/drawing/2014/main" id="{00000000-0008-0000-0100-00009D0A0000}"/>
            </a:ext>
          </a:extLst>
        </xdr:cNvPr>
        <xdr:cNvSpPr txBox="1">
          <a:spLocks noChangeArrowheads="1"/>
        </xdr:cNvSpPr>
      </xdr:nvSpPr>
      <xdr:spPr bwMode="auto">
        <a:xfrm>
          <a:off x="3901109" y="384081130"/>
          <a:ext cx="1117324" cy="215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719" name="Text Box 5">
          <a:extLst>
            <a:ext uri="{FF2B5EF4-FFF2-40B4-BE49-F238E27FC236}">
              <a16:creationId xmlns:a16="http://schemas.microsoft.com/office/drawing/2014/main" id="{00000000-0008-0000-0100-00009F0A0000}"/>
            </a:ext>
          </a:extLst>
        </xdr:cNvPr>
        <xdr:cNvSpPr txBox="1">
          <a:spLocks noChangeArrowheads="1"/>
        </xdr:cNvSpPr>
      </xdr:nvSpPr>
      <xdr:spPr bwMode="auto">
        <a:xfrm>
          <a:off x="3901109" y="3840811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720" name="Text Box 6">
          <a:extLst>
            <a:ext uri="{FF2B5EF4-FFF2-40B4-BE49-F238E27FC236}">
              <a16:creationId xmlns:a16="http://schemas.microsoft.com/office/drawing/2014/main" id="{00000000-0008-0000-0100-0000A00A0000}"/>
            </a:ext>
          </a:extLst>
        </xdr:cNvPr>
        <xdr:cNvSpPr txBox="1">
          <a:spLocks noChangeArrowheads="1"/>
        </xdr:cNvSpPr>
      </xdr:nvSpPr>
      <xdr:spPr bwMode="auto">
        <a:xfrm>
          <a:off x="3901109" y="3840811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721" name="Text Box 7">
          <a:extLst>
            <a:ext uri="{FF2B5EF4-FFF2-40B4-BE49-F238E27FC236}">
              <a16:creationId xmlns:a16="http://schemas.microsoft.com/office/drawing/2014/main" id="{00000000-0008-0000-0100-0000A10A0000}"/>
            </a:ext>
          </a:extLst>
        </xdr:cNvPr>
        <xdr:cNvSpPr txBox="1">
          <a:spLocks noChangeArrowheads="1"/>
        </xdr:cNvSpPr>
      </xdr:nvSpPr>
      <xdr:spPr bwMode="auto">
        <a:xfrm>
          <a:off x="3901109" y="3840811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722" name="Text Box 8">
          <a:extLst>
            <a:ext uri="{FF2B5EF4-FFF2-40B4-BE49-F238E27FC236}">
              <a16:creationId xmlns:a16="http://schemas.microsoft.com/office/drawing/2014/main" id="{00000000-0008-0000-0100-0000A20A0000}"/>
            </a:ext>
          </a:extLst>
        </xdr:cNvPr>
        <xdr:cNvSpPr txBox="1">
          <a:spLocks noChangeArrowheads="1"/>
        </xdr:cNvSpPr>
      </xdr:nvSpPr>
      <xdr:spPr bwMode="auto">
        <a:xfrm>
          <a:off x="3901109" y="3840811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723" name="Text Box 9">
          <a:extLst>
            <a:ext uri="{FF2B5EF4-FFF2-40B4-BE49-F238E27FC236}">
              <a16:creationId xmlns:a16="http://schemas.microsoft.com/office/drawing/2014/main" id="{00000000-0008-0000-0100-0000A30A0000}"/>
            </a:ext>
          </a:extLst>
        </xdr:cNvPr>
        <xdr:cNvSpPr txBox="1">
          <a:spLocks noChangeArrowheads="1"/>
        </xdr:cNvSpPr>
      </xdr:nvSpPr>
      <xdr:spPr bwMode="auto">
        <a:xfrm>
          <a:off x="3901109" y="3840811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724" name="Text Box 10">
          <a:extLst>
            <a:ext uri="{FF2B5EF4-FFF2-40B4-BE49-F238E27FC236}">
              <a16:creationId xmlns:a16="http://schemas.microsoft.com/office/drawing/2014/main" id="{00000000-0008-0000-0100-0000A40A0000}"/>
            </a:ext>
          </a:extLst>
        </xdr:cNvPr>
        <xdr:cNvSpPr txBox="1">
          <a:spLocks noChangeArrowheads="1"/>
        </xdr:cNvSpPr>
      </xdr:nvSpPr>
      <xdr:spPr bwMode="auto">
        <a:xfrm>
          <a:off x="3901109" y="3840811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725" name="Text Box 11">
          <a:extLst>
            <a:ext uri="{FF2B5EF4-FFF2-40B4-BE49-F238E27FC236}">
              <a16:creationId xmlns:a16="http://schemas.microsoft.com/office/drawing/2014/main" id="{00000000-0008-0000-0100-0000A50A0000}"/>
            </a:ext>
          </a:extLst>
        </xdr:cNvPr>
        <xdr:cNvSpPr txBox="1">
          <a:spLocks noChangeArrowheads="1"/>
        </xdr:cNvSpPr>
      </xdr:nvSpPr>
      <xdr:spPr bwMode="auto">
        <a:xfrm>
          <a:off x="3901109" y="3840811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726" name="Text Box 12">
          <a:extLst>
            <a:ext uri="{FF2B5EF4-FFF2-40B4-BE49-F238E27FC236}">
              <a16:creationId xmlns:a16="http://schemas.microsoft.com/office/drawing/2014/main" id="{00000000-0008-0000-0100-0000A60A0000}"/>
            </a:ext>
          </a:extLst>
        </xdr:cNvPr>
        <xdr:cNvSpPr txBox="1">
          <a:spLocks noChangeArrowheads="1"/>
        </xdr:cNvSpPr>
      </xdr:nvSpPr>
      <xdr:spPr bwMode="auto">
        <a:xfrm>
          <a:off x="3901109" y="384081130"/>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727" name="Text Box 1">
          <a:extLst>
            <a:ext uri="{FF2B5EF4-FFF2-40B4-BE49-F238E27FC236}">
              <a16:creationId xmlns:a16="http://schemas.microsoft.com/office/drawing/2014/main" id="{00000000-0008-0000-0100-0000A70A0000}"/>
            </a:ext>
          </a:extLst>
        </xdr:cNvPr>
        <xdr:cNvSpPr txBox="1">
          <a:spLocks noChangeArrowheads="1"/>
        </xdr:cNvSpPr>
      </xdr:nvSpPr>
      <xdr:spPr bwMode="auto">
        <a:xfrm>
          <a:off x="4580283" y="3840811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728" name="Text Box 1">
          <a:extLst>
            <a:ext uri="{FF2B5EF4-FFF2-40B4-BE49-F238E27FC236}">
              <a16:creationId xmlns:a16="http://schemas.microsoft.com/office/drawing/2014/main" id="{00000000-0008-0000-0100-0000A80A0000}"/>
            </a:ext>
          </a:extLst>
        </xdr:cNvPr>
        <xdr:cNvSpPr txBox="1">
          <a:spLocks noChangeArrowheads="1"/>
        </xdr:cNvSpPr>
      </xdr:nvSpPr>
      <xdr:spPr bwMode="auto">
        <a:xfrm>
          <a:off x="4580283" y="3840811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729" name="Text Box 1">
          <a:extLst>
            <a:ext uri="{FF2B5EF4-FFF2-40B4-BE49-F238E27FC236}">
              <a16:creationId xmlns:a16="http://schemas.microsoft.com/office/drawing/2014/main" id="{00000000-0008-0000-0100-0000A90A0000}"/>
            </a:ext>
          </a:extLst>
        </xdr:cNvPr>
        <xdr:cNvSpPr txBox="1">
          <a:spLocks noChangeArrowheads="1"/>
        </xdr:cNvSpPr>
      </xdr:nvSpPr>
      <xdr:spPr bwMode="auto">
        <a:xfrm>
          <a:off x="4580283" y="3840811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730" name="Text Box 1">
          <a:extLst>
            <a:ext uri="{FF2B5EF4-FFF2-40B4-BE49-F238E27FC236}">
              <a16:creationId xmlns:a16="http://schemas.microsoft.com/office/drawing/2014/main" id="{00000000-0008-0000-0100-0000AA0A0000}"/>
            </a:ext>
          </a:extLst>
        </xdr:cNvPr>
        <xdr:cNvSpPr txBox="1">
          <a:spLocks noChangeArrowheads="1"/>
        </xdr:cNvSpPr>
      </xdr:nvSpPr>
      <xdr:spPr bwMode="auto">
        <a:xfrm>
          <a:off x="4580283" y="384081130"/>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31" name="Text Box 5">
          <a:extLst>
            <a:ext uri="{FF2B5EF4-FFF2-40B4-BE49-F238E27FC236}">
              <a16:creationId xmlns:a16="http://schemas.microsoft.com/office/drawing/2014/main" id="{00000000-0008-0000-0100-0000AB0A0000}"/>
            </a:ext>
          </a:extLst>
        </xdr:cNvPr>
        <xdr:cNvSpPr txBox="1">
          <a:spLocks noChangeArrowheads="1"/>
        </xdr:cNvSpPr>
      </xdr:nvSpPr>
      <xdr:spPr bwMode="auto">
        <a:xfrm>
          <a:off x="3901109" y="3948153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732" name="Text Box 6">
          <a:extLst>
            <a:ext uri="{FF2B5EF4-FFF2-40B4-BE49-F238E27FC236}">
              <a16:creationId xmlns:a16="http://schemas.microsoft.com/office/drawing/2014/main" id="{00000000-0008-0000-0100-0000AC0A0000}"/>
            </a:ext>
          </a:extLst>
        </xdr:cNvPr>
        <xdr:cNvSpPr txBox="1">
          <a:spLocks noChangeArrowheads="1"/>
        </xdr:cNvSpPr>
      </xdr:nvSpPr>
      <xdr:spPr bwMode="auto">
        <a:xfrm>
          <a:off x="3901109" y="394815391"/>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33" name="Text Box 16">
          <a:extLst>
            <a:ext uri="{FF2B5EF4-FFF2-40B4-BE49-F238E27FC236}">
              <a16:creationId xmlns:a16="http://schemas.microsoft.com/office/drawing/2014/main" id="{00000000-0008-0000-0100-0000AD0A0000}"/>
            </a:ext>
          </a:extLst>
        </xdr:cNvPr>
        <xdr:cNvSpPr txBox="1">
          <a:spLocks noChangeArrowheads="1"/>
        </xdr:cNvSpPr>
      </xdr:nvSpPr>
      <xdr:spPr bwMode="auto">
        <a:xfrm>
          <a:off x="3901109" y="3948153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34" name="Text Box 17">
          <a:extLst>
            <a:ext uri="{FF2B5EF4-FFF2-40B4-BE49-F238E27FC236}">
              <a16:creationId xmlns:a16="http://schemas.microsoft.com/office/drawing/2014/main" id="{00000000-0008-0000-0100-0000AE0A0000}"/>
            </a:ext>
          </a:extLst>
        </xdr:cNvPr>
        <xdr:cNvSpPr txBox="1">
          <a:spLocks noChangeArrowheads="1"/>
        </xdr:cNvSpPr>
      </xdr:nvSpPr>
      <xdr:spPr bwMode="auto">
        <a:xfrm>
          <a:off x="3901109" y="3948153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35" name="Text Box 18">
          <a:extLst>
            <a:ext uri="{FF2B5EF4-FFF2-40B4-BE49-F238E27FC236}">
              <a16:creationId xmlns:a16="http://schemas.microsoft.com/office/drawing/2014/main" id="{00000000-0008-0000-0100-0000AF0A0000}"/>
            </a:ext>
          </a:extLst>
        </xdr:cNvPr>
        <xdr:cNvSpPr txBox="1">
          <a:spLocks noChangeArrowheads="1"/>
        </xdr:cNvSpPr>
      </xdr:nvSpPr>
      <xdr:spPr bwMode="auto">
        <a:xfrm>
          <a:off x="3901109" y="3948153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36" name="Text Box 19">
          <a:extLst>
            <a:ext uri="{FF2B5EF4-FFF2-40B4-BE49-F238E27FC236}">
              <a16:creationId xmlns:a16="http://schemas.microsoft.com/office/drawing/2014/main" id="{00000000-0008-0000-0100-0000B00A0000}"/>
            </a:ext>
          </a:extLst>
        </xdr:cNvPr>
        <xdr:cNvSpPr txBox="1">
          <a:spLocks noChangeArrowheads="1"/>
        </xdr:cNvSpPr>
      </xdr:nvSpPr>
      <xdr:spPr bwMode="auto">
        <a:xfrm>
          <a:off x="3901109" y="3948153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37" name="Text Box 20">
          <a:extLst>
            <a:ext uri="{FF2B5EF4-FFF2-40B4-BE49-F238E27FC236}">
              <a16:creationId xmlns:a16="http://schemas.microsoft.com/office/drawing/2014/main" id="{00000000-0008-0000-0100-0000B10A0000}"/>
            </a:ext>
          </a:extLst>
        </xdr:cNvPr>
        <xdr:cNvSpPr txBox="1">
          <a:spLocks noChangeArrowheads="1"/>
        </xdr:cNvSpPr>
      </xdr:nvSpPr>
      <xdr:spPr bwMode="auto">
        <a:xfrm>
          <a:off x="3901109" y="3948153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38" name="Text Box 21">
          <a:extLst>
            <a:ext uri="{FF2B5EF4-FFF2-40B4-BE49-F238E27FC236}">
              <a16:creationId xmlns:a16="http://schemas.microsoft.com/office/drawing/2014/main" id="{00000000-0008-0000-0100-0000B20A0000}"/>
            </a:ext>
          </a:extLst>
        </xdr:cNvPr>
        <xdr:cNvSpPr txBox="1">
          <a:spLocks noChangeArrowheads="1"/>
        </xdr:cNvSpPr>
      </xdr:nvSpPr>
      <xdr:spPr bwMode="auto">
        <a:xfrm>
          <a:off x="3901109" y="394815391"/>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739" name="Text Box 22">
          <a:extLst>
            <a:ext uri="{FF2B5EF4-FFF2-40B4-BE49-F238E27FC236}">
              <a16:creationId xmlns:a16="http://schemas.microsoft.com/office/drawing/2014/main" id="{00000000-0008-0000-0100-0000B30A0000}"/>
            </a:ext>
          </a:extLst>
        </xdr:cNvPr>
        <xdr:cNvSpPr txBox="1">
          <a:spLocks noChangeArrowheads="1"/>
        </xdr:cNvSpPr>
      </xdr:nvSpPr>
      <xdr:spPr bwMode="auto">
        <a:xfrm>
          <a:off x="3901109" y="394815391"/>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740" name="Text Box 1">
          <a:extLst>
            <a:ext uri="{FF2B5EF4-FFF2-40B4-BE49-F238E27FC236}">
              <a16:creationId xmlns:a16="http://schemas.microsoft.com/office/drawing/2014/main" id="{00000000-0008-0000-0100-0000B40A0000}"/>
            </a:ext>
          </a:extLst>
        </xdr:cNvPr>
        <xdr:cNvSpPr txBox="1">
          <a:spLocks noChangeArrowheads="1"/>
        </xdr:cNvSpPr>
      </xdr:nvSpPr>
      <xdr:spPr bwMode="auto">
        <a:xfrm>
          <a:off x="4580283" y="39481539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741" name="Text Box 1">
          <a:extLst>
            <a:ext uri="{FF2B5EF4-FFF2-40B4-BE49-F238E27FC236}">
              <a16:creationId xmlns:a16="http://schemas.microsoft.com/office/drawing/2014/main" id="{00000000-0008-0000-0100-0000B50A0000}"/>
            </a:ext>
          </a:extLst>
        </xdr:cNvPr>
        <xdr:cNvSpPr txBox="1">
          <a:spLocks noChangeArrowheads="1"/>
        </xdr:cNvSpPr>
      </xdr:nvSpPr>
      <xdr:spPr bwMode="auto">
        <a:xfrm>
          <a:off x="4580283" y="39481539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742" name="Text Box 1">
          <a:extLst>
            <a:ext uri="{FF2B5EF4-FFF2-40B4-BE49-F238E27FC236}">
              <a16:creationId xmlns:a16="http://schemas.microsoft.com/office/drawing/2014/main" id="{00000000-0008-0000-0100-0000B60A0000}"/>
            </a:ext>
          </a:extLst>
        </xdr:cNvPr>
        <xdr:cNvSpPr txBox="1">
          <a:spLocks noChangeArrowheads="1"/>
        </xdr:cNvSpPr>
      </xdr:nvSpPr>
      <xdr:spPr bwMode="auto">
        <a:xfrm>
          <a:off x="4580283" y="39481539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04775" cy="0"/>
    <xdr:sp macro="" textlink="">
      <xdr:nvSpPr>
        <xdr:cNvPr id="2743" name="Text Box 1">
          <a:extLst>
            <a:ext uri="{FF2B5EF4-FFF2-40B4-BE49-F238E27FC236}">
              <a16:creationId xmlns:a16="http://schemas.microsoft.com/office/drawing/2014/main" id="{00000000-0008-0000-0100-0000B70A0000}"/>
            </a:ext>
          </a:extLst>
        </xdr:cNvPr>
        <xdr:cNvSpPr txBox="1">
          <a:spLocks noChangeArrowheads="1"/>
        </xdr:cNvSpPr>
      </xdr:nvSpPr>
      <xdr:spPr bwMode="auto">
        <a:xfrm>
          <a:off x="4580283" y="394815391"/>
          <a:ext cx="10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44" name="Text Box 5">
          <a:extLst>
            <a:ext uri="{FF2B5EF4-FFF2-40B4-BE49-F238E27FC236}">
              <a16:creationId xmlns:a16="http://schemas.microsoft.com/office/drawing/2014/main" id="{00000000-0008-0000-0100-0000B80A0000}"/>
            </a:ext>
          </a:extLst>
        </xdr:cNvPr>
        <xdr:cNvSpPr txBox="1">
          <a:spLocks noChangeArrowheads="1"/>
        </xdr:cNvSpPr>
      </xdr:nvSpPr>
      <xdr:spPr bwMode="auto">
        <a:xfrm>
          <a:off x="3901109" y="511724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745" name="Text Box 6">
          <a:extLst>
            <a:ext uri="{FF2B5EF4-FFF2-40B4-BE49-F238E27FC236}">
              <a16:creationId xmlns:a16="http://schemas.microsoft.com/office/drawing/2014/main" id="{00000000-0008-0000-0100-0000B90A0000}"/>
            </a:ext>
          </a:extLst>
        </xdr:cNvPr>
        <xdr:cNvSpPr txBox="1">
          <a:spLocks noChangeArrowheads="1"/>
        </xdr:cNvSpPr>
      </xdr:nvSpPr>
      <xdr:spPr bwMode="auto">
        <a:xfrm>
          <a:off x="3901109" y="51172441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46" name="Text Box 16">
          <a:extLst>
            <a:ext uri="{FF2B5EF4-FFF2-40B4-BE49-F238E27FC236}">
              <a16:creationId xmlns:a16="http://schemas.microsoft.com/office/drawing/2014/main" id="{00000000-0008-0000-0100-0000BA0A0000}"/>
            </a:ext>
          </a:extLst>
        </xdr:cNvPr>
        <xdr:cNvSpPr txBox="1">
          <a:spLocks noChangeArrowheads="1"/>
        </xdr:cNvSpPr>
      </xdr:nvSpPr>
      <xdr:spPr bwMode="auto">
        <a:xfrm>
          <a:off x="3901109" y="511724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47" name="Text Box 17">
          <a:extLst>
            <a:ext uri="{FF2B5EF4-FFF2-40B4-BE49-F238E27FC236}">
              <a16:creationId xmlns:a16="http://schemas.microsoft.com/office/drawing/2014/main" id="{00000000-0008-0000-0100-0000BB0A0000}"/>
            </a:ext>
          </a:extLst>
        </xdr:cNvPr>
        <xdr:cNvSpPr txBox="1">
          <a:spLocks noChangeArrowheads="1"/>
        </xdr:cNvSpPr>
      </xdr:nvSpPr>
      <xdr:spPr bwMode="auto">
        <a:xfrm>
          <a:off x="3901109" y="511724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48" name="Text Box 18">
          <a:extLst>
            <a:ext uri="{FF2B5EF4-FFF2-40B4-BE49-F238E27FC236}">
              <a16:creationId xmlns:a16="http://schemas.microsoft.com/office/drawing/2014/main" id="{00000000-0008-0000-0100-0000BC0A0000}"/>
            </a:ext>
          </a:extLst>
        </xdr:cNvPr>
        <xdr:cNvSpPr txBox="1">
          <a:spLocks noChangeArrowheads="1"/>
        </xdr:cNvSpPr>
      </xdr:nvSpPr>
      <xdr:spPr bwMode="auto">
        <a:xfrm>
          <a:off x="3901109" y="511724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49" name="Text Box 19">
          <a:extLst>
            <a:ext uri="{FF2B5EF4-FFF2-40B4-BE49-F238E27FC236}">
              <a16:creationId xmlns:a16="http://schemas.microsoft.com/office/drawing/2014/main" id="{00000000-0008-0000-0100-0000BD0A0000}"/>
            </a:ext>
          </a:extLst>
        </xdr:cNvPr>
        <xdr:cNvSpPr txBox="1">
          <a:spLocks noChangeArrowheads="1"/>
        </xdr:cNvSpPr>
      </xdr:nvSpPr>
      <xdr:spPr bwMode="auto">
        <a:xfrm>
          <a:off x="3901109" y="511724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50" name="Text Box 20">
          <a:extLst>
            <a:ext uri="{FF2B5EF4-FFF2-40B4-BE49-F238E27FC236}">
              <a16:creationId xmlns:a16="http://schemas.microsoft.com/office/drawing/2014/main" id="{00000000-0008-0000-0100-0000BE0A0000}"/>
            </a:ext>
          </a:extLst>
        </xdr:cNvPr>
        <xdr:cNvSpPr txBox="1">
          <a:spLocks noChangeArrowheads="1"/>
        </xdr:cNvSpPr>
      </xdr:nvSpPr>
      <xdr:spPr bwMode="auto">
        <a:xfrm>
          <a:off x="3901109" y="511724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51" name="Text Box 21">
          <a:extLst>
            <a:ext uri="{FF2B5EF4-FFF2-40B4-BE49-F238E27FC236}">
              <a16:creationId xmlns:a16="http://schemas.microsoft.com/office/drawing/2014/main" id="{00000000-0008-0000-0100-0000BF0A0000}"/>
            </a:ext>
          </a:extLst>
        </xdr:cNvPr>
        <xdr:cNvSpPr txBox="1">
          <a:spLocks noChangeArrowheads="1"/>
        </xdr:cNvSpPr>
      </xdr:nvSpPr>
      <xdr:spPr bwMode="auto">
        <a:xfrm>
          <a:off x="3901109" y="51172441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752" name="Text Box 22">
          <a:extLst>
            <a:ext uri="{FF2B5EF4-FFF2-40B4-BE49-F238E27FC236}">
              <a16:creationId xmlns:a16="http://schemas.microsoft.com/office/drawing/2014/main" id="{00000000-0008-0000-0100-0000C00A0000}"/>
            </a:ext>
          </a:extLst>
        </xdr:cNvPr>
        <xdr:cNvSpPr txBox="1">
          <a:spLocks noChangeArrowheads="1"/>
        </xdr:cNvSpPr>
      </xdr:nvSpPr>
      <xdr:spPr bwMode="auto">
        <a:xfrm>
          <a:off x="3901109" y="51172441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53" name="Text Box 5">
          <a:extLst>
            <a:ext uri="{FF2B5EF4-FFF2-40B4-BE49-F238E27FC236}">
              <a16:creationId xmlns:a16="http://schemas.microsoft.com/office/drawing/2014/main" id="{00000000-0008-0000-0100-0000C1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54" name="Text Box 6">
          <a:extLst>
            <a:ext uri="{FF2B5EF4-FFF2-40B4-BE49-F238E27FC236}">
              <a16:creationId xmlns:a16="http://schemas.microsoft.com/office/drawing/2014/main" id="{00000000-0008-0000-0100-0000C2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55" name="Text Box 7">
          <a:extLst>
            <a:ext uri="{FF2B5EF4-FFF2-40B4-BE49-F238E27FC236}">
              <a16:creationId xmlns:a16="http://schemas.microsoft.com/office/drawing/2014/main" id="{00000000-0008-0000-0100-0000C3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56" name="Text Box 8">
          <a:extLst>
            <a:ext uri="{FF2B5EF4-FFF2-40B4-BE49-F238E27FC236}">
              <a16:creationId xmlns:a16="http://schemas.microsoft.com/office/drawing/2014/main" id="{00000000-0008-0000-0100-0000C4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57" name="Text Box 9">
          <a:extLst>
            <a:ext uri="{FF2B5EF4-FFF2-40B4-BE49-F238E27FC236}">
              <a16:creationId xmlns:a16="http://schemas.microsoft.com/office/drawing/2014/main" id="{00000000-0008-0000-0100-0000C5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58" name="Text Box 10">
          <a:extLst>
            <a:ext uri="{FF2B5EF4-FFF2-40B4-BE49-F238E27FC236}">
              <a16:creationId xmlns:a16="http://schemas.microsoft.com/office/drawing/2014/main" id="{00000000-0008-0000-0100-0000C6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59" name="Text Box 11">
          <a:extLst>
            <a:ext uri="{FF2B5EF4-FFF2-40B4-BE49-F238E27FC236}">
              <a16:creationId xmlns:a16="http://schemas.microsoft.com/office/drawing/2014/main" id="{00000000-0008-0000-0100-0000C7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0" name="Text Box 12">
          <a:extLst>
            <a:ext uri="{FF2B5EF4-FFF2-40B4-BE49-F238E27FC236}">
              <a16:creationId xmlns:a16="http://schemas.microsoft.com/office/drawing/2014/main" id="{00000000-0008-0000-0100-0000C8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1" name="Text Box 13">
          <a:extLst>
            <a:ext uri="{FF2B5EF4-FFF2-40B4-BE49-F238E27FC236}">
              <a16:creationId xmlns:a16="http://schemas.microsoft.com/office/drawing/2014/main" id="{00000000-0008-0000-0100-0000C9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762" name="Text Box 14">
          <a:extLst>
            <a:ext uri="{FF2B5EF4-FFF2-40B4-BE49-F238E27FC236}">
              <a16:creationId xmlns:a16="http://schemas.microsoft.com/office/drawing/2014/main" id="{00000000-0008-0000-0100-0000CA0A0000}"/>
            </a:ext>
          </a:extLst>
        </xdr:cNvPr>
        <xdr:cNvSpPr txBox="1">
          <a:spLocks noChangeArrowheads="1"/>
        </xdr:cNvSpPr>
      </xdr:nvSpPr>
      <xdr:spPr bwMode="auto">
        <a:xfrm>
          <a:off x="3901109" y="52313784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3" name="Text Box 15">
          <a:extLst>
            <a:ext uri="{FF2B5EF4-FFF2-40B4-BE49-F238E27FC236}">
              <a16:creationId xmlns:a16="http://schemas.microsoft.com/office/drawing/2014/main" id="{00000000-0008-0000-0100-0000CB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4" name="Text Box 16">
          <a:extLst>
            <a:ext uri="{FF2B5EF4-FFF2-40B4-BE49-F238E27FC236}">
              <a16:creationId xmlns:a16="http://schemas.microsoft.com/office/drawing/2014/main" id="{00000000-0008-0000-0100-0000CC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5" name="Text Box 17">
          <a:extLst>
            <a:ext uri="{FF2B5EF4-FFF2-40B4-BE49-F238E27FC236}">
              <a16:creationId xmlns:a16="http://schemas.microsoft.com/office/drawing/2014/main" id="{00000000-0008-0000-0100-0000CD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6" name="Text Box 18">
          <a:extLst>
            <a:ext uri="{FF2B5EF4-FFF2-40B4-BE49-F238E27FC236}">
              <a16:creationId xmlns:a16="http://schemas.microsoft.com/office/drawing/2014/main" id="{00000000-0008-0000-0100-0000CE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7" name="Text Box 19">
          <a:extLst>
            <a:ext uri="{FF2B5EF4-FFF2-40B4-BE49-F238E27FC236}">
              <a16:creationId xmlns:a16="http://schemas.microsoft.com/office/drawing/2014/main" id="{00000000-0008-0000-0100-0000CF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8" name="Text Box 20">
          <a:extLst>
            <a:ext uri="{FF2B5EF4-FFF2-40B4-BE49-F238E27FC236}">
              <a16:creationId xmlns:a16="http://schemas.microsoft.com/office/drawing/2014/main" id="{00000000-0008-0000-0100-0000D0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69" name="Text Box 21">
          <a:extLst>
            <a:ext uri="{FF2B5EF4-FFF2-40B4-BE49-F238E27FC236}">
              <a16:creationId xmlns:a16="http://schemas.microsoft.com/office/drawing/2014/main" id="{00000000-0008-0000-0100-0000D1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0" name="Text Box 22">
          <a:extLst>
            <a:ext uri="{FF2B5EF4-FFF2-40B4-BE49-F238E27FC236}">
              <a16:creationId xmlns:a16="http://schemas.microsoft.com/office/drawing/2014/main" id="{00000000-0008-0000-0100-0000D2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1" name="Text Box 7">
          <a:extLst>
            <a:ext uri="{FF2B5EF4-FFF2-40B4-BE49-F238E27FC236}">
              <a16:creationId xmlns:a16="http://schemas.microsoft.com/office/drawing/2014/main" id="{00000000-0008-0000-0100-0000D3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2" name="Text Box 8">
          <a:extLst>
            <a:ext uri="{FF2B5EF4-FFF2-40B4-BE49-F238E27FC236}">
              <a16:creationId xmlns:a16="http://schemas.microsoft.com/office/drawing/2014/main" id="{00000000-0008-0000-0100-0000D4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3" name="Text Box 9">
          <a:extLst>
            <a:ext uri="{FF2B5EF4-FFF2-40B4-BE49-F238E27FC236}">
              <a16:creationId xmlns:a16="http://schemas.microsoft.com/office/drawing/2014/main" id="{00000000-0008-0000-0100-0000D5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4" name="Text Box 10">
          <a:extLst>
            <a:ext uri="{FF2B5EF4-FFF2-40B4-BE49-F238E27FC236}">
              <a16:creationId xmlns:a16="http://schemas.microsoft.com/office/drawing/2014/main" id="{00000000-0008-0000-0100-0000D6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5" name="Text Box 11">
          <a:extLst>
            <a:ext uri="{FF2B5EF4-FFF2-40B4-BE49-F238E27FC236}">
              <a16:creationId xmlns:a16="http://schemas.microsoft.com/office/drawing/2014/main" id="{00000000-0008-0000-0100-0000D7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6" name="Text Box 12">
          <a:extLst>
            <a:ext uri="{FF2B5EF4-FFF2-40B4-BE49-F238E27FC236}">
              <a16:creationId xmlns:a16="http://schemas.microsoft.com/office/drawing/2014/main" id="{00000000-0008-0000-0100-0000D8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7" name="Text Box 13">
          <a:extLst>
            <a:ext uri="{FF2B5EF4-FFF2-40B4-BE49-F238E27FC236}">
              <a16:creationId xmlns:a16="http://schemas.microsoft.com/office/drawing/2014/main" id="{00000000-0008-0000-0100-0000D9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778" name="Text Box 14">
          <a:extLst>
            <a:ext uri="{FF2B5EF4-FFF2-40B4-BE49-F238E27FC236}">
              <a16:creationId xmlns:a16="http://schemas.microsoft.com/office/drawing/2014/main" id="{00000000-0008-0000-0100-0000DA0A0000}"/>
            </a:ext>
          </a:extLst>
        </xdr:cNvPr>
        <xdr:cNvSpPr txBox="1">
          <a:spLocks noChangeArrowheads="1"/>
        </xdr:cNvSpPr>
      </xdr:nvSpPr>
      <xdr:spPr bwMode="auto">
        <a:xfrm>
          <a:off x="3901109" y="523137848"/>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779" name="Text Box 15">
          <a:extLst>
            <a:ext uri="{FF2B5EF4-FFF2-40B4-BE49-F238E27FC236}">
              <a16:creationId xmlns:a16="http://schemas.microsoft.com/office/drawing/2014/main" id="{00000000-0008-0000-0100-0000DB0A0000}"/>
            </a:ext>
          </a:extLst>
        </xdr:cNvPr>
        <xdr:cNvSpPr txBox="1">
          <a:spLocks noChangeArrowheads="1"/>
        </xdr:cNvSpPr>
      </xdr:nvSpPr>
      <xdr:spPr bwMode="auto">
        <a:xfrm>
          <a:off x="3901109" y="523137848"/>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80" name="Text Box 5">
          <a:extLst>
            <a:ext uri="{FF2B5EF4-FFF2-40B4-BE49-F238E27FC236}">
              <a16:creationId xmlns:a16="http://schemas.microsoft.com/office/drawing/2014/main" id="{00000000-0008-0000-0100-0000DC0A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781" name="Text Box 6">
          <a:extLst>
            <a:ext uri="{FF2B5EF4-FFF2-40B4-BE49-F238E27FC236}">
              <a16:creationId xmlns:a16="http://schemas.microsoft.com/office/drawing/2014/main" id="{00000000-0008-0000-0100-0000DD0A0000}"/>
            </a:ext>
          </a:extLst>
        </xdr:cNvPr>
        <xdr:cNvSpPr txBox="1">
          <a:spLocks noChangeArrowheads="1"/>
        </xdr:cNvSpPr>
      </xdr:nvSpPr>
      <xdr:spPr bwMode="auto">
        <a:xfrm>
          <a:off x="3901109" y="5231378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82" name="Text Box 7">
          <a:extLst>
            <a:ext uri="{FF2B5EF4-FFF2-40B4-BE49-F238E27FC236}">
              <a16:creationId xmlns:a16="http://schemas.microsoft.com/office/drawing/2014/main" id="{00000000-0008-0000-0100-0000DE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83" name="Text Box 8">
          <a:extLst>
            <a:ext uri="{FF2B5EF4-FFF2-40B4-BE49-F238E27FC236}">
              <a16:creationId xmlns:a16="http://schemas.microsoft.com/office/drawing/2014/main" id="{00000000-0008-0000-0100-0000DF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84" name="Text Box 9">
          <a:extLst>
            <a:ext uri="{FF2B5EF4-FFF2-40B4-BE49-F238E27FC236}">
              <a16:creationId xmlns:a16="http://schemas.microsoft.com/office/drawing/2014/main" id="{00000000-0008-0000-0100-0000E0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85" name="Text Box 10">
          <a:extLst>
            <a:ext uri="{FF2B5EF4-FFF2-40B4-BE49-F238E27FC236}">
              <a16:creationId xmlns:a16="http://schemas.microsoft.com/office/drawing/2014/main" id="{00000000-0008-0000-0100-0000E1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86" name="Text Box 11">
          <a:extLst>
            <a:ext uri="{FF2B5EF4-FFF2-40B4-BE49-F238E27FC236}">
              <a16:creationId xmlns:a16="http://schemas.microsoft.com/office/drawing/2014/main" id="{00000000-0008-0000-0100-0000E2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87" name="Text Box 12">
          <a:extLst>
            <a:ext uri="{FF2B5EF4-FFF2-40B4-BE49-F238E27FC236}">
              <a16:creationId xmlns:a16="http://schemas.microsoft.com/office/drawing/2014/main" id="{00000000-0008-0000-0100-0000E3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88" name="Text Box 13">
          <a:extLst>
            <a:ext uri="{FF2B5EF4-FFF2-40B4-BE49-F238E27FC236}">
              <a16:creationId xmlns:a16="http://schemas.microsoft.com/office/drawing/2014/main" id="{00000000-0008-0000-0100-0000E4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789" name="Text Box 14">
          <a:extLst>
            <a:ext uri="{FF2B5EF4-FFF2-40B4-BE49-F238E27FC236}">
              <a16:creationId xmlns:a16="http://schemas.microsoft.com/office/drawing/2014/main" id="{00000000-0008-0000-0100-0000E50A0000}"/>
            </a:ext>
          </a:extLst>
        </xdr:cNvPr>
        <xdr:cNvSpPr txBox="1">
          <a:spLocks noChangeArrowheads="1"/>
        </xdr:cNvSpPr>
      </xdr:nvSpPr>
      <xdr:spPr bwMode="auto">
        <a:xfrm>
          <a:off x="3901109" y="52313784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90" name="Text Box 15">
          <a:extLst>
            <a:ext uri="{FF2B5EF4-FFF2-40B4-BE49-F238E27FC236}">
              <a16:creationId xmlns:a16="http://schemas.microsoft.com/office/drawing/2014/main" id="{00000000-0008-0000-0100-0000E6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91" name="Text Box 16">
          <a:extLst>
            <a:ext uri="{FF2B5EF4-FFF2-40B4-BE49-F238E27FC236}">
              <a16:creationId xmlns:a16="http://schemas.microsoft.com/office/drawing/2014/main" id="{00000000-0008-0000-0100-0000E70A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92" name="Text Box 17">
          <a:extLst>
            <a:ext uri="{FF2B5EF4-FFF2-40B4-BE49-F238E27FC236}">
              <a16:creationId xmlns:a16="http://schemas.microsoft.com/office/drawing/2014/main" id="{00000000-0008-0000-0100-0000E80A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93" name="Text Box 18">
          <a:extLst>
            <a:ext uri="{FF2B5EF4-FFF2-40B4-BE49-F238E27FC236}">
              <a16:creationId xmlns:a16="http://schemas.microsoft.com/office/drawing/2014/main" id="{00000000-0008-0000-0100-0000E90A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94" name="Text Box 19">
          <a:extLst>
            <a:ext uri="{FF2B5EF4-FFF2-40B4-BE49-F238E27FC236}">
              <a16:creationId xmlns:a16="http://schemas.microsoft.com/office/drawing/2014/main" id="{00000000-0008-0000-0100-0000EA0A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95" name="Text Box 20">
          <a:extLst>
            <a:ext uri="{FF2B5EF4-FFF2-40B4-BE49-F238E27FC236}">
              <a16:creationId xmlns:a16="http://schemas.microsoft.com/office/drawing/2014/main" id="{00000000-0008-0000-0100-0000EB0A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796" name="Text Box 21">
          <a:extLst>
            <a:ext uri="{FF2B5EF4-FFF2-40B4-BE49-F238E27FC236}">
              <a16:creationId xmlns:a16="http://schemas.microsoft.com/office/drawing/2014/main" id="{00000000-0008-0000-0100-0000EC0A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797" name="Text Box 22">
          <a:extLst>
            <a:ext uri="{FF2B5EF4-FFF2-40B4-BE49-F238E27FC236}">
              <a16:creationId xmlns:a16="http://schemas.microsoft.com/office/drawing/2014/main" id="{00000000-0008-0000-0100-0000ED0A0000}"/>
            </a:ext>
          </a:extLst>
        </xdr:cNvPr>
        <xdr:cNvSpPr txBox="1">
          <a:spLocks noChangeArrowheads="1"/>
        </xdr:cNvSpPr>
      </xdr:nvSpPr>
      <xdr:spPr bwMode="auto">
        <a:xfrm>
          <a:off x="3901109" y="5231378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98" name="Text Box 7">
          <a:extLst>
            <a:ext uri="{FF2B5EF4-FFF2-40B4-BE49-F238E27FC236}">
              <a16:creationId xmlns:a16="http://schemas.microsoft.com/office/drawing/2014/main" id="{00000000-0008-0000-0100-0000EE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799" name="Text Box 8">
          <a:extLst>
            <a:ext uri="{FF2B5EF4-FFF2-40B4-BE49-F238E27FC236}">
              <a16:creationId xmlns:a16="http://schemas.microsoft.com/office/drawing/2014/main" id="{00000000-0008-0000-0100-0000EF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00" name="Text Box 9">
          <a:extLst>
            <a:ext uri="{FF2B5EF4-FFF2-40B4-BE49-F238E27FC236}">
              <a16:creationId xmlns:a16="http://schemas.microsoft.com/office/drawing/2014/main" id="{00000000-0008-0000-0100-0000F0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01" name="Text Box 10">
          <a:extLst>
            <a:ext uri="{FF2B5EF4-FFF2-40B4-BE49-F238E27FC236}">
              <a16:creationId xmlns:a16="http://schemas.microsoft.com/office/drawing/2014/main" id="{00000000-0008-0000-0100-0000F1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02" name="Text Box 11">
          <a:extLst>
            <a:ext uri="{FF2B5EF4-FFF2-40B4-BE49-F238E27FC236}">
              <a16:creationId xmlns:a16="http://schemas.microsoft.com/office/drawing/2014/main" id="{00000000-0008-0000-0100-0000F2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03" name="Text Box 12">
          <a:extLst>
            <a:ext uri="{FF2B5EF4-FFF2-40B4-BE49-F238E27FC236}">
              <a16:creationId xmlns:a16="http://schemas.microsoft.com/office/drawing/2014/main" id="{00000000-0008-0000-0100-0000F3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04" name="Text Box 13">
          <a:extLst>
            <a:ext uri="{FF2B5EF4-FFF2-40B4-BE49-F238E27FC236}">
              <a16:creationId xmlns:a16="http://schemas.microsoft.com/office/drawing/2014/main" id="{00000000-0008-0000-0100-0000F4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805" name="Text Box 14">
          <a:extLst>
            <a:ext uri="{FF2B5EF4-FFF2-40B4-BE49-F238E27FC236}">
              <a16:creationId xmlns:a16="http://schemas.microsoft.com/office/drawing/2014/main" id="{00000000-0008-0000-0100-0000F50A0000}"/>
            </a:ext>
          </a:extLst>
        </xdr:cNvPr>
        <xdr:cNvSpPr txBox="1">
          <a:spLocks noChangeArrowheads="1"/>
        </xdr:cNvSpPr>
      </xdr:nvSpPr>
      <xdr:spPr bwMode="auto">
        <a:xfrm>
          <a:off x="3901109" y="523137848"/>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06" name="Text Box 15">
          <a:extLst>
            <a:ext uri="{FF2B5EF4-FFF2-40B4-BE49-F238E27FC236}">
              <a16:creationId xmlns:a16="http://schemas.microsoft.com/office/drawing/2014/main" id="{00000000-0008-0000-0100-0000F60A0000}"/>
            </a:ext>
          </a:extLst>
        </xdr:cNvPr>
        <xdr:cNvSpPr txBox="1">
          <a:spLocks noChangeArrowheads="1"/>
        </xdr:cNvSpPr>
      </xdr:nvSpPr>
      <xdr:spPr bwMode="auto">
        <a:xfrm>
          <a:off x="3901109" y="523137848"/>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07" name="Text Box 5">
          <a:extLst>
            <a:ext uri="{FF2B5EF4-FFF2-40B4-BE49-F238E27FC236}">
              <a16:creationId xmlns:a16="http://schemas.microsoft.com/office/drawing/2014/main" id="{00000000-0008-0000-0100-0000F70A0000}"/>
            </a:ext>
          </a:extLst>
        </xdr:cNvPr>
        <xdr:cNvSpPr txBox="1">
          <a:spLocks noChangeArrowheads="1"/>
        </xdr:cNvSpPr>
      </xdr:nvSpPr>
      <xdr:spPr bwMode="auto">
        <a:xfrm>
          <a:off x="3901109" y="5231378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08" name="Text Box 6">
          <a:extLst>
            <a:ext uri="{FF2B5EF4-FFF2-40B4-BE49-F238E27FC236}">
              <a16:creationId xmlns:a16="http://schemas.microsoft.com/office/drawing/2014/main" id="{00000000-0008-0000-0100-0000F80A0000}"/>
            </a:ext>
          </a:extLst>
        </xdr:cNvPr>
        <xdr:cNvSpPr txBox="1">
          <a:spLocks noChangeArrowheads="1"/>
        </xdr:cNvSpPr>
      </xdr:nvSpPr>
      <xdr:spPr bwMode="auto">
        <a:xfrm>
          <a:off x="3901109" y="5231378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09" name="Text Box 7">
          <a:extLst>
            <a:ext uri="{FF2B5EF4-FFF2-40B4-BE49-F238E27FC236}">
              <a16:creationId xmlns:a16="http://schemas.microsoft.com/office/drawing/2014/main" id="{00000000-0008-0000-0100-0000F90A0000}"/>
            </a:ext>
          </a:extLst>
        </xdr:cNvPr>
        <xdr:cNvSpPr txBox="1">
          <a:spLocks noChangeArrowheads="1"/>
        </xdr:cNvSpPr>
      </xdr:nvSpPr>
      <xdr:spPr bwMode="auto">
        <a:xfrm>
          <a:off x="3901109" y="5231378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10" name="Text Box 8">
          <a:extLst>
            <a:ext uri="{FF2B5EF4-FFF2-40B4-BE49-F238E27FC236}">
              <a16:creationId xmlns:a16="http://schemas.microsoft.com/office/drawing/2014/main" id="{00000000-0008-0000-0100-0000FA0A0000}"/>
            </a:ext>
          </a:extLst>
        </xdr:cNvPr>
        <xdr:cNvSpPr txBox="1">
          <a:spLocks noChangeArrowheads="1"/>
        </xdr:cNvSpPr>
      </xdr:nvSpPr>
      <xdr:spPr bwMode="auto">
        <a:xfrm>
          <a:off x="3901109" y="5231378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11" name="Text Box 9">
          <a:extLst>
            <a:ext uri="{FF2B5EF4-FFF2-40B4-BE49-F238E27FC236}">
              <a16:creationId xmlns:a16="http://schemas.microsoft.com/office/drawing/2014/main" id="{00000000-0008-0000-0100-0000FB0A0000}"/>
            </a:ext>
          </a:extLst>
        </xdr:cNvPr>
        <xdr:cNvSpPr txBox="1">
          <a:spLocks noChangeArrowheads="1"/>
        </xdr:cNvSpPr>
      </xdr:nvSpPr>
      <xdr:spPr bwMode="auto">
        <a:xfrm>
          <a:off x="3901109" y="5231378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12" name="Text Box 10">
          <a:extLst>
            <a:ext uri="{FF2B5EF4-FFF2-40B4-BE49-F238E27FC236}">
              <a16:creationId xmlns:a16="http://schemas.microsoft.com/office/drawing/2014/main" id="{00000000-0008-0000-0100-0000FC0A0000}"/>
            </a:ext>
          </a:extLst>
        </xdr:cNvPr>
        <xdr:cNvSpPr txBox="1">
          <a:spLocks noChangeArrowheads="1"/>
        </xdr:cNvSpPr>
      </xdr:nvSpPr>
      <xdr:spPr bwMode="auto">
        <a:xfrm>
          <a:off x="3901109" y="5231378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13" name="Text Box 11">
          <a:extLst>
            <a:ext uri="{FF2B5EF4-FFF2-40B4-BE49-F238E27FC236}">
              <a16:creationId xmlns:a16="http://schemas.microsoft.com/office/drawing/2014/main" id="{00000000-0008-0000-0100-0000FD0A0000}"/>
            </a:ext>
          </a:extLst>
        </xdr:cNvPr>
        <xdr:cNvSpPr txBox="1">
          <a:spLocks noChangeArrowheads="1"/>
        </xdr:cNvSpPr>
      </xdr:nvSpPr>
      <xdr:spPr bwMode="auto">
        <a:xfrm>
          <a:off x="3901109" y="5231378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14" name="Text Box 12">
          <a:extLst>
            <a:ext uri="{FF2B5EF4-FFF2-40B4-BE49-F238E27FC236}">
              <a16:creationId xmlns:a16="http://schemas.microsoft.com/office/drawing/2014/main" id="{00000000-0008-0000-0100-0000FE0A0000}"/>
            </a:ext>
          </a:extLst>
        </xdr:cNvPr>
        <xdr:cNvSpPr txBox="1">
          <a:spLocks noChangeArrowheads="1"/>
        </xdr:cNvSpPr>
      </xdr:nvSpPr>
      <xdr:spPr bwMode="auto">
        <a:xfrm>
          <a:off x="3901109" y="523137848"/>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15" name="Text Box 5">
          <a:extLst>
            <a:ext uri="{FF2B5EF4-FFF2-40B4-BE49-F238E27FC236}">
              <a16:creationId xmlns:a16="http://schemas.microsoft.com/office/drawing/2014/main" id="{00000000-0008-0000-0100-0000FF0A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816" name="Text Box 6">
          <a:extLst>
            <a:ext uri="{FF2B5EF4-FFF2-40B4-BE49-F238E27FC236}">
              <a16:creationId xmlns:a16="http://schemas.microsoft.com/office/drawing/2014/main" id="{00000000-0008-0000-0100-0000000B0000}"/>
            </a:ext>
          </a:extLst>
        </xdr:cNvPr>
        <xdr:cNvSpPr txBox="1">
          <a:spLocks noChangeArrowheads="1"/>
        </xdr:cNvSpPr>
      </xdr:nvSpPr>
      <xdr:spPr bwMode="auto">
        <a:xfrm>
          <a:off x="3901109" y="5231378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17" name="Text Box 16">
          <a:extLst>
            <a:ext uri="{FF2B5EF4-FFF2-40B4-BE49-F238E27FC236}">
              <a16:creationId xmlns:a16="http://schemas.microsoft.com/office/drawing/2014/main" id="{00000000-0008-0000-0100-0000010B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18" name="Text Box 17">
          <a:extLst>
            <a:ext uri="{FF2B5EF4-FFF2-40B4-BE49-F238E27FC236}">
              <a16:creationId xmlns:a16="http://schemas.microsoft.com/office/drawing/2014/main" id="{00000000-0008-0000-0100-0000020B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19" name="Text Box 18">
          <a:extLst>
            <a:ext uri="{FF2B5EF4-FFF2-40B4-BE49-F238E27FC236}">
              <a16:creationId xmlns:a16="http://schemas.microsoft.com/office/drawing/2014/main" id="{00000000-0008-0000-0100-0000030B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20" name="Text Box 19">
          <a:extLst>
            <a:ext uri="{FF2B5EF4-FFF2-40B4-BE49-F238E27FC236}">
              <a16:creationId xmlns:a16="http://schemas.microsoft.com/office/drawing/2014/main" id="{00000000-0008-0000-0100-0000040B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21" name="Text Box 20">
          <a:extLst>
            <a:ext uri="{FF2B5EF4-FFF2-40B4-BE49-F238E27FC236}">
              <a16:creationId xmlns:a16="http://schemas.microsoft.com/office/drawing/2014/main" id="{00000000-0008-0000-0100-0000050B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22" name="Text Box 21">
          <a:extLst>
            <a:ext uri="{FF2B5EF4-FFF2-40B4-BE49-F238E27FC236}">
              <a16:creationId xmlns:a16="http://schemas.microsoft.com/office/drawing/2014/main" id="{00000000-0008-0000-0100-0000060B0000}"/>
            </a:ext>
          </a:extLst>
        </xdr:cNvPr>
        <xdr:cNvSpPr txBox="1">
          <a:spLocks noChangeArrowheads="1"/>
        </xdr:cNvSpPr>
      </xdr:nvSpPr>
      <xdr:spPr bwMode="auto">
        <a:xfrm>
          <a:off x="3901109" y="523137848"/>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823" name="Text Box 22">
          <a:extLst>
            <a:ext uri="{FF2B5EF4-FFF2-40B4-BE49-F238E27FC236}">
              <a16:creationId xmlns:a16="http://schemas.microsoft.com/office/drawing/2014/main" id="{00000000-0008-0000-0100-0000070B0000}"/>
            </a:ext>
          </a:extLst>
        </xdr:cNvPr>
        <xdr:cNvSpPr txBox="1">
          <a:spLocks noChangeArrowheads="1"/>
        </xdr:cNvSpPr>
      </xdr:nvSpPr>
      <xdr:spPr bwMode="auto">
        <a:xfrm>
          <a:off x="3901109" y="523137848"/>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24" name="Text Box 5">
          <a:extLst>
            <a:ext uri="{FF2B5EF4-FFF2-40B4-BE49-F238E27FC236}">
              <a16:creationId xmlns:a16="http://schemas.microsoft.com/office/drawing/2014/main" id="{00000000-0008-0000-0100-000008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25" name="Text Box 6">
          <a:extLst>
            <a:ext uri="{FF2B5EF4-FFF2-40B4-BE49-F238E27FC236}">
              <a16:creationId xmlns:a16="http://schemas.microsoft.com/office/drawing/2014/main" id="{00000000-0008-0000-0100-000009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26" name="Text Box 7">
          <a:extLst>
            <a:ext uri="{FF2B5EF4-FFF2-40B4-BE49-F238E27FC236}">
              <a16:creationId xmlns:a16="http://schemas.microsoft.com/office/drawing/2014/main" id="{00000000-0008-0000-0100-00000A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27" name="Text Box 8">
          <a:extLst>
            <a:ext uri="{FF2B5EF4-FFF2-40B4-BE49-F238E27FC236}">
              <a16:creationId xmlns:a16="http://schemas.microsoft.com/office/drawing/2014/main" id="{00000000-0008-0000-0100-00000B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28" name="Text Box 9">
          <a:extLst>
            <a:ext uri="{FF2B5EF4-FFF2-40B4-BE49-F238E27FC236}">
              <a16:creationId xmlns:a16="http://schemas.microsoft.com/office/drawing/2014/main" id="{00000000-0008-0000-0100-00000C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29" name="Text Box 10">
          <a:extLst>
            <a:ext uri="{FF2B5EF4-FFF2-40B4-BE49-F238E27FC236}">
              <a16:creationId xmlns:a16="http://schemas.microsoft.com/office/drawing/2014/main" id="{00000000-0008-0000-0100-00000D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0" name="Text Box 11">
          <a:extLst>
            <a:ext uri="{FF2B5EF4-FFF2-40B4-BE49-F238E27FC236}">
              <a16:creationId xmlns:a16="http://schemas.microsoft.com/office/drawing/2014/main" id="{00000000-0008-0000-0100-00000E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1" name="Text Box 12">
          <a:extLst>
            <a:ext uri="{FF2B5EF4-FFF2-40B4-BE49-F238E27FC236}">
              <a16:creationId xmlns:a16="http://schemas.microsoft.com/office/drawing/2014/main" id="{00000000-0008-0000-0100-00000F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2" name="Text Box 13">
          <a:extLst>
            <a:ext uri="{FF2B5EF4-FFF2-40B4-BE49-F238E27FC236}">
              <a16:creationId xmlns:a16="http://schemas.microsoft.com/office/drawing/2014/main" id="{00000000-0008-0000-0100-000010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833" name="Text Box 14">
          <a:extLst>
            <a:ext uri="{FF2B5EF4-FFF2-40B4-BE49-F238E27FC236}">
              <a16:creationId xmlns:a16="http://schemas.microsoft.com/office/drawing/2014/main" id="{00000000-0008-0000-0100-0000110B0000}"/>
            </a:ext>
          </a:extLst>
        </xdr:cNvPr>
        <xdr:cNvSpPr txBox="1">
          <a:spLocks noChangeArrowheads="1"/>
        </xdr:cNvSpPr>
      </xdr:nvSpPr>
      <xdr:spPr bwMode="auto">
        <a:xfrm>
          <a:off x="3901109" y="536232652"/>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4" name="Text Box 15">
          <a:extLst>
            <a:ext uri="{FF2B5EF4-FFF2-40B4-BE49-F238E27FC236}">
              <a16:creationId xmlns:a16="http://schemas.microsoft.com/office/drawing/2014/main" id="{00000000-0008-0000-0100-000012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5" name="Text Box 16">
          <a:extLst>
            <a:ext uri="{FF2B5EF4-FFF2-40B4-BE49-F238E27FC236}">
              <a16:creationId xmlns:a16="http://schemas.microsoft.com/office/drawing/2014/main" id="{00000000-0008-0000-0100-000013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6" name="Text Box 17">
          <a:extLst>
            <a:ext uri="{FF2B5EF4-FFF2-40B4-BE49-F238E27FC236}">
              <a16:creationId xmlns:a16="http://schemas.microsoft.com/office/drawing/2014/main" id="{00000000-0008-0000-0100-000014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7" name="Text Box 18">
          <a:extLst>
            <a:ext uri="{FF2B5EF4-FFF2-40B4-BE49-F238E27FC236}">
              <a16:creationId xmlns:a16="http://schemas.microsoft.com/office/drawing/2014/main" id="{00000000-0008-0000-0100-000015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8" name="Text Box 19">
          <a:extLst>
            <a:ext uri="{FF2B5EF4-FFF2-40B4-BE49-F238E27FC236}">
              <a16:creationId xmlns:a16="http://schemas.microsoft.com/office/drawing/2014/main" id="{00000000-0008-0000-0100-000016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39" name="Text Box 20">
          <a:extLst>
            <a:ext uri="{FF2B5EF4-FFF2-40B4-BE49-F238E27FC236}">
              <a16:creationId xmlns:a16="http://schemas.microsoft.com/office/drawing/2014/main" id="{00000000-0008-0000-0100-000017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0" name="Text Box 21">
          <a:extLst>
            <a:ext uri="{FF2B5EF4-FFF2-40B4-BE49-F238E27FC236}">
              <a16:creationId xmlns:a16="http://schemas.microsoft.com/office/drawing/2014/main" id="{00000000-0008-0000-0100-000018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1" name="Text Box 22">
          <a:extLst>
            <a:ext uri="{FF2B5EF4-FFF2-40B4-BE49-F238E27FC236}">
              <a16:creationId xmlns:a16="http://schemas.microsoft.com/office/drawing/2014/main" id="{00000000-0008-0000-0100-000019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2" name="Text Box 7">
          <a:extLst>
            <a:ext uri="{FF2B5EF4-FFF2-40B4-BE49-F238E27FC236}">
              <a16:creationId xmlns:a16="http://schemas.microsoft.com/office/drawing/2014/main" id="{00000000-0008-0000-0100-00001A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3" name="Text Box 8">
          <a:extLst>
            <a:ext uri="{FF2B5EF4-FFF2-40B4-BE49-F238E27FC236}">
              <a16:creationId xmlns:a16="http://schemas.microsoft.com/office/drawing/2014/main" id="{00000000-0008-0000-0100-00001B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4" name="Text Box 9">
          <a:extLst>
            <a:ext uri="{FF2B5EF4-FFF2-40B4-BE49-F238E27FC236}">
              <a16:creationId xmlns:a16="http://schemas.microsoft.com/office/drawing/2014/main" id="{00000000-0008-0000-0100-00001C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5" name="Text Box 10">
          <a:extLst>
            <a:ext uri="{FF2B5EF4-FFF2-40B4-BE49-F238E27FC236}">
              <a16:creationId xmlns:a16="http://schemas.microsoft.com/office/drawing/2014/main" id="{00000000-0008-0000-0100-00001D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6" name="Text Box 11">
          <a:extLst>
            <a:ext uri="{FF2B5EF4-FFF2-40B4-BE49-F238E27FC236}">
              <a16:creationId xmlns:a16="http://schemas.microsoft.com/office/drawing/2014/main" id="{00000000-0008-0000-0100-00001E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7" name="Text Box 12">
          <a:extLst>
            <a:ext uri="{FF2B5EF4-FFF2-40B4-BE49-F238E27FC236}">
              <a16:creationId xmlns:a16="http://schemas.microsoft.com/office/drawing/2014/main" id="{00000000-0008-0000-0100-00001F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48" name="Text Box 13">
          <a:extLst>
            <a:ext uri="{FF2B5EF4-FFF2-40B4-BE49-F238E27FC236}">
              <a16:creationId xmlns:a16="http://schemas.microsoft.com/office/drawing/2014/main" id="{00000000-0008-0000-0100-000020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849" name="Text Box 14">
          <a:extLst>
            <a:ext uri="{FF2B5EF4-FFF2-40B4-BE49-F238E27FC236}">
              <a16:creationId xmlns:a16="http://schemas.microsoft.com/office/drawing/2014/main" id="{00000000-0008-0000-0100-0000210B0000}"/>
            </a:ext>
          </a:extLst>
        </xdr:cNvPr>
        <xdr:cNvSpPr txBox="1">
          <a:spLocks noChangeArrowheads="1"/>
        </xdr:cNvSpPr>
      </xdr:nvSpPr>
      <xdr:spPr bwMode="auto">
        <a:xfrm>
          <a:off x="3901109" y="536232652"/>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50" name="Text Box 15">
          <a:extLst>
            <a:ext uri="{FF2B5EF4-FFF2-40B4-BE49-F238E27FC236}">
              <a16:creationId xmlns:a16="http://schemas.microsoft.com/office/drawing/2014/main" id="{00000000-0008-0000-0100-000022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51" name="Text Box 5">
          <a:extLst>
            <a:ext uri="{FF2B5EF4-FFF2-40B4-BE49-F238E27FC236}">
              <a16:creationId xmlns:a16="http://schemas.microsoft.com/office/drawing/2014/main" id="{00000000-0008-0000-0100-000023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852" name="Text Box 6">
          <a:extLst>
            <a:ext uri="{FF2B5EF4-FFF2-40B4-BE49-F238E27FC236}">
              <a16:creationId xmlns:a16="http://schemas.microsoft.com/office/drawing/2014/main" id="{00000000-0008-0000-0100-0000240B0000}"/>
            </a:ext>
          </a:extLst>
        </xdr:cNvPr>
        <xdr:cNvSpPr txBox="1">
          <a:spLocks noChangeArrowheads="1"/>
        </xdr:cNvSpPr>
      </xdr:nvSpPr>
      <xdr:spPr bwMode="auto">
        <a:xfrm>
          <a:off x="3901109" y="53623265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53" name="Text Box 7">
          <a:extLst>
            <a:ext uri="{FF2B5EF4-FFF2-40B4-BE49-F238E27FC236}">
              <a16:creationId xmlns:a16="http://schemas.microsoft.com/office/drawing/2014/main" id="{00000000-0008-0000-0100-000025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54" name="Text Box 8">
          <a:extLst>
            <a:ext uri="{FF2B5EF4-FFF2-40B4-BE49-F238E27FC236}">
              <a16:creationId xmlns:a16="http://schemas.microsoft.com/office/drawing/2014/main" id="{00000000-0008-0000-0100-000026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55" name="Text Box 9">
          <a:extLst>
            <a:ext uri="{FF2B5EF4-FFF2-40B4-BE49-F238E27FC236}">
              <a16:creationId xmlns:a16="http://schemas.microsoft.com/office/drawing/2014/main" id="{00000000-0008-0000-0100-000027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56" name="Text Box 10">
          <a:extLst>
            <a:ext uri="{FF2B5EF4-FFF2-40B4-BE49-F238E27FC236}">
              <a16:creationId xmlns:a16="http://schemas.microsoft.com/office/drawing/2014/main" id="{00000000-0008-0000-0100-000028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57" name="Text Box 11">
          <a:extLst>
            <a:ext uri="{FF2B5EF4-FFF2-40B4-BE49-F238E27FC236}">
              <a16:creationId xmlns:a16="http://schemas.microsoft.com/office/drawing/2014/main" id="{00000000-0008-0000-0100-000029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58" name="Text Box 12">
          <a:extLst>
            <a:ext uri="{FF2B5EF4-FFF2-40B4-BE49-F238E27FC236}">
              <a16:creationId xmlns:a16="http://schemas.microsoft.com/office/drawing/2014/main" id="{00000000-0008-0000-0100-00002A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59" name="Text Box 13">
          <a:extLst>
            <a:ext uri="{FF2B5EF4-FFF2-40B4-BE49-F238E27FC236}">
              <a16:creationId xmlns:a16="http://schemas.microsoft.com/office/drawing/2014/main" id="{00000000-0008-0000-0100-00002B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860" name="Text Box 14">
          <a:extLst>
            <a:ext uri="{FF2B5EF4-FFF2-40B4-BE49-F238E27FC236}">
              <a16:creationId xmlns:a16="http://schemas.microsoft.com/office/drawing/2014/main" id="{00000000-0008-0000-0100-00002C0B0000}"/>
            </a:ext>
          </a:extLst>
        </xdr:cNvPr>
        <xdr:cNvSpPr txBox="1">
          <a:spLocks noChangeArrowheads="1"/>
        </xdr:cNvSpPr>
      </xdr:nvSpPr>
      <xdr:spPr bwMode="auto">
        <a:xfrm>
          <a:off x="3901109" y="536232652"/>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61" name="Text Box 15">
          <a:extLst>
            <a:ext uri="{FF2B5EF4-FFF2-40B4-BE49-F238E27FC236}">
              <a16:creationId xmlns:a16="http://schemas.microsoft.com/office/drawing/2014/main" id="{00000000-0008-0000-0100-00002D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62" name="Text Box 16">
          <a:extLst>
            <a:ext uri="{FF2B5EF4-FFF2-40B4-BE49-F238E27FC236}">
              <a16:creationId xmlns:a16="http://schemas.microsoft.com/office/drawing/2014/main" id="{00000000-0008-0000-0100-00002E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63" name="Text Box 17">
          <a:extLst>
            <a:ext uri="{FF2B5EF4-FFF2-40B4-BE49-F238E27FC236}">
              <a16:creationId xmlns:a16="http://schemas.microsoft.com/office/drawing/2014/main" id="{00000000-0008-0000-0100-00002F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64" name="Text Box 18">
          <a:extLst>
            <a:ext uri="{FF2B5EF4-FFF2-40B4-BE49-F238E27FC236}">
              <a16:creationId xmlns:a16="http://schemas.microsoft.com/office/drawing/2014/main" id="{00000000-0008-0000-0100-000030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65" name="Text Box 19">
          <a:extLst>
            <a:ext uri="{FF2B5EF4-FFF2-40B4-BE49-F238E27FC236}">
              <a16:creationId xmlns:a16="http://schemas.microsoft.com/office/drawing/2014/main" id="{00000000-0008-0000-0100-000031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66" name="Text Box 20">
          <a:extLst>
            <a:ext uri="{FF2B5EF4-FFF2-40B4-BE49-F238E27FC236}">
              <a16:creationId xmlns:a16="http://schemas.microsoft.com/office/drawing/2014/main" id="{00000000-0008-0000-0100-000032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867" name="Text Box 21">
          <a:extLst>
            <a:ext uri="{FF2B5EF4-FFF2-40B4-BE49-F238E27FC236}">
              <a16:creationId xmlns:a16="http://schemas.microsoft.com/office/drawing/2014/main" id="{00000000-0008-0000-0100-000033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868" name="Text Box 22">
          <a:extLst>
            <a:ext uri="{FF2B5EF4-FFF2-40B4-BE49-F238E27FC236}">
              <a16:creationId xmlns:a16="http://schemas.microsoft.com/office/drawing/2014/main" id="{00000000-0008-0000-0100-0000340B0000}"/>
            </a:ext>
          </a:extLst>
        </xdr:cNvPr>
        <xdr:cNvSpPr txBox="1">
          <a:spLocks noChangeArrowheads="1"/>
        </xdr:cNvSpPr>
      </xdr:nvSpPr>
      <xdr:spPr bwMode="auto">
        <a:xfrm>
          <a:off x="3901109" y="53623265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69" name="Text Box 7">
          <a:extLst>
            <a:ext uri="{FF2B5EF4-FFF2-40B4-BE49-F238E27FC236}">
              <a16:creationId xmlns:a16="http://schemas.microsoft.com/office/drawing/2014/main" id="{00000000-0008-0000-0100-000035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70" name="Text Box 8">
          <a:extLst>
            <a:ext uri="{FF2B5EF4-FFF2-40B4-BE49-F238E27FC236}">
              <a16:creationId xmlns:a16="http://schemas.microsoft.com/office/drawing/2014/main" id="{00000000-0008-0000-0100-000036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71" name="Text Box 9">
          <a:extLst>
            <a:ext uri="{FF2B5EF4-FFF2-40B4-BE49-F238E27FC236}">
              <a16:creationId xmlns:a16="http://schemas.microsoft.com/office/drawing/2014/main" id="{00000000-0008-0000-0100-000037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72" name="Text Box 10">
          <a:extLst>
            <a:ext uri="{FF2B5EF4-FFF2-40B4-BE49-F238E27FC236}">
              <a16:creationId xmlns:a16="http://schemas.microsoft.com/office/drawing/2014/main" id="{00000000-0008-0000-0100-000038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73" name="Text Box 11">
          <a:extLst>
            <a:ext uri="{FF2B5EF4-FFF2-40B4-BE49-F238E27FC236}">
              <a16:creationId xmlns:a16="http://schemas.microsoft.com/office/drawing/2014/main" id="{00000000-0008-0000-0100-000039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74" name="Text Box 12">
          <a:extLst>
            <a:ext uri="{FF2B5EF4-FFF2-40B4-BE49-F238E27FC236}">
              <a16:creationId xmlns:a16="http://schemas.microsoft.com/office/drawing/2014/main" id="{00000000-0008-0000-0100-00003A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75" name="Text Box 13">
          <a:extLst>
            <a:ext uri="{FF2B5EF4-FFF2-40B4-BE49-F238E27FC236}">
              <a16:creationId xmlns:a16="http://schemas.microsoft.com/office/drawing/2014/main" id="{00000000-0008-0000-0100-00003B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876" name="Text Box 14">
          <a:extLst>
            <a:ext uri="{FF2B5EF4-FFF2-40B4-BE49-F238E27FC236}">
              <a16:creationId xmlns:a16="http://schemas.microsoft.com/office/drawing/2014/main" id="{00000000-0008-0000-0100-00003C0B0000}"/>
            </a:ext>
          </a:extLst>
        </xdr:cNvPr>
        <xdr:cNvSpPr txBox="1">
          <a:spLocks noChangeArrowheads="1"/>
        </xdr:cNvSpPr>
      </xdr:nvSpPr>
      <xdr:spPr bwMode="auto">
        <a:xfrm>
          <a:off x="3901109" y="536232652"/>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877" name="Text Box 15">
          <a:extLst>
            <a:ext uri="{FF2B5EF4-FFF2-40B4-BE49-F238E27FC236}">
              <a16:creationId xmlns:a16="http://schemas.microsoft.com/office/drawing/2014/main" id="{00000000-0008-0000-0100-00003D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78" name="Text Box 5">
          <a:extLst>
            <a:ext uri="{FF2B5EF4-FFF2-40B4-BE49-F238E27FC236}">
              <a16:creationId xmlns:a16="http://schemas.microsoft.com/office/drawing/2014/main" id="{00000000-0008-0000-0100-00003E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79" name="Text Box 6">
          <a:extLst>
            <a:ext uri="{FF2B5EF4-FFF2-40B4-BE49-F238E27FC236}">
              <a16:creationId xmlns:a16="http://schemas.microsoft.com/office/drawing/2014/main" id="{00000000-0008-0000-0100-00003F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80" name="Text Box 7">
          <a:extLst>
            <a:ext uri="{FF2B5EF4-FFF2-40B4-BE49-F238E27FC236}">
              <a16:creationId xmlns:a16="http://schemas.microsoft.com/office/drawing/2014/main" id="{00000000-0008-0000-0100-000040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81" name="Text Box 8">
          <a:extLst>
            <a:ext uri="{FF2B5EF4-FFF2-40B4-BE49-F238E27FC236}">
              <a16:creationId xmlns:a16="http://schemas.microsoft.com/office/drawing/2014/main" id="{00000000-0008-0000-0100-000041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82" name="Text Box 9">
          <a:extLst>
            <a:ext uri="{FF2B5EF4-FFF2-40B4-BE49-F238E27FC236}">
              <a16:creationId xmlns:a16="http://schemas.microsoft.com/office/drawing/2014/main" id="{00000000-0008-0000-0100-000042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83" name="Text Box 10">
          <a:extLst>
            <a:ext uri="{FF2B5EF4-FFF2-40B4-BE49-F238E27FC236}">
              <a16:creationId xmlns:a16="http://schemas.microsoft.com/office/drawing/2014/main" id="{00000000-0008-0000-0100-000043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84" name="Text Box 11">
          <a:extLst>
            <a:ext uri="{FF2B5EF4-FFF2-40B4-BE49-F238E27FC236}">
              <a16:creationId xmlns:a16="http://schemas.microsoft.com/office/drawing/2014/main" id="{00000000-0008-0000-0100-000044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885" name="Text Box 12">
          <a:extLst>
            <a:ext uri="{FF2B5EF4-FFF2-40B4-BE49-F238E27FC236}">
              <a16:creationId xmlns:a16="http://schemas.microsoft.com/office/drawing/2014/main" id="{00000000-0008-0000-0100-000045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86" name="Text Box 5">
          <a:extLst>
            <a:ext uri="{FF2B5EF4-FFF2-40B4-BE49-F238E27FC236}">
              <a16:creationId xmlns:a16="http://schemas.microsoft.com/office/drawing/2014/main" id="{00000000-0008-0000-0100-000046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87" name="Text Box 6">
          <a:extLst>
            <a:ext uri="{FF2B5EF4-FFF2-40B4-BE49-F238E27FC236}">
              <a16:creationId xmlns:a16="http://schemas.microsoft.com/office/drawing/2014/main" id="{00000000-0008-0000-0100-000047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88" name="Text Box 7">
          <a:extLst>
            <a:ext uri="{FF2B5EF4-FFF2-40B4-BE49-F238E27FC236}">
              <a16:creationId xmlns:a16="http://schemas.microsoft.com/office/drawing/2014/main" id="{00000000-0008-0000-0100-000048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89" name="Text Box 8">
          <a:extLst>
            <a:ext uri="{FF2B5EF4-FFF2-40B4-BE49-F238E27FC236}">
              <a16:creationId xmlns:a16="http://schemas.microsoft.com/office/drawing/2014/main" id="{00000000-0008-0000-0100-000049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0" name="Text Box 9">
          <a:extLst>
            <a:ext uri="{FF2B5EF4-FFF2-40B4-BE49-F238E27FC236}">
              <a16:creationId xmlns:a16="http://schemas.microsoft.com/office/drawing/2014/main" id="{00000000-0008-0000-0100-00004A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1" name="Text Box 10">
          <a:extLst>
            <a:ext uri="{FF2B5EF4-FFF2-40B4-BE49-F238E27FC236}">
              <a16:creationId xmlns:a16="http://schemas.microsoft.com/office/drawing/2014/main" id="{00000000-0008-0000-0100-00004B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2" name="Text Box 11">
          <a:extLst>
            <a:ext uri="{FF2B5EF4-FFF2-40B4-BE49-F238E27FC236}">
              <a16:creationId xmlns:a16="http://schemas.microsoft.com/office/drawing/2014/main" id="{00000000-0008-0000-0100-00004C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3" name="Text Box 12">
          <a:extLst>
            <a:ext uri="{FF2B5EF4-FFF2-40B4-BE49-F238E27FC236}">
              <a16:creationId xmlns:a16="http://schemas.microsoft.com/office/drawing/2014/main" id="{00000000-0008-0000-0100-00004D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4" name="Text Box 13">
          <a:extLst>
            <a:ext uri="{FF2B5EF4-FFF2-40B4-BE49-F238E27FC236}">
              <a16:creationId xmlns:a16="http://schemas.microsoft.com/office/drawing/2014/main" id="{00000000-0008-0000-0100-00004E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895" name="Text Box 14">
          <a:extLst>
            <a:ext uri="{FF2B5EF4-FFF2-40B4-BE49-F238E27FC236}">
              <a16:creationId xmlns:a16="http://schemas.microsoft.com/office/drawing/2014/main" id="{00000000-0008-0000-0100-00004F0B0000}"/>
            </a:ext>
          </a:extLst>
        </xdr:cNvPr>
        <xdr:cNvSpPr txBox="1">
          <a:spLocks noChangeArrowheads="1"/>
        </xdr:cNvSpPr>
      </xdr:nvSpPr>
      <xdr:spPr bwMode="auto">
        <a:xfrm>
          <a:off x="3901109" y="536232652"/>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6" name="Text Box 15">
          <a:extLst>
            <a:ext uri="{FF2B5EF4-FFF2-40B4-BE49-F238E27FC236}">
              <a16:creationId xmlns:a16="http://schemas.microsoft.com/office/drawing/2014/main" id="{00000000-0008-0000-0100-000050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7" name="Text Box 16">
          <a:extLst>
            <a:ext uri="{FF2B5EF4-FFF2-40B4-BE49-F238E27FC236}">
              <a16:creationId xmlns:a16="http://schemas.microsoft.com/office/drawing/2014/main" id="{00000000-0008-0000-0100-000051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8" name="Text Box 17">
          <a:extLst>
            <a:ext uri="{FF2B5EF4-FFF2-40B4-BE49-F238E27FC236}">
              <a16:creationId xmlns:a16="http://schemas.microsoft.com/office/drawing/2014/main" id="{00000000-0008-0000-0100-000052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899" name="Text Box 18">
          <a:extLst>
            <a:ext uri="{FF2B5EF4-FFF2-40B4-BE49-F238E27FC236}">
              <a16:creationId xmlns:a16="http://schemas.microsoft.com/office/drawing/2014/main" id="{00000000-0008-0000-0100-000053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0" name="Text Box 19">
          <a:extLst>
            <a:ext uri="{FF2B5EF4-FFF2-40B4-BE49-F238E27FC236}">
              <a16:creationId xmlns:a16="http://schemas.microsoft.com/office/drawing/2014/main" id="{00000000-0008-0000-0100-000054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1" name="Text Box 20">
          <a:extLst>
            <a:ext uri="{FF2B5EF4-FFF2-40B4-BE49-F238E27FC236}">
              <a16:creationId xmlns:a16="http://schemas.microsoft.com/office/drawing/2014/main" id="{00000000-0008-0000-0100-000055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2" name="Text Box 21">
          <a:extLst>
            <a:ext uri="{FF2B5EF4-FFF2-40B4-BE49-F238E27FC236}">
              <a16:creationId xmlns:a16="http://schemas.microsoft.com/office/drawing/2014/main" id="{00000000-0008-0000-0100-000056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3" name="Text Box 22">
          <a:extLst>
            <a:ext uri="{FF2B5EF4-FFF2-40B4-BE49-F238E27FC236}">
              <a16:creationId xmlns:a16="http://schemas.microsoft.com/office/drawing/2014/main" id="{00000000-0008-0000-0100-000057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4" name="Text Box 7">
          <a:extLst>
            <a:ext uri="{FF2B5EF4-FFF2-40B4-BE49-F238E27FC236}">
              <a16:creationId xmlns:a16="http://schemas.microsoft.com/office/drawing/2014/main" id="{00000000-0008-0000-0100-000058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5" name="Text Box 8">
          <a:extLst>
            <a:ext uri="{FF2B5EF4-FFF2-40B4-BE49-F238E27FC236}">
              <a16:creationId xmlns:a16="http://schemas.microsoft.com/office/drawing/2014/main" id="{00000000-0008-0000-0100-000059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6" name="Text Box 9">
          <a:extLst>
            <a:ext uri="{FF2B5EF4-FFF2-40B4-BE49-F238E27FC236}">
              <a16:creationId xmlns:a16="http://schemas.microsoft.com/office/drawing/2014/main" id="{00000000-0008-0000-0100-00005A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7" name="Text Box 10">
          <a:extLst>
            <a:ext uri="{FF2B5EF4-FFF2-40B4-BE49-F238E27FC236}">
              <a16:creationId xmlns:a16="http://schemas.microsoft.com/office/drawing/2014/main" id="{00000000-0008-0000-0100-00005B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8" name="Text Box 11">
          <a:extLst>
            <a:ext uri="{FF2B5EF4-FFF2-40B4-BE49-F238E27FC236}">
              <a16:creationId xmlns:a16="http://schemas.microsoft.com/office/drawing/2014/main" id="{00000000-0008-0000-0100-00005C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09" name="Text Box 12">
          <a:extLst>
            <a:ext uri="{FF2B5EF4-FFF2-40B4-BE49-F238E27FC236}">
              <a16:creationId xmlns:a16="http://schemas.microsoft.com/office/drawing/2014/main" id="{00000000-0008-0000-0100-00005D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10" name="Text Box 13">
          <a:extLst>
            <a:ext uri="{FF2B5EF4-FFF2-40B4-BE49-F238E27FC236}">
              <a16:creationId xmlns:a16="http://schemas.microsoft.com/office/drawing/2014/main" id="{00000000-0008-0000-0100-00005E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2911" name="Text Box 14">
          <a:extLst>
            <a:ext uri="{FF2B5EF4-FFF2-40B4-BE49-F238E27FC236}">
              <a16:creationId xmlns:a16="http://schemas.microsoft.com/office/drawing/2014/main" id="{00000000-0008-0000-0100-00005F0B0000}"/>
            </a:ext>
          </a:extLst>
        </xdr:cNvPr>
        <xdr:cNvSpPr txBox="1">
          <a:spLocks noChangeArrowheads="1"/>
        </xdr:cNvSpPr>
      </xdr:nvSpPr>
      <xdr:spPr bwMode="auto">
        <a:xfrm>
          <a:off x="3901109" y="536232652"/>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12" name="Text Box 15">
          <a:extLst>
            <a:ext uri="{FF2B5EF4-FFF2-40B4-BE49-F238E27FC236}">
              <a16:creationId xmlns:a16="http://schemas.microsoft.com/office/drawing/2014/main" id="{00000000-0008-0000-0100-0000600B0000}"/>
            </a:ext>
          </a:extLst>
        </xdr:cNvPr>
        <xdr:cNvSpPr txBox="1">
          <a:spLocks noChangeArrowheads="1"/>
        </xdr:cNvSpPr>
      </xdr:nvSpPr>
      <xdr:spPr bwMode="auto">
        <a:xfrm>
          <a:off x="3901109" y="536232652"/>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13" name="Text Box 5">
          <a:extLst>
            <a:ext uri="{FF2B5EF4-FFF2-40B4-BE49-F238E27FC236}">
              <a16:creationId xmlns:a16="http://schemas.microsoft.com/office/drawing/2014/main" id="{00000000-0008-0000-0100-000061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914" name="Text Box 6">
          <a:extLst>
            <a:ext uri="{FF2B5EF4-FFF2-40B4-BE49-F238E27FC236}">
              <a16:creationId xmlns:a16="http://schemas.microsoft.com/office/drawing/2014/main" id="{00000000-0008-0000-0100-0000620B0000}"/>
            </a:ext>
          </a:extLst>
        </xdr:cNvPr>
        <xdr:cNvSpPr txBox="1">
          <a:spLocks noChangeArrowheads="1"/>
        </xdr:cNvSpPr>
      </xdr:nvSpPr>
      <xdr:spPr bwMode="auto">
        <a:xfrm>
          <a:off x="3901109" y="53623265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15" name="Text Box 7">
          <a:extLst>
            <a:ext uri="{FF2B5EF4-FFF2-40B4-BE49-F238E27FC236}">
              <a16:creationId xmlns:a16="http://schemas.microsoft.com/office/drawing/2014/main" id="{00000000-0008-0000-0100-000063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16" name="Text Box 8">
          <a:extLst>
            <a:ext uri="{FF2B5EF4-FFF2-40B4-BE49-F238E27FC236}">
              <a16:creationId xmlns:a16="http://schemas.microsoft.com/office/drawing/2014/main" id="{00000000-0008-0000-0100-000064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17" name="Text Box 9">
          <a:extLst>
            <a:ext uri="{FF2B5EF4-FFF2-40B4-BE49-F238E27FC236}">
              <a16:creationId xmlns:a16="http://schemas.microsoft.com/office/drawing/2014/main" id="{00000000-0008-0000-0100-000065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18" name="Text Box 10">
          <a:extLst>
            <a:ext uri="{FF2B5EF4-FFF2-40B4-BE49-F238E27FC236}">
              <a16:creationId xmlns:a16="http://schemas.microsoft.com/office/drawing/2014/main" id="{00000000-0008-0000-0100-000066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19" name="Text Box 11">
          <a:extLst>
            <a:ext uri="{FF2B5EF4-FFF2-40B4-BE49-F238E27FC236}">
              <a16:creationId xmlns:a16="http://schemas.microsoft.com/office/drawing/2014/main" id="{00000000-0008-0000-0100-000067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20" name="Text Box 12">
          <a:extLst>
            <a:ext uri="{FF2B5EF4-FFF2-40B4-BE49-F238E27FC236}">
              <a16:creationId xmlns:a16="http://schemas.microsoft.com/office/drawing/2014/main" id="{00000000-0008-0000-0100-000068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21" name="Text Box 13">
          <a:extLst>
            <a:ext uri="{FF2B5EF4-FFF2-40B4-BE49-F238E27FC236}">
              <a16:creationId xmlns:a16="http://schemas.microsoft.com/office/drawing/2014/main" id="{00000000-0008-0000-0100-000069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922" name="Text Box 14">
          <a:extLst>
            <a:ext uri="{FF2B5EF4-FFF2-40B4-BE49-F238E27FC236}">
              <a16:creationId xmlns:a16="http://schemas.microsoft.com/office/drawing/2014/main" id="{00000000-0008-0000-0100-00006A0B0000}"/>
            </a:ext>
          </a:extLst>
        </xdr:cNvPr>
        <xdr:cNvSpPr txBox="1">
          <a:spLocks noChangeArrowheads="1"/>
        </xdr:cNvSpPr>
      </xdr:nvSpPr>
      <xdr:spPr bwMode="auto">
        <a:xfrm>
          <a:off x="3901109" y="536232652"/>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23" name="Text Box 15">
          <a:extLst>
            <a:ext uri="{FF2B5EF4-FFF2-40B4-BE49-F238E27FC236}">
              <a16:creationId xmlns:a16="http://schemas.microsoft.com/office/drawing/2014/main" id="{00000000-0008-0000-0100-00006B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24" name="Text Box 16">
          <a:extLst>
            <a:ext uri="{FF2B5EF4-FFF2-40B4-BE49-F238E27FC236}">
              <a16:creationId xmlns:a16="http://schemas.microsoft.com/office/drawing/2014/main" id="{00000000-0008-0000-0100-00006C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25" name="Text Box 17">
          <a:extLst>
            <a:ext uri="{FF2B5EF4-FFF2-40B4-BE49-F238E27FC236}">
              <a16:creationId xmlns:a16="http://schemas.microsoft.com/office/drawing/2014/main" id="{00000000-0008-0000-0100-00006D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26" name="Text Box 18">
          <a:extLst>
            <a:ext uri="{FF2B5EF4-FFF2-40B4-BE49-F238E27FC236}">
              <a16:creationId xmlns:a16="http://schemas.microsoft.com/office/drawing/2014/main" id="{00000000-0008-0000-0100-00006E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27" name="Text Box 19">
          <a:extLst>
            <a:ext uri="{FF2B5EF4-FFF2-40B4-BE49-F238E27FC236}">
              <a16:creationId xmlns:a16="http://schemas.microsoft.com/office/drawing/2014/main" id="{00000000-0008-0000-0100-00006F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28" name="Text Box 20">
          <a:extLst>
            <a:ext uri="{FF2B5EF4-FFF2-40B4-BE49-F238E27FC236}">
              <a16:creationId xmlns:a16="http://schemas.microsoft.com/office/drawing/2014/main" id="{00000000-0008-0000-0100-000070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29" name="Text Box 21">
          <a:extLst>
            <a:ext uri="{FF2B5EF4-FFF2-40B4-BE49-F238E27FC236}">
              <a16:creationId xmlns:a16="http://schemas.microsoft.com/office/drawing/2014/main" id="{00000000-0008-0000-0100-000071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930" name="Text Box 22">
          <a:extLst>
            <a:ext uri="{FF2B5EF4-FFF2-40B4-BE49-F238E27FC236}">
              <a16:creationId xmlns:a16="http://schemas.microsoft.com/office/drawing/2014/main" id="{00000000-0008-0000-0100-0000720B0000}"/>
            </a:ext>
          </a:extLst>
        </xdr:cNvPr>
        <xdr:cNvSpPr txBox="1">
          <a:spLocks noChangeArrowheads="1"/>
        </xdr:cNvSpPr>
      </xdr:nvSpPr>
      <xdr:spPr bwMode="auto">
        <a:xfrm>
          <a:off x="3901109" y="53623265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31" name="Text Box 7">
          <a:extLst>
            <a:ext uri="{FF2B5EF4-FFF2-40B4-BE49-F238E27FC236}">
              <a16:creationId xmlns:a16="http://schemas.microsoft.com/office/drawing/2014/main" id="{00000000-0008-0000-0100-000073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32" name="Text Box 8">
          <a:extLst>
            <a:ext uri="{FF2B5EF4-FFF2-40B4-BE49-F238E27FC236}">
              <a16:creationId xmlns:a16="http://schemas.microsoft.com/office/drawing/2014/main" id="{00000000-0008-0000-0100-000074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33" name="Text Box 9">
          <a:extLst>
            <a:ext uri="{FF2B5EF4-FFF2-40B4-BE49-F238E27FC236}">
              <a16:creationId xmlns:a16="http://schemas.microsoft.com/office/drawing/2014/main" id="{00000000-0008-0000-0100-000075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34" name="Text Box 10">
          <a:extLst>
            <a:ext uri="{FF2B5EF4-FFF2-40B4-BE49-F238E27FC236}">
              <a16:creationId xmlns:a16="http://schemas.microsoft.com/office/drawing/2014/main" id="{00000000-0008-0000-0100-000076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35" name="Text Box 11">
          <a:extLst>
            <a:ext uri="{FF2B5EF4-FFF2-40B4-BE49-F238E27FC236}">
              <a16:creationId xmlns:a16="http://schemas.microsoft.com/office/drawing/2014/main" id="{00000000-0008-0000-0100-000077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36" name="Text Box 12">
          <a:extLst>
            <a:ext uri="{FF2B5EF4-FFF2-40B4-BE49-F238E27FC236}">
              <a16:creationId xmlns:a16="http://schemas.microsoft.com/office/drawing/2014/main" id="{00000000-0008-0000-0100-000078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37" name="Text Box 13">
          <a:extLst>
            <a:ext uri="{FF2B5EF4-FFF2-40B4-BE49-F238E27FC236}">
              <a16:creationId xmlns:a16="http://schemas.microsoft.com/office/drawing/2014/main" id="{00000000-0008-0000-0100-000079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2938" name="Text Box 14">
          <a:extLst>
            <a:ext uri="{FF2B5EF4-FFF2-40B4-BE49-F238E27FC236}">
              <a16:creationId xmlns:a16="http://schemas.microsoft.com/office/drawing/2014/main" id="{00000000-0008-0000-0100-00007A0B0000}"/>
            </a:ext>
          </a:extLst>
        </xdr:cNvPr>
        <xdr:cNvSpPr txBox="1">
          <a:spLocks noChangeArrowheads="1"/>
        </xdr:cNvSpPr>
      </xdr:nvSpPr>
      <xdr:spPr bwMode="auto">
        <a:xfrm>
          <a:off x="3901109" y="536232652"/>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2939" name="Text Box 15">
          <a:extLst>
            <a:ext uri="{FF2B5EF4-FFF2-40B4-BE49-F238E27FC236}">
              <a16:creationId xmlns:a16="http://schemas.microsoft.com/office/drawing/2014/main" id="{00000000-0008-0000-0100-00007B0B0000}"/>
            </a:ext>
          </a:extLst>
        </xdr:cNvPr>
        <xdr:cNvSpPr txBox="1">
          <a:spLocks noChangeArrowheads="1"/>
        </xdr:cNvSpPr>
      </xdr:nvSpPr>
      <xdr:spPr bwMode="auto">
        <a:xfrm>
          <a:off x="3901109" y="536232652"/>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40" name="Text Box 5">
          <a:extLst>
            <a:ext uri="{FF2B5EF4-FFF2-40B4-BE49-F238E27FC236}">
              <a16:creationId xmlns:a16="http://schemas.microsoft.com/office/drawing/2014/main" id="{00000000-0008-0000-0100-00007C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41" name="Text Box 6">
          <a:extLst>
            <a:ext uri="{FF2B5EF4-FFF2-40B4-BE49-F238E27FC236}">
              <a16:creationId xmlns:a16="http://schemas.microsoft.com/office/drawing/2014/main" id="{00000000-0008-0000-0100-00007D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42" name="Text Box 7">
          <a:extLst>
            <a:ext uri="{FF2B5EF4-FFF2-40B4-BE49-F238E27FC236}">
              <a16:creationId xmlns:a16="http://schemas.microsoft.com/office/drawing/2014/main" id="{00000000-0008-0000-0100-00007E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43" name="Text Box 8">
          <a:extLst>
            <a:ext uri="{FF2B5EF4-FFF2-40B4-BE49-F238E27FC236}">
              <a16:creationId xmlns:a16="http://schemas.microsoft.com/office/drawing/2014/main" id="{00000000-0008-0000-0100-00007F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44" name="Text Box 9">
          <a:extLst>
            <a:ext uri="{FF2B5EF4-FFF2-40B4-BE49-F238E27FC236}">
              <a16:creationId xmlns:a16="http://schemas.microsoft.com/office/drawing/2014/main" id="{00000000-0008-0000-0100-000080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45" name="Text Box 10">
          <a:extLst>
            <a:ext uri="{FF2B5EF4-FFF2-40B4-BE49-F238E27FC236}">
              <a16:creationId xmlns:a16="http://schemas.microsoft.com/office/drawing/2014/main" id="{00000000-0008-0000-0100-000081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46" name="Text Box 11">
          <a:extLst>
            <a:ext uri="{FF2B5EF4-FFF2-40B4-BE49-F238E27FC236}">
              <a16:creationId xmlns:a16="http://schemas.microsoft.com/office/drawing/2014/main" id="{00000000-0008-0000-0100-000082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47" name="Text Box 12">
          <a:extLst>
            <a:ext uri="{FF2B5EF4-FFF2-40B4-BE49-F238E27FC236}">
              <a16:creationId xmlns:a16="http://schemas.microsoft.com/office/drawing/2014/main" id="{00000000-0008-0000-0100-0000830B0000}"/>
            </a:ext>
          </a:extLst>
        </xdr:cNvPr>
        <xdr:cNvSpPr txBox="1">
          <a:spLocks noChangeArrowheads="1"/>
        </xdr:cNvSpPr>
      </xdr:nvSpPr>
      <xdr:spPr bwMode="auto">
        <a:xfrm>
          <a:off x="3901109" y="536232652"/>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48" name="Text Box 5">
          <a:extLst>
            <a:ext uri="{FF2B5EF4-FFF2-40B4-BE49-F238E27FC236}">
              <a16:creationId xmlns:a16="http://schemas.microsoft.com/office/drawing/2014/main" id="{00000000-0008-0000-0100-000084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949" name="Text Box 6">
          <a:extLst>
            <a:ext uri="{FF2B5EF4-FFF2-40B4-BE49-F238E27FC236}">
              <a16:creationId xmlns:a16="http://schemas.microsoft.com/office/drawing/2014/main" id="{00000000-0008-0000-0100-0000850B0000}"/>
            </a:ext>
          </a:extLst>
        </xdr:cNvPr>
        <xdr:cNvSpPr txBox="1">
          <a:spLocks noChangeArrowheads="1"/>
        </xdr:cNvSpPr>
      </xdr:nvSpPr>
      <xdr:spPr bwMode="auto">
        <a:xfrm>
          <a:off x="3901109" y="53623265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50" name="Text Box 16">
          <a:extLst>
            <a:ext uri="{FF2B5EF4-FFF2-40B4-BE49-F238E27FC236}">
              <a16:creationId xmlns:a16="http://schemas.microsoft.com/office/drawing/2014/main" id="{00000000-0008-0000-0100-000086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51" name="Text Box 17">
          <a:extLst>
            <a:ext uri="{FF2B5EF4-FFF2-40B4-BE49-F238E27FC236}">
              <a16:creationId xmlns:a16="http://schemas.microsoft.com/office/drawing/2014/main" id="{00000000-0008-0000-0100-000087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52" name="Text Box 18">
          <a:extLst>
            <a:ext uri="{FF2B5EF4-FFF2-40B4-BE49-F238E27FC236}">
              <a16:creationId xmlns:a16="http://schemas.microsoft.com/office/drawing/2014/main" id="{00000000-0008-0000-0100-000088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53" name="Text Box 19">
          <a:extLst>
            <a:ext uri="{FF2B5EF4-FFF2-40B4-BE49-F238E27FC236}">
              <a16:creationId xmlns:a16="http://schemas.microsoft.com/office/drawing/2014/main" id="{00000000-0008-0000-0100-000089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54" name="Text Box 20">
          <a:extLst>
            <a:ext uri="{FF2B5EF4-FFF2-40B4-BE49-F238E27FC236}">
              <a16:creationId xmlns:a16="http://schemas.microsoft.com/office/drawing/2014/main" id="{00000000-0008-0000-0100-00008A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55" name="Text Box 21">
          <a:extLst>
            <a:ext uri="{FF2B5EF4-FFF2-40B4-BE49-F238E27FC236}">
              <a16:creationId xmlns:a16="http://schemas.microsoft.com/office/drawing/2014/main" id="{00000000-0008-0000-0100-00008B0B0000}"/>
            </a:ext>
          </a:extLst>
        </xdr:cNvPr>
        <xdr:cNvSpPr txBox="1">
          <a:spLocks noChangeArrowheads="1"/>
        </xdr:cNvSpPr>
      </xdr:nvSpPr>
      <xdr:spPr bwMode="auto">
        <a:xfrm>
          <a:off x="3901109" y="536232652"/>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956" name="Text Box 22">
          <a:extLst>
            <a:ext uri="{FF2B5EF4-FFF2-40B4-BE49-F238E27FC236}">
              <a16:creationId xmlns:a16="http://schemas.microsoft.com/office/drawing/2014/main" id="{00000000-0008-0000-0100-00008C0B0000}"/>
            </a:ext>
          </a:extLst>
        </xdr:cNvPr>
        <xdr:cNvSpPr txBox="1">
          <a:spLocks noChangeArrowheads="1"/>
        </xdr:cNvSpPr>
      </xdr:nvSpPr>
      <xdr:spPr bwMode="auto">
        <a:xfrm>
          <a:off x="3901109" y="536232652"/>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57" name="Text Box 5">
          <a:extLst>
            <a:ext uri="{FF2B5EF4-FFF2-40B4-BE49-F238E27FC236}">
              <a16:creationId xmlns:a16="http://schemas.microsoft.com/office/drawing/2014/main" id="{00000000-0008-0000-0100-00008D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58" name="Text Box 6">
          <a:extLst>
            <a:ext uri="{FF2B5EF4-FFF2-40B4-BE49-F238E27FC236}">
              <a16:creationId xmlns:a16="http://schemas.microsoft.com/office/drawing/2014/main" id="{00000000-0008-0000-0100-00008E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59" name="Text Box 7">
          <a:extLst>
            <a:ext uri="{FF2B5EF4-FFF2-40B4-BE49-F238E27FC236}">
              <a16:creationId xmlns:a16="http://schemas.microsoft.com/office/drawing/2014/main" id="{00000000-0008-0000-0100-00008F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0" name="Text Box 8">
          <a:extLst>
            <a:ext uri="{FF2B5EF4-FFF2-40B4-BE49-F238E27FC236}">
              <a16:creationId xmlns:a16="http://schemas.microsoft.com/office/drawing/2014/main" id="{00000000-0008-0000-0100-000090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1" name="Text Box 9">
          <a:extLst>
            <a:ext uri="{FF2B5EF4-FFF2-40B4-BE49-F238E27FC236}">
              <a16:creationId xmlns:a16="http://schemas.microsoft.com/office/drawing/2014/main" id="{00000000-0008-0000-0100-000091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2" name="Text Box 10">
          <a:extLst>
            <a:ext uri="{FF2B5EF4-FFF2-40B4-BE49-F238E27FC236}">
              <a16:creationId xmlns:a16="http://schemas.microsoft.com/office/drawing/2014/main" id="{00000000-0008-0000-0100-000092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3" name="Text Box 11">
          <a:extLst>
            <a:ext uri="{FF2B5EF4-FFF2-40B4-BE49-F238E27FC236}">
              <a16:creationId xmlns:a16="http://schemas.microsoft.com/office/drawing/2014/main" id="{00000000-0008-0000-0100-000093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4" name="Text Box 12">
          <a:extLst>
            <a:ext uri="{FF2B5EF4-FFF2-40B4-BE49-F238E27FC236}">
              <a16:creationId xmlns:a16="http://schemas.microsoft.com/office/drawing/2014/main" id="{00000000-0008-0000-0100-000094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5" name="Text Box 5">
          <a:extLst>
            <a:ext uri="{FF2B5EF4-FFF2-40B4-BE49-F238E27FC236}">
              <a16:creationId xmlns:a16="http://schemas.microsoft.com/office/drawing/2014/main" id="{00000000-0008-0000-0100-000095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6" name="Text Box 6">
          <a:extLst>
            <a:ext uri="{FF2B5EF4-FFF2-40B4-BE49-F238E27FC236}">
              <a16:creationId xmlns:a16="http://schemas.microsoft.com/office/drawing/2014/main" id="{00000000-0008-0000-0100-000096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7" name="Text Box 7">
          <a:extLst>
            <a:ext uri="{FF2B5EF4-FFF2-40B4-BE49-F238E27FC236}">
              <a16:creationId xmlns:a16="http://schemas.microsoft.com/office/drawing/2014/main" id="{00000000-0008-0000-0100-000097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8" name="Text Box 8">
          <a:extLst>
            <a:ext uri="{FF2B5EF4-FFF2-40B4-BE49-F238E27FC236}">
              <a16:creationId xmlns:a16="http://schemas.microsoft.com/office/drawing/2014/main" id="{00000000-0008-0000-0100-000098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69" name="Text Box 9">
          <a:extLst>
            <a:ext uri="{FF2B5EF4-FFF2-40B4-BE49-F238E27FC236}">
              <a16:creationId xmlns:a16="http://schemas.microsoft.com/office/drawing/2014/main" id="{00000000-0008-0000-0100-000099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0" name="Text Box 10">
          <a:extLst>
            <a:ext uri="{FF2B5EF4-FFF2-40B4-BE49-F238E27FC236}">
              <a16:creationId xmlns:a16="http://schemas.microsoft.com/office/drawing/2014/main" id="{00000000-0008-0000-0100-00009A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1" name="Text Box 11">
          <a:extLst>
            <a:ext uri="{FF2B5EF4-FFF2-40B4-BE49-F238E27FC236}">
              <a16:creationId xmlns:a16="http://schemas.microsoft.com/office/drawing/2014/main" id="{00000000-0008-0000-0100-00009B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2" name="Text Box 12">
          <a:extLst>
            <a:ext uri="{FF2B5EF4-FFF2-40B4-BE49-F238E27FC236}">
              <a16:creationId xmlns:a16="http://schemas.microsoft.com/office/drawing/2014/main" id="{00000000-0008-0000-0100-00009C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3" name="Text Box 5">
          <a:extLst>
            <a:ext uri="{FF2B5EF4-FFF2-40B4-BE49-F238E27FC236}">
              <a16:creationId xmlns:a16="http://schemas.microsoft.com/office/drawing/2014/main" id="{00000000-0008-0000-0100-00009D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4" name="Text Box 6">
          <a:extLst>
            <a:ext uri="{FF2B5EF4-FFF2-40B4-BE49-F238E27FC236}">
              <a16:creationId xmlns:a16="http://schemas.microsoft.com/office/drawing/2014/main" id="{00000000-0008-0000-0100-00009E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5" name="Text Box 7">
          <a:extLst>
            <a:ext uri="{FF2B5EF4-FFF2-40B4-BE49-F238E27FC236}">
              <a16:creationId xmlns:a16="http://schemas.microsoft.com/office/drawing/2014/main" id="{00000000-0008-0000-0100-00009F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6" name="Text Box 8">
          <a:extLst>
            <a:ext uri="{FF2B5EF4-FFF2-40B4-BE49-F238E27FC236}">
              <a16:creationId xmlns:a16="http://schemas.microsoft.com/office/drawing/2014/main" id="{00000000-0008-0000-0100-0000A0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7" name="Text Box 9">
          <a:extLst>
            <a:ext uri="{FF2B5EF4-FFF2-40B4-BE49-F238E27FC236}">
              <a16:creationId xmlns:a16="http://schemas.microsoft.com/office/drawing/2014/main" id="{00000000-0008-0000-0100-0000A1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8" name="Text Box 10">
          <a:extLst>
            <a:ext uri="{FF2B5EF4-FFF2-40B4-BE49-F238E27FC236}">
              <a16:creationId xmlns:a16="http://schemas.microsoft.com/office/drawing/2014/main" id="{00000000-0008-0000-0100-0000A2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79" name="Text Box 11">
          <a:extLst>
            <a:ext uri="{FF2B5EF4-FFF2-40B4-BE49-F238E27FC236}">
              <a16:creationId xmlns:a16="http://schemas.microsoft.com/office/drawing/2014/main" id="{00000000-0008-0000-0100-0000A3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0" name="Text Box 12">
          <a:extLst>
            <a:ext uri="{FF2B5EF4-FFF2-40B4-BE49-F238E27FC236}">
              <a16:creationId xmlns:a16="http://schemas.microsoft.com/office/drawing/2014/main" id="{00000000-0008-0000-0100-0000A4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1" name="Text Box 5">
          <a:extLst>
            <a:ext uri="{FF2B5EF4-FFF2-40B4-BE49-F238E27FC236}">
              <a16:creationId xmlns:a16="http://schemas.microsoft.com/office/drawing/2014/main" id="{00000000-0008-0000-0100-0000A5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2" name="Text Box 6">
          <a:extLst>
            <a:ext uri="{FF2B5EF4-FFF2-40B4-BE49-F238E27FC236}">
              <a16:creationId xmlns:a16="http://schemas.microsoft.com/office/drawing/2014/main" id="{00000000-0008-0000-0100-0000A6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3" name="Text Box 7">
          <a:extLst>
            <a:ext uri="{FF2B5EF4-FFF2-40B4-BE49-F238E27FC236}">
              <a16:creationId xmlns:a16="http://schemas.microsoft.com/office/drawing/2014/main" id="{00000000-0008-0000-0100-0000A7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4" name="Text Box 8">
          <a:extLst>
            <a:ext uri="{FF2B5EF4-FFF2-40B4-BE49-F238E27FC236}">
              <a16:creationId xmlns:a16="http://schemas.microsoft.com/office/drawing/2014/main" id="{00000000-0008-0000-0100-0000A8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5" name="Text Box 9">
          <a:extLst>
            <a:ext uri="{FF2B5EF4-FFF2-40B4-BE49-F238E27FC236}">
              <a16:creationId xmlns:a16="http://schemas.microsoft.com/office/drawing/2014/main" id="{00000000-0008-0000-0100-0000A9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6" name="Text Box 10">
          <a:extLst>
            <a:ext uri="{FF2B5EF4-FFF2-40B4-BE49-F238E27FC236}">
              <a16:creationId xmlns:a16="http://schemas.microsoft.com/office/drawing/2014/main" id="{00000000-0008-0000-0100-0000AA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7" name="Text Box 11">
          <a:extLst>
            <a:ext uri="{FF2B5EF4-FFF2-40B4-BE49-F238E27FC236}">
              <a16:creationId xmlns:a16="http://schemas.microsoft.com/office/drawing/2014/main" id="{00000000-0008-0000-0100-0000AB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2988" name="Text Box 12">
          <a:extLst>
            <a:ext uri="{FF2B5EF4-FFF2-40B4-BE49-F238E27FC236}">
              <a16:creationId xmlns:a16="http://schemas.microsoft.com/office/drawing/2014/main" id="{00000000-0008-0000-0100-0000AC0B0000}"/>
            </a:ext>
          </a:extLst>
        </xdr:cNvPr>
        <xdr:cNvSpPr txBox="1">
          <a:spLocks noChangeArrowheads="1"/>
        </xdr:cNvSpPr>
      </xdr:nvSpPr>
      <xdr:spPr bwMode="auto">
        <a:xfrm>
          <a:off x="3901109" y="547646087"/>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89" name="Text Box 5">
          <a:extLst>
            <a:ext uri="{FF2B5EF4-FFF2-40B4-BE49-F238E27FC236}">
              <a16:creationId xmlns:a16="http://schemas.microsoft.com/office/drawing/2014/main" id="{00000000-0008-0000-0100-0000AD0B0000}"/>
            </a:ext>
          </a:extLst>
        </xdr:cNvPr>
        <xdr:cNvSpPr txBox="1">
          <a:spLocks noChangeArrowheads="1"/>
        </xdr:cNvSpPr>
      </xdr:nvSpPr>
      <xdr:spPr bwMode="auto">
        <a:xfrm>
          <a:off x="3901109" y="663031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990" name="Text Box 6">
          <a:extLst>
            <a:ext uri="{FF2B5EF4-FFF2-40B4-BE49-F238E27FC236}">
              <a16:creationId xmlns:a16="http://schemas.microsoft.com/office/drawing/2014/main" id="{00000000-0008-0000-0100-0000AE0B0000}"/>
            </a:ext>
          </a:extLst>
        </xdr:cNvPr>
        <xdr:cNvSpPr txBox="1">
          <a:spLocks noChangeArrowheads="1"/>
        </xdr:cNvSpPr>
      </xdr:nvSpPr>
      <xdr:spPr bwMode="auto">
        <a:xfrm>
          <a:off x="3901109" y="6630311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91" name="Text Box 16">
          <a:extLst>
            <a:ext uri="{FF2B5EF4-FFF2-40B4-BE49-F238E27FC236}">
              <a16:creationId xmlns:a16="http://schemas.microsoft.com/office/drawing/2014/main" id="{00000000-0008-0000-0100-0000AF0B0000}"/>
            </a:ext>
          </a:extLst>
        </xdr:cNvPr>
        <xdr:cNvSpPr txBox="1">
          <a:spLocks noChangeArrowheads="1"/>
        </xdr:cNvSpPr>
      </xdr:nvSpPr>
      <xdr:spPr bwMode="auto">
        <a:xfrm>
          <a:off x="3901109" y="663031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92" name="Text Box 17">
          <a:extLst>
            <a:ext uri="{FF2B5EF4-FFF2-40B4-BE49-F238E27FC236}">
              <a16:creationId xmlns:a16="http://schemas.microsoft.com/office/drawing/2014/main" id="{00000000-0008-0000-0100-0000B00B0000}"/>
            </a:ext>
          </a:extLst>
        </xdr:cNvPr>
        <xdr:cNvSpPr txBox="1">
          <a:spLocks noChangeArrowheads="1"/>
        </xdr:cNvSpPr>
      </xdr:nvSpPr>
      <xdr:spPr bwMode="auto">
        <a:xfrm>
          <a:off x="3901109" y="663031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93" name="Text Box 18">
          <a:extLst>
            <a:ext uri="{FF2B5EF4-FFF2-40B4-BE49-F238E27FC236}">
              <a16:creationId xmlns:a16="http://schemas.microsoft.com/office/drawing/2014/main" id="{00000000-0008-0000-0100-0000B10B0000}"/>
            </a:ext>
          </a:extLst>
        </xdr:cNvPr>
        <xdr:cNvSpPr txBox="1">
          <a:spLocks noChangeArrowheads="1"/>
        </xdr:cNvSpPr>
      </xdr:nvSpPr>
      <xdr:spPr bwMode="auto">
        <a:xfrm>
          <a:off x="3901109" y="663031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94" name="Text Box 19">
          <a:extLst>
            <a:ext uri="{FF2B5EF4-FFF2-40B4-BE49-F238E27FC236}">
              <a16:creationId xmlns:a16="http://schemas.microsoft.com/office/drawing/2014/main" id="{00000000-0008-0000-0100-0000B20B0000}"/>
            </a:ext>
          </a:extLst>
        </xdr:cNvPr>
        <xdr:cNvSpPr txBox="1">
          <a:spLocks noChangeArrowheads="1"/>
        </xdr:cNvSpPr>
      </xdr:nvSpPr>
      <xdr:spPr bwMode="auto">
        <a:xfrm>
          <a:off x="3901109" y="663031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95" name="Text Box 20">
          <a:extLst>
            <a:ext uri="{FF2B5EF4-FFF2-40B4-BE49-F238E27FC236}">
              <a16:creationId xmlns:a16="http://schemas.microsoft.com/office/drawing/2014/main" id="{00000000-0008-0000-0100-0000B30B0000}"/>
            </a:ext>
          </a:extLst>
        </xdr:cNvPr>
        <xdr:cNvSpPr txBox="1">
          <a:spLocks noChangeArrowheads="1"/>
        </xdr:cNvSpPr>
      </xdr:nvSpPr>
      <xdr:spPr bwMode="auto">
        <a:xfrm>
          <a:off x="3901109" y="663031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2996" name="Text Box 21">
          <a:extLst>
            <a:ext uri="{FF2B5EF4-FFF2-40B4-BE49-F238E27FC236}">
              <a16:creationId xmlns:a16="http://schemas.microsoft.com/office/drawing/2014/main" id="{00000000-0008-0000-0100-0000B40B0000}"/>
            </a:ext>
          </a:extLst>
        </xdr:cNvPr>
        <xdr:cNvSpPr txBox="1">
          <a:spLocks noChangeArrowheads="1"/>
        </xdr:cNvSpPr>
      </xdr:nvSpPr>
      <xdr:spPr bwMode="auto">
        <a:xfrm>
          <a:off x="3901109" y="663031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2997" name="Text Box 22">
          <a:extLst>
            <a:ext uri="{FF2B5EF4-FFF2-40B4-BE49-F238E27FC236}">
              <a16:creationId xmlns:a16="http://schemas.microsoft.com/office/drawing/2014/main" id="{00000000-0008-0000-0100-0000B50B0000}"/>
            </a:ext>
          </a:extLst>
        </xdr:cNvPr>
        <xdr:cNvSpPr txBox="1">
          <a:spLocks noChangeArrowheads="1"/>
        </xdr:cNvSpPr>
      </xdr:nvSpPr>
      <xdr:spPr bwMode="auto">
        <a:xfrm>
          <a:off x="3901109" y="6630311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98" name="Text Box 5">
          <a:extLst>
            <a:ext uri="{FF2B5EF4-FFF2-40B4-BE49-F238E27FC236}">
              <a16:creationId xmlns:a16="http://schemas.microsoft.com/office/drawing/2014/main" id="{00000000-0008-0000-0100-0000B6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2999" name="Text Box 6">
          <a:extLst>
            <a:ext uri="{FF2B5EF4-FFF2-40B4-BE49-F238E27FC236}">
              <a16:creationId xmlns:a16="http://schemas.microsoft.com/office/drawing/2014/main" id="{00000000-0008-0000-0100-0000B7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0" name="Text Box 7">
          <a:extLst>
            <a:ext uri="{FF2B5EF4-FFF2-40B4-BE49-F238E27FC236}">
              <a16:creationId xmlns:a16="http://schemas.microsoft.com/office/drawing/2014/main" id="{00000000-0008-0000-0100-0000B8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1" name="Text Box 8">
          <a:extLst>
            <a:ext uri="{FF2B5EF4-FFF2-40B4-BE49-F238E27FC236}">
              <a16:creationId xmlns:a16="http://schemas.microsoft.com/office/drawing/2014/main" id="{00000000-0008-0000-0100-0000B9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2" name="Text Box 9">
          <a:extLst>
            <a:ext uri="{FF2B5EF4-FFF2-40B4-BE49-F238E27FC236}">
              <a16:creationId xmlns:a16="http://schemas.microsoft.com/office/drawing/2014/main" id="{00000000-0008-0000-0100-0000BA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3" name="Text Box 10">
          <a:extLst>
            <a:ext uri="{FF2B5EF4-FFF2-40B4-BE49-F238E27FC236}">
              <a16:creationId xmlns:a16="http://schemas.microsoft.com/office/drawing/2014/main" id="{00000000-0008-0000-0100-0000BB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4" name="Text Box 11">
          <a:extLst>
            <a:ext uri="{FF2B5EF4-FFF2-40B4-BE49-F238E27FC236}">
              <a16:creationId xmlns:a16="http://schemas.microsoft.com/office/drawing/2014/main" id="{00000000-0008-0000-0100-0000BC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5" name="Text Box 12">
          <a:extLst>
            <a:ext uri="{FF2B5EF4-FFF2-40B4-BE49-F238E27FC236}">
              <a16:creationId xmlns:a16="http://schemas.microsoft.com/office/drawing/2014/main" id="{00000000-0008-0000-0100-0000BD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6" name="Text Box 13">
          <a:extLst>
            <a:ext uri="{FF2B5EF4-FFF2-40B4-BE49-F238E27FC236}">
              <a16:creationId xmlns:a16="http://schemas.microsoft.com/office/drawing/2014/main" id="{00000000-0008-0000-0100-0000BE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3007" name="Text Box 14">
          <a:extLst>
            <a:ext uri="{FF2B5EF4-FFF2-40B4-BE49-F238E27FC236}">
              <a16:creationId xmlns:a16="http://schemas.microsoft.com/office/drawing/2014/main" id="{00000000-0008-0000-0100-0000BF0B0000}"/>
            </a:ext>
          </a:extLst>
        </xdr:cNvPr>
        <xdr:cNvSpPr txBox="1">
          <a:spLocks noChangeArrowheads="1"/>
        </xdr:cNvSpPr>
      </xdr:nvSpPr>
      <xdr:spPr bwMode="auto">
        <a:xfrm>
          <a:off x="3901109" y="71907123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8" name="Text Box 15">
          <a:extLst>
            <a:ext uri="{FF2B5EF4-FFF2-40B4-BE49-F238E27FC236}">
              <a16:creationId xmlns:a16="http://schemas.microsoft.com/office/drawing/2014/main" id="{00000000-0008-0000-0100-0000C0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09" name="Text Box 16">
          <a:extLst>
            <a:ext uri="{FF2B5EF4-FFF2-40B4-BE49-F238E27FC236}">
              <a16:creationId xmlns:a16="http://schemas.microsoft.com/office/drawing/2014/main" id="{00000000-0008-0000-0100-0000C1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0" name="Text Box 17">
          <a:extLst>
            <a:ext uri="{FF2B5EF4-FFF2-40B4-BE49-F238E27FC236}">
              <a16:creationId xmlns:a16="http://schemas.microsoft.com/office/drawing/2014/main" id="{00000000-0008-0000-0100-0000C2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1" name="Text Box 18">
          <a:extLst>
            <a:ext uri="{FF2B5EF4-FFF2-40B4-BE49-F238E27FC236}">
              <a16:creationId xmlns:a16="http://schemas.microsoft.com/office/drawing/2014/main" id="{00000000-0008-0000-0100-0000C3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2" name="Text Box 19">
          <a:extLst>
            <a:ext uri="{FF2B5EF4-FFF2-40B4-BE49-F238E27FC236}">
              <a16:creationId xmlns:a16="http://schemas.microsoft.com/office/drawing/2014/main" id="{00000000-0008-0000-0100-0000C4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3" name="Text Box 20">
          <a:extLst>
            <a:ext uri="{FF2B5EF4-FFF2-40B4-BE49-F238E27FC236}">
              <a16:creationId xmlns:a16="http://schemas.microsoft.com/office/drawing/2014/main" id="{00000000-0008-0000-0100-0000C5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4" name="Text Box 21">
          <a:extLst>
            <a:ext uri="{FF2B5EF4-FFF2-40B4-BE49-F238E27FC236}">
              <a16:creationId xmlns:a16="http://schemas.microsoft.com/office/drawing/2014/main" id="{00000000-0008-0000-0100-0000C6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5" name="Text Box 22">
          <a:extLst>
            <a:ext uri="{FF2B5EF4-FFF2-40B4-BE49-F238E27FC236}">
              <a16:creationId xmlns:a16="http://schemas.microsoft.com/office/drawing/2014/main" id="{00000000-0008-0000-0100-0000C7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6" name="Text Box 7">
          <a:extLst>
            <a:ext uri="{FF2B5EF4-FFF2-40B4-BE49-F238E27FC236}">
              <a16:creationId xmlns:a16="http://schemas.microsoft.com/office/drawing/2014/main" id="{00000000-0008-0000-0100-0000C8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7" name="Text Box 8">
          <a:extLst>
            <a:ext uri="{FF2B5EF4-FFF2-40B4-BE49-F238E27FC236}">
              <a16:creationId xmlns:a16="http://schemas.microsoft.com/office/drawing/2014/main" id="{00000000-0008-0000-0100-0000C9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8" name="Text Box 9">
          <a:extLst>
            <a:ext uri="{FF2B5EF4-FFF2-40B4-BE49-F238E27FC236}">
              <a16:creationId xmlns:a16="http://schemas.microsoft.com/office/drawing/2014/main" id="{00000000-0008-0000-0100-0000CA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19" name="Text Box 10">
          <a:extLst>
            <a:ext uri="{FF2B5EF4-FFF2-40B4-BE49-F238E27FC236}">
              <a16:creationId xmlns:a16="http://schemas.microsoft.com/office/drawing/2014/main" id="{00000000-0008-0000-0100-0000CB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20" name="Text Box 11">
          <a:extLst>
            <a:ext uri="{FF2B5EF4-FFF2-40B4-BE49-F238E27FC236}">
              <a16:creationId xmlns:a16="http://schemas.microsoft.com/office/drawing/2014/main" id="{00000000-0008-0000-0100-0000CC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21" name="Text Box 12">
          <a:extLst>
            <a:ext uri="{FF2B5EF4-FFF2-40B4-BE49-F238E27FC236}">
              <a16:creationId xmlns:a16="http://schemas.microsoft.com/office/drawing/2014/main" id="{00000000-0008-0000-0100-0000CD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22" name="Text Box 13">
          <a:extLst>
            <a:ext uri="{FF2B5EF4-FFF2-40B4-BE49-F238E27FC236}">
              <a16:creationId xmlns:a16="http://schemas.microsoft.com/office/drawing/2014/main" id="{00000000-0008-0000-0100-0000CE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3023" name="Text Box 14">
          <a:extLst>
            <a:ext uri="{FF2B5EF4-FFF2-40B4-BE49-F238E27FC236}">
              <a16:creationId xmlns:a16="http://schemas.microsoft.com/office/drawing/2014/main" id="{00000000-0008-0000-0100-0000CF0B0000}"/>
            </a:ext>
          </a:extLst>
        </xdr:cNvPr>
        <xdr:cNvSpPr txBox="1">
          <a:spLocks noChangeArrowheads="1"/>
        </xdr:cNvSpPr>
      </xdr:nvSpPr>
      <xdr:spPr bwMode="auto">
        <a:xfrm>
          <a:off x="3901109" y="71907123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24" name="Text Box 15">
          <a:extLst>
            <a:ext uri="{FF2B5EF4-FFF2-40B4-BE49-F238E27FC236}">
              <a16:creationId xmlns:a16="http://schemas.microsoft.com/office/drawing/2014/main" id="{00000000-0008-0000-0100-0000D00B0000}"/>
            </a:ext>
          </a:extLst>
        </xdr:cNvPr>
        <xdr:cNvSpPr txBox="1">
          <a:spLocks noChangeArrowheads="1"/>
        </xdr:cNvSpPr>
      </xdr:nvSpPr>
      <xdr:spPr bwMode="auto">
        <a:xfrm>
          <a:off x="3901109" y="71907123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25" name="Text Box 5">
          <a:extLst>
            <a:ext uri="{FF2B5EF4-FFF2-40B4-BE49-F238E27FC236}">
              <a16:creationId xmlns:a16="http://schemas.microsoft.com/office/drawing/2014/main" id="{00000000-0008-0000-0100-0000D10B0000}"/>
            </a:ext>
          </a:extLst>
        </xdr:cNvPr>
        <xdr:cNvSpPr txBox="1">
          <a:spLocks noChangeArrowheads="1"/>
        </xdr:cNvSpPr>
      </xdr:nvSpPr>
      <xdr:spPr bwMode="auto">
        <a:xfrm>
          <a:off x="3901109" y="719071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026" name="Text Box 6">
          <a:extLst>
            <a:ext uri="{FF2B5EF4-FFF2-40B4-BE49-F238E27FC236}">
              <a16:creationId xmlns:a16="http://schemas.microsoft.com/office/drawing/2014/main" id="{00000000-0008-0000-0100-0000D20B0000}"/>
            </a:ext>
          </a:extLst>
        </xdr:cNvPr>
        <xdr:cNvSpPr txBox="1">
          <a:spLocks noChangeArrowheads="1"/>
        </xdr:cNvSpPr>
      </xdr:nvSpPr>
      <xdr:spPr bwMode="auto">
        <a:xfrm>
          <a:off x="3901109" y="71907123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27" name="Text Box 7">
          <a:extLst>
            <a:ext uri="{FF2B5EF4-FFF2-40B4-BE49-F238E27FC236}">
              <a16:creationId xmlns:a16="http://schemas.microsoft.com/office/drawing/2014/main" id="{00000000-0008-0000-0100-0000D3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28" name="Text Box 8">
          <a:extLst>
            <a:ext uri="{FF2B5EF4-FFF2-40B4-BE49-F238E27FC236}">
              <a16:creationId xmlns:a16="http://schemas.microsoft.com/office/drawing/2014/main" id="{00000000-0008-0000-0100-0000D4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29" name="Text Box 9">
          <a:extLst>
            <a:ext uri="{FF2B5EF4-FFF2-40B4-BE49-F238E27FC236}">
              <a16:creationId xmlns:a16="http://schemas.microsoft.com/office/drawing/2014/main" id="{00000000-0008-0000-0100-0000D5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30" name="Text Box 10">
          <a:extLst>
            <a:ext uri="{FF2B5EF4-FFF2-40B4-BE49-F238E27FC236}">
              <a16:creationId xmlns:a16="http://schemas.microsoft.com/office/drawing/2014/main" id="{00000000-0008-0000-0100-0000D6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31" name="Text Box 11">
          <a:extLst>
            <a:ext uri="{FF2B5EF4-FFF2-40B4-BE49-F238E27FC236}">
              <a16:creationId xmlns:a16="http://schemas.microsoft.com/office/drawing/2014/main" id="{00000000-0008-0000-0100-0000D7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32" name="Text Box 12">
          <a:extLst>
            <a:ext uri="{FF2B5EF4-FFF2-40B4-BE49-F238E27FC236}">
              <a16:creationId xmlns:a16="http://schemas.microsoft.com/office/drawing/2014/main" id="{00000000-0008-0000-0100-0000D8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33" name="Text Box 13">
          <a:extLst>
            <a:ext uri="{FF2B5EF4-FFF2-40B4-BE49-F238E27FC236}">
              <a16:creationId xmlns:a16="http://schemas.microsoft.com/office/drawing/2014/main" id="{00000000-0008-0000-0100-0000D9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3034" name="Text Box 14">
          <a:extLst>
            <a:ext uri="{FF2B5EF4-FFF2-40B4-BE49-F238E27FC236}">
              <a16:creationId xmlns:a16="http://schemas.microsoft.com/office/drawing/2014/main" id="{00000000-0008-0000-0100-0000DA0B0000}"/>
            </a:ext>
          </a:extLst>
        </xdr:cNvPr>
        <xdr:cNvSpPr txBox="1">
          <a:spLocks noChangeArrowheads="1"/>
        </xdr:cNvSpPr>
      </xdr:nvSpPr>
      <xdr:spPr bwMode="auto">
        <a:xfrm>
          <a:off x="3901109" y="71907123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35" name="Text Box 15">
          <a:extLst>
            <a:ext uri="{FF2B5EF4-FFF2-40B4-BE49-F238E27FC236}">
              <a16:creationId xmlns:a16="http://schemas.microsoft.com/office/drawing/2014/main" id="{00000000-0008-0000-0100-0000DB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36" name="Text Box 16">
          <a:extLst>
            <a:ext uri="{FF2B5EF4-FFF2-40B4-BE49-F238E27FC236}">
              <a16:creationId xmlns:a16="http://schemas.microsoft.com/office/drawing/2014/main" id="{00000000-0008-0000-0100-0000DC0B0000}"/>
            </a:ext>
          </a:extLst>
        </xdr:cNvPr>
        <xdr:cNvSpPr txBox="1">
          <a:spLocks noChangeArrowheads="1"/>
        </xdr:cNvSpPr>
      </xdr:nvSpPr>
      <xdr:spPr bwMode="auto">
        <a:xfrm>
          <a:off x="3901109" y="719071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37" name="Text Box 17">
          <a:extLst>
            <a:ext uri="{FF2B5EF4-FFF2-40B4-BE49-F238E27FC236}">
              <a16:creationId xmlns:a16="http://schemas.microsoft.com/office/drawing/2014/main" id="{00000000-0008-0000-0100-0000DD0B0000}"/>
            </a:ext>
          </a:extLst>
        </xdr:cNvPr>
        <xdr:cNvSpPr txBox="1">
          <a:spLocks noChangeArrowheads="1"/>
        </xdr:cNvSpPr>
      </xdr:nvSpPr>
      <xdr:spPr bwMode="auto">
        <a:xfrm>
          <a:off x="3901109" y="719071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38" name="Text Box 18">
          <a:extLst>
            <a:ext uri="{FF2B5EF4-FFF2-40B4-BE49-F238E27FC236}">
              <a16:creationId xmlns:a16="http://schemas.microsoft.com/office/drawing/2014/main" id="{00000000-0008-0000-0100-0000DE0B0000}"/>
            </a:ext>
          </a:extLst>
        </xdr:cNvPr>
        <xdr:cNvSpPr txBox="1">
          <a:spLocks noChangeArrowheads="1"/>
        </xdr:cNvSpPr>
      </xdr:nvSpPr>
      <xdr:spPr bwMode="auto">
        <a:xfrm>
          <a:off x="3901109" y="719071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39" name="Text Box 19">
          <a:extLst>
            <a:ext uri="{FF2B5EF4-FFF2-40B4-BE49-F238E27FC236}">
              <a16:creationId xmlns:a16="http://schemas.microsoft.com/office/drawing/2014/main" id="{00000000-0008-0000-0100-0000DF0B0000}"/>
            </a:ext>
          </a:extLst>
        </xdr:cNvPr>
        <xdr:cNvSpPr txBox="1">
          <a:spLocks noChangeArrowheads="1"/>
        </xdr:cNvSpPr>
      </xdr:nvSpPr>
      <xdr:spPr bwMode="auto">
        <a:xfrm>
          <a:off x="3901109" y="719071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40" name="Text Box 20">
          <a:extLst>
            <a:ext uri="{FF2B5EF4-FFF2-40B4-BE49-F238E27FC236}">
              <a16:creationId xmlns:a16="http://schemas.microsoft.com/office/drawing/2014/main" id="{00000000-0008-0000-0100-0000E00B0000}"/>
            </a:ext>
          </a:extLst>
        </xdr:cNvPr>
        <xdr:cNvSpPr txBox="1">
          <a:spLocks noChangeArrowheads="1"/>
        </xdr:cNvSpPr>
      </xdr:nvSpPr>
      <xdr:spPr bwMode="auto">
        <a:xfrm>
          <a:off x="3901109" y="719071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41" name="Text Box 21">
          <a:extLst>
            <a:ext uri="{FF2B5EF4-FFF2-40B4-BE49-F238E27FC236}">
              <a16:creationId xmlns:a16="http://schemas.microsoft.com/office/drawing/2014/main" id="{00000000-0008-0000-0100-0000E10B0000}"/>
            </a:ext>
          </a:extLst>
        </xdr:cNvPr>
        <xdr:cNvSpPr txBox="1">
          <a:spLocks noChangeArrowheads="1"/>
        </xdr:cNvSpPr>
      </xdr:nvSpPr>
      <xdr:spPr bwMode="auto">
        <a:xfrm>
          <a:off x="3901109" y="71907123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042" name="Text Box 22">
          <a:extLst>
            <a:ext uri="{FF2B5EF4-FFF2-40B4-BE49-F238E27FC236}">
              <a16:creationId xmlns:a16="http://schemas.microsoft.com/office/drawing/2014/main" id="{00000000-0008-0000-0100-0000E20B0000}"/>
            </a:ext>
          </a:extLst>
        </xdr:cNvPr>
        <xdr:cNvSpPr txBox="1">
          <a:spLocks noChangeArrowheads="1"/>
        </xdr:cNvSpPr>
      </xdr:nvSpPr>
      <xdr:spPr bwMode="auto">
        <a:xfrm>
          <a:off x="3901109" y="71907123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43" name="Text Box 7">
          <a:extLst>
            <a:ext uri="{FF2B5EF4-FFF2-40B4-BE49-F238E27FC236}">
              <a16:creationId xmlns:a16="http://schemas.microsoft.com/office/drawing/2014/main" id="{00000000-0008-0000-0100-0000E3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44" name="Text Box 8">
          <a:extLst>
            <a:ext uri="{FF2B5EF4-FFF2-40B4-BE49-F238E27FC236}">
              <a16:creationId xmlns:a16="http://schemas.microsoft.com/office/drawing/2014/main" id="{00000000-0008-0000-0100-0000E4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45" name="Text Box 9">
          <a:extLst>
            <a:ext uri="{FF2B5EF4-FFF2-40B4-BE49-F238E27FC236}">
              <a16:creationId xmlns:a16="http://schemas.microsoft.com/office/drawing/2014/main" id="{00000000-0008-0000-0100-0000E5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46" name="Text Box 10">
          <a:extLst>
            <a:ext uri="{FF2B5EF4-FFF2-40B4-BE49-F238E27FC236}">
              <a16:creationId xmlns:a16="http://schemas.microsoft.com/office/drawing/2014/main" id="{00000000-0008-0000-0100-0000E6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47" name="Text Box 11">
          <a:extLst>
            <a:ext uri="{FF2B5EF4-FFF2-40B4-BE49-F238E27FC236}">
              <a16:creationId xmlns:a16="http://schemas.microsoft.com/office/drawing/2014/main" id="{00000000-0008-0000-0100-0000E7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48" name="Text Box 12">
          <a:extLst>
            <a:ext uri="{FF2B5EF4-FFF2-40B4-BE49-F238E27FC236}">
              <a16:creationId xmlns:a16="http://schemas.microsoft.com/office/drawing/2014/main" id="{00000000-0008-0000-0100-0000E8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49" name="Text Box 13">
          <a:extLst>
            <a:ext uri="{FF2B5EF4-FFF2-40B4-BE49-F238E27FC236}">
              <a16:creationId xmlns:a16="http://schemas.microsoft.com/office/drawing/2014/main" id="{00000000-0008-0000-0100-0000E9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3050" name="Text Box 14">
          <a:extLst>
            <a:ext uri="{FF2B5EF4-FFF2-40B4-BE49-F238E27FC236}">
              <a16:creationId xmlns:a16="http://schemas.microsoft.com/office/drawing/2014/main" id="{00000000-0008-0000-0100-0000EA0B0000}"/>
            </a:ext>
          </a:extLst>
        </xdr:cNvPr>
        <xdr:cNvSpPr txBox="1">
          <a:spLocks noChangeArrowheads="1"/>
        </xdr:cNvSpPr>
      </xdr:nvSpPr>
      <xdr:spPr bwMode="auto">
        <a:xfrm>
          <a:off x="3901109" y="71907123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51" name="Text Box 15">
          <a:extLst>
            <a:ext uri="{FF2B5EF4-FFF2-40B4-BE49-F238E27FC236}">
              <a16:creationId xmlns:a16="http://schemas.microsoft.com/office/drawing/2014/main" id="{00000000-0008-0000-0100-0000EB0B0000}"/>
            </a:ext>
          </a:extLst>
        </xdr:cNvPr>
        <xdr:cNvSpPr txBox="1">
          <a:spLocks noChangeArrowheads="1"/>
        </xdr:cNvSpPr>
      </xdr:nvSpPr>
      <xdr:spPr bwMode="auto">
        <a:xfrm>
          <a:off x="3901109" y="71907123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052" name="Text Box 5">
          <a:extLst>
            <a:ext uri="{FF2B5EF4-FFF2-40B4-BE49-F238E27FC236}">
              <a16:creationId xmlns:a16="http://schemas.microsoft.com/office/drawing/2014/main" id="{00000000-0008-0000-0100-0000EC0B0000}"/>
            </a:ext>
          </a:extLst>
        </xdr:cNvPr>
        <xdr:cNvSpPr txBox="1">
          <a:spLocks noChangeArrowheads="1"/>
        </xdr:cNvSpPr>
      </xdr:nvSpPr>
      <xdr:spPr bwMode="auto">
        <a:xfrm>
          <a:off x="3901109" y="71907123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053" name="Text Box 6">
          <a:extLst>
            <a:ext uri="{FF2B5EF4-FFF2-40B4-BE49-F238E27FC236}">
              <a16:creationId xmlns:a16="http://schemas.microsoft.com/office/drawing/2014/main" id="{00000000-0008-0000-0100-0000ED0B0000}"/>
            </a:ext>
          </a:extLst>
        </xdr:cNvPr>
        <xdr:cNvSpPr txBox="1">
          <a:spLocks noChangeArrowheads="1"/>
        </xdr:cNvSpPr>
      </xdr:nvSpPr>
      <xdr:spPr bwMode="auto">
        <a:xfrm>
          <a:off x="3901109" y="71907123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054" name="Text Box 7">
          <a:extLst>
            <a:ext uri="{FF2B5EF4-FFF2-40B4-BE49-F238E27FC236}">
              <a16:creationId xmlns:a16="http://schemas.microsoft.com/office/drawing/2014/main" id="{00000000-0008-0000-0100-0000EE0B0000}"/>
            </a:ext>
          </a:extLst>
        </xdr:cNvPr>
        <xdr:cNvSpPr txBox="1">
          <a:spLocks noChangeArrowheads="1"/>
        </xdr:cNvSpPr>
      </xdr:nvSpPr>
      <xdr:spPr bwMode="auto">
        <a:xfrm>
          <a:off x="3901109" y="71907123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055" name="Text Box 8">
          <a:extLst>
            <a:ext uri="{FF2B5EF4-FFF2-40B4-BE49-F238E27FC236}">
              <a16:creationId xmlns:a16="http://schemas.microsoft.com/office/drawing/2014/main" id="{00000000-0008-0000-0100-0000EF0B0000}"/>
            </a:ext>
          </a:extLst>
        </xdr:cNvPr>
        <xdr:cNvSpPr txBox="1">
          <a:spLocks noChangeArrowheads="1"/>
        </xdr:cNvSpPr>
      </xdr:nvSpPr>
      <xdr:spPr bwMode="auto">
        <a:xfrm>
          <a:off x="3901109" y="71907123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056" name="Text Box 9">
          <a:extLst>
            <a:ext uri="{FF2B5EF4-FFF2-40B4-BE49-F238E27FC236}">
              <a16:creationId xmlns:a16="http://schemas.microsoft.com/office/drawing/2014/main" id="{00000000-0008-0000-0100-0000F00B0000}"/>
            </a:ext>
          </a:extLst>
        </xdr:cNvPr>
        <xdr:cNvSpPr txBox="1">
          <a:spLocks noChangeArrowheads="1"/>
        </xdr:cNvSpPr>
      </xdr:nvSpPr>
      <xdr:spPr bwMode="auto">
        <a:xfrm>
          <a:off x="3901109" y="71907123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057" name="Text Box 10">
          <a:extLst>
            <a:ext uri="{FF2B5EF4-FFF2-40B4-BE49-F238E27FC236}">
              <a16:creationId xmlns:a16="http://schemas.microsoft.com/office/drawing/2014/main" id="{00000000-0008-0000-0100-0000F10B0000}"/>
            </a:ext>
          </a:extLst>
        </xdr:cNvPr>
        <xdr:cNvSpPr txBox="1">
          <a:spLocks noChangeArrowheads="1"/>
        </xdr:cNvSpPr>
      </xdr:nvSpPr>
      <xdr:spPr bwMode="auto">
        <a:xfrm>
          <a:off x="3901109" y="71907123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058" name="Text Box 11">
          <a:extLst>
            <a:ext uri="{FF2B5EF4-FFF2-40B4-BE49-F238E27FC236}">
              <a16:creationId xmlns:a16="http://schemas.microsoft.com/office/drawing/2014/main" id="{00000000-0008-0000-0100-0000F20B0000}"/>
            </a:ext>
          </a:extLst>
        </xdr:cNvPr>
        <xdr:cNvSpPr txBox="1">
          <a:spLocks noChangeArrowheads="1"/>
        </xdr:cNvSpPr>
      </xdr:nvSpPr>
      <xdr:spPr bwMode="auto">
        <a:xfrm>
          <a:off x="3901109" y="71907123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059" name="Text Box 12">
          <a:extLst>
            <a:ext uri="{FF2B5EF4-FFF2-40B4-BE49-F238E27FC236}">
              <a16:creationId xmlns:a16="http://schemas.microsoft.com/office/drawing/2014/main" id="{00000000-0008-0000-0100-0000F30B0000}"/>
            </a:ext>
          </a:extLst>
        </xdr:cNvPr>
        <xdr:cNvSpPr txBox="1">
          <a:spLocks noChangeArrowheads="1"/>
        </xdr:cNvSpPr>
      </xdr:nvSpPr>
      <xdr:spPr bwMode="auto">
        <a:xfrm>
          <a:off x="3901109" y="71907123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0" name="Text Box 5">
          <a:extLst>
            <a:ext uri="{FF2B5EF4-FFF2-40B4-BE49-F238E27FC236}">
              <a16:creationId xmlns:a16="http://schemas.microsoft.com/office/drawing/2014/main" id="{00000000-0008-0000-0100-0000F4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1" name="Text Box 6">
          <a:extLst>
            <a:ext uri="{FF2B5EF4-FFF2-40B4-BE49-F238E27FC236}">
              <a16:creationId xmlns:a16="http://schemas.microsoft.com/office/drawing/2014/main" id="{00000000-0008-0000-0100-0000F5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2" name="Text Box 7">
          <a:extLst>
            <a:ext uri="{FF2B5EF4-FFF2-40B4-BE49-F238E27FC236}">
              <a16:creationId xmlns:a16="http://schemas.microsoft.com/office/drawing/2014/main" id="{00000000-0008-0000-0100-0000F6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3" name="Text Box 8">
          <a:extLst>
            <a:ext uri="{FF2B5EF4-FFF2-40B4-BE49-F238E27FC236}">
              <a16:creationId xmlns:a16="http://schemas.microsoft.com/office/drawing/2014/main" id="{00000000-0008-0000-0100-0000F7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4" name="Text Box 9">
          <a:extLst>
            <a:ext uri="{FF2B5EF4-FFF2-40B4-BE49-F238E27FC236}">
              <a16:creationId xmlns:a16="http://schemas.microsoft.com/office/drawing/2014/main" id="{00000000-0008-0000-0100-0000F8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5" name="Text Box 10">
          <a:extLst>
            <a:ext uri="{FF2B5EF4-FFF2-40B4-BE49-F238E27FC236}">
              <a16:creationId xmlns:a16="http://schemas.microsoft.com/office/drawing/2014/main" id="{00000000-0008-0000-0100-0000F9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6" name="Text Box 11">
          <a:extLst>
            <a:ext uri="{FF2B5EF4-FFF2-40B4-BE49-F238E27FC236}">
              <a16:creationId xmlns:a16="http://schemas.microsoft.com/office/drawing/2014/main" id="{00000000-0008-0000-0100-0000FA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7" name="Text Box 12">
          <a:extLst>
            <a:ext uri="{FF2B5EF4-FFF2-40B4-BE49-F238E27FC236}">
              <a16:creationId xmlns:a16="http://schemas.microsoft.com/office/drawing/2014/main" id="{00000000-0008-0000-0100-0000FB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68" name="Text Box 13">
          <a:extLst>
            <a:ext uri="{FF2B5EF4-FFF2-40B4-BE49-F238E27FC236}">
              <a16:creationId xmlns:a16="http://schemas.microsoft.com/office/drawing/2014/main" id="{00000000-0008-0000-0100-0000FC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3069" name="Text Box 14">
          <a:extLst>
            <a:ext uri="{FF2B5EF4-FFF2-40B4-BE49-F238E27FC236}">
              <a16:creationId xmlns:a16="http://schemas.microsoft.com/office/drawing/2014/main" id="{00000000-0008-0000-0100-0000FD0B0000}"/>
            </a:ext>
          </a:extLst>
        </xdr:cNvPr>
        <xdr:cNvSpPr txBox="1">
          <a:spLocks noChangeArrowheads="1"/>
        </xdr:cNvSpPr>
      </xdr:nvSpPr>
      <xdr:spPr bwMode="auto">
        <a:xfrm>
          <a:off x="3901109" y="74189810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0" name="Text Box 15">
          <a:extLst>
            <a:ext uri="{FF2B5EF4-FFF2-40B4-BE49-F238E27FC236}">
              <a16:creationId xmlns:a16="http://schemas.microsoft.com/office/drawing/2014/main" id="{00000000-0008-0000-0100-0000FE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1" name="Text Box 16">
          <a:extLst>
            <a:ext uri="{FF2B5EF4-FFF2-40B4-BE49-F238E27FC236}">
              <a16:creationId xmlns:a16="http://schemas.microsoft.com/office/drawing/2014/main" id="{00000000-0008-0000-0100-0000FF0B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2" name="Text Box 17">
          <a:extLst>
            <a:ext uri="{FF2B5EF4-FFF2-40B4-BE49-F238E27FC236}">
              <a16:creationId xmlns:a16="http://schemas.microsoft.com/office/drawing/2014/main" id="{00000000-0008-0000-0100-000000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3" name="Text Box 18">
          <a:extLst>
            <a:ext uri="{FF2B5EF4-FFF2-40B4-BE49-F238E27FC236}">
              <a16:creationId xmlns:a16="http://schemas.microsoft.com/office/drawing/2014/main" id="{00000000-0008-0000-0100-000001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4" name="Text Box 19">
          <a:extLst>
            <a:ext uri="{FF2B5EF4-FFF2-40B4-BE49-F238E27FC236}">
              <a16:creationId xmlns:a16="http://schemas.microsoft.com/office/drawing/2014/main" id="{00000000-0008-0000-0100-000002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5" name="Text Box 20">
          <a:extLst>
            <a:ext uri="{FF2B5EF4-FFF2-40B4-BE49-F238E27FC236}">
              <a16:creationId xmlns:a16="http://schemas.microsoft.com/office/drawing/2014/main" id="{00000000-0008-0000-0100-000003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6" name="Text Box 21">
          <a:extLst>
            <a:ext uri="{FF2B5EF4-FFF2-40B4-BE49-F238E27FC236}">
              <a16:creationId xmlns:a16="http://schemas.microsoft.com/office/drawing/2014/main" id="{00000000-0008-0000-0100-000004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7" name="Text Box 22">
          <a:extLst>
            <a:ext uri="{FF2B5EF4-FFF2-40B4-BE49-F238E27FC236}">
              <a16:creationId xmlns:a16="http://schemas.microsoft.com/office/drawing/2014/main" id="{00000000-0008-0000-0100-000005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8" name="Text Box 7">
          <a:extLst>
            <a:ext uri="{FF2B5EF4-FFF2-40B4-BE49-F238E27FC236}">
              <a16:creationId xmlns:a16="http://schemas.microsoft.com/office/drawing/2014/main" id="{00000000-0008-0000-0100-000006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79" name="Text Box 8">
          <a:extLst>
            <a:ext uri="{FF2B5EF4-FFF2-40B4-BE49-F238E27FC236}">
              <a16:creationId xmlns:a16="http://schemas.microsoft.com/office/drawing/2014/main" id="{00000000-0008-0000-0100-000007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80" name="Text Box 9">
          <a:extLst>
            <a:ext uri="{FF2B5EF4-FFF2-40B4-BE49-F238E27FC236}">
              <a16:creationId xmlns:a16="http://schemas.microsoft.com/office/drawing/2014/main" id="{00000000-0008-0000-0100-000008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81" name="Text Box 10">
          <a:extLst>
            <a:ext uri="{FF2B5EF4-FFF2-40B4-BE49-F238E27FC236}">
              <a16:creationId xmlns:a16="http://schemas.microsoft.com/office/drawing/2014/main" id="{00000000-0008-0000-0100-000009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82" name="Text Box 11">
          <a:extLst>
            <a:ext uri="{FF2B5EF4-FFF2-40B4-BE49-F238E27FC236}">
              <a16:creationId xmlns:a16="http://schemas.microsoft.com/office/drawing/2014/main" id="{00000000-0008-0000-0100-00000A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83" name="Text Box 12">
          <a:extLst>
            <a:ext uri="{FF2B5EF4-FFF2-40B4-BE49-F238E27FC236}">
              <a16:creationId xmlns:a16="http://schemas.microsoft.com/office/drawing/2014/main" id="{00000000-0008-0000-0100-00000B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84" name="Text Box 13">
          <a:extLst>
            <a:ext uri="{FF2B5EF4-FFF2-40B4-BE49-F238E27FC236}">
              <a16:creationId xmlns:a16="http://schemas.microsoft.com/office/drawing/2014/main" id="{00000000-0008-0000-0100-00000C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3"/>
    <xdr:sp macro="" textlink="">
      <xdr:nvSpPr>
        <xdr:cNvPr id="3085" name="Text Box 14">
          <a:extLst>
            <a:ext uri="{FF2B5EF4-FFF2-40B4-BE49-F238E27FC236}">
              <a16:creationId xmlns:a16="http://schemas.microsoft.com/office/drawing/2014/main" id="{00000000-0008-0000-0100-00000D0C0000}"/>
            </a:ext>
          </a:extLst>
        </xdr:cNvPr>
        <xdr:cNvSpPr txBox="1">
          <a:spLocks noChangeArrowheads="1"/>
        </xdr:cNvSpPr>
      </xdr:nvSpPr>
      <xdr:spPr bwMode="auto">
        <a:xfrm>
          <a:off x="3901109" y="741898109"/>
          <a:ext cx="1241149"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3"/>
    <xdr:sp macro="" textlink="">
      <xdr:nvSpPr>
        <xdr:cNvPr id="3086" name="Text Box 15">
          <a:extLst>
            <a:ext uri="{FF2B5EF4-FFF2-40B4-BE49-F238E27FC236}">
              <a16:creationId xmlns:a16="http://schemas.microsoft.com/office/drawing/2014/main" id="{00000000-0008-0000-0100-00000E0C0000}"/>
            </a:ext>
          </a:extLst>
        </xdr:cNvPr>
        <xdr:cNvSpPr txBox="1">
          <a:spLocks noChangeArrowheads="1"/>
        </xdr:cNvSpPr>
      </xdr:nvSpPr>
      <xdr:spPr bwMode="auto">
        <a:xfrm>
          <a:off x="3901109" y="741898109"/>
          <a:ext cx="1117324" cy="339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87" name="Text Box 5">
          <a:extLst>
            <a:ext uri="{FF2B5EF4-FFF2-40B4-BE49-F238E27FC236}">
              <a16:creationId xmlns:a16="http://schemas.microsoft.com/office/drawing/2014/main" id="{00000000-0008-0000-0100-00000F0C0000}"/>
            </a:ext>
          </a:extLst>
        </xdr:cNvPr>
        <xdr:cNvSpPr txBox="1">
          <a:spLocks noChangeArrowheads="1"/>
        </xdr:cNvSpPr>
      </xdr:nvSpPr>
      <xdr:spPr bwMode="auto">
        <a:xfrm>
          <a:off x="3901109" y="741898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088" name="Text Box 6">
          <a:extLst>
            <a:ext uri="{FF2B5EF4-FFF2-40B4-BE49-F238E27FC236}">
              <a16:creationId xmlns:a16="http://schemas.microsoft.com/office/drawing/2014/main" id="{00000000-0008-0000-0100-0000100C0000}"/>
            </a:ext>
          </a:extLst>
        </xdr:cNvPr>
        <xdr:cNvSpPr txBox="1">
          <a:spLocks noChangeArrowheads="1"/>
        </xdr:cNvSpPr>
      </xdr:nvSpPr>
      <xdr:spPr bwMode="auto">
        <a:xfrm>
          <a:off x="3901109" y="7418981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89" name="Text Box 7">
          <a:extLst>
            <a:ext uri="{FF2B5EF4-FFF2-40B4-BE49-F238E27FC236}">
              <a16:creationId xmlns:a16="http://schemas.microsoft.com/office/drawing/2014/main" id="{00000000-0008-0000-0100-000011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90" name="Text Box 8">
          <a:extLst>
            <a:ext uri="{FF2B5EF4-FFF2-40B4-BE49-F238E27FC236}">
              <a16:creationId xmlns:a16="http://schemas.microsoft.com/office/drawing/2014/main" id="{00000000-0008-0000-0100-000012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91" name="Text Box 9">
          <a:extLst>
            <a:ext uri="{FF2B5EF4-FFF2-40B4-BE49-F238E27FC236}">
              <a16:creationId xmlns:a16="http://schemas.microsoft.com/office/drawing/2014/main" id="{00000000-0008-0000-0100-000013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92" name="Text Box 10">
          <a:extLst>
            <a:ext uri="{FF2B5EF4-FFF2-40B4-BE49-F238E27FC236}">
              <a16:creationId xmlns:a16="http://schemas.microsoft.com/office/drawing/2014/main" id="{00000000-0008-0000-0100-000014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93" name="Text Box 11">
          <a:extLst>
            <a:ext uri="{FF2B5EF4-FFF2-40B4-BE49-F238E27FC236}">
              <a16:creationId xmlns:a16="http://schemas.microsoft.com/office/drawing/2014/main" id="{00000000-0008-0000-0100-000015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94" name="Text Box 12">
          <a:extLst>
            <a:ext uri="{FF2B5EF4-FFF2-40B4-BE49-F238E27FC236}">
              <a16:creationId xmlns:a16="http://schemas.microsoft.com/office/drawing/2014/main" id="{00000000-0008-0000-0100-000016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95" name="Text Box 13">
          <a:extLst>
            <a:ext uri="{FF2B5EF4-FFF2-40B4-BE49-F238E27FC236}">
              <a16:creationId xmlns:a16="http://schemas.microsoft.com/office/drawing/2014/main" id="{00000000-0008-0000-0100-000017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3096" name="Text Box 14">
          <a:extLst>
            <a:ext uri="{FF2B5EF4-FFF2-40B4-BE49-F238E27FC236}">
              <a16:creationId xmlns:a16="http://schemas.microsoft.com/office/drawing/2014/main" id="{00000000-0008-0000-0100-0000180C0000}"/>
            </a:ext>
          </a:extLst>
        </xdr:cNvPr>
        <xdr:cNvSpPr txBox="1">
          <a:spLocks noChangeArrowheads="1"/>
        </xdr:cNvSpPr>
      </xdr:nvSpPr>
      <xdr:spPr bwMode="auto">
        <a:xfrm>
          <a:off x="3901109" y="74189810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097" name="Text Box 15">
          <a:extLst>
            <a:ext uri="{FF2B5EF4-FFF2-40B4-BE49-F238E27FC236}">
              <a16:creationId xmlns:a16="http://schemas.microsoft.com/office/drawing/2014/main" id="{00000000-0008-0000-0100-000019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98" name="Text Box 16">
          <a:extLst>
            <a:ext uri="{FF2B5EF4-FFF2-40B4-BE49-F238E27FC236}">
              <a16:creationId xmlns:a16="http://schemas.microsoft.com/office/drawing/2014/main" id="{00000000-0008-0000-0100-00001A0C0000}"/>
            </a:ext>
          </a:extLst>
        </xdr:cNvPr>
        <xdr:cNvSpPr txBox="1">
          <a:spLocks noChangeArrowheads="1"/>
        </xdr:cNvSpPr>
      </xdr:nvSpPr>
      <xdr:spPr bwMode="auto">
        <a:xfrm>
          <a:off x="3901109" y="741898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099" name="Text Box 17">
          <a:extLst>
            <a:ext uri="{FF2B5EF4-FFF2-40B4-BE49-F238E27FC236}">
              <a16:creationId xmlns:a16="http://schemas.microsoft.com/office/drawing/2014/main" id="{00000000-0008-0000-0100-00001B0C0000}"/>
            </a:ext>
          </a:extLst>
        </xdr:cNvPr>
        <xdr:cNvSpPr txBox="1">
          <a:spLocks noChangeArrowheads="1"/>
        </xdr:cNvSpPr>
      </xdr:nvSpPr>
      <xdr:spPr bwMode="auto">
        <a:xfrm>
          <a:off x="3901109" y="741898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00" name="Text Box 18">
          <a:extLst>
            <a:ext uri="{FF2B5EF4-FFF2-40B4-BE49-F238E27FC236}">
              <a16:creationId xmlns:a16="http://schemas.microsoft.com/office/drawing/2014/main" id="{00000000-0008-0000-0100-00001C0C0000}"/>
            </a:ext>
          </a:extLst>
        </xdr:cNvPr>
        <xdr:cNvSpPr txBox="1">
          <a:spLocks noChangeArrowheads="1"/>
        </xdr:cNvSpPr>
      </xdr:nvSpPr>
      <xdr:spPr bwMode="auto">
        <a:xfrm>
          <a:off x="3901109" y="741898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01" name="Text Box 19">
          <a:extLst>
            <a:ext uri="{FF2B5EF4-FFF2-40B4-BE49-F238E27FC236}">
              <a16:creationId xmlns:a16="http://schemas.microsoft.com/office/drawing/2014/main" id="{00000000-0008-0000-0100-00001D0C0000}"/>
            </a:ext>
          </a:extLst>
        </xdr:cNvPr>
        <xdr:cNvSpPr txBox="1">
          <a:spLocks noChangeArrowheads="1"/>
        </xdr:cNvSpPr>
      </xdr:nvSpPr>
      <xdr:spPr bwMode="auto">
        <a:xfrm>
          <a:off x="3901109" y="741898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02" name="Text Box 20">
          <a:extLst>
            <a:ext uri="{FF2B5EF4-FFF2-40B4-BE49-F238E27FC236}">
              <a16:creationId xmlns:a16="http://schemas.microsoft.com/office/drawing/2014/main" id="{00000000-0008-0000-0100-00001E0C0000}"/>
            </a:ext>
          </a:extLst>
        </xdr:cNvPr>
        <xdr:cNvSpPr txBox="1">
          <a:spLocks noChangeArrowheads="1"/>
        </xdr:cNvSpPr>
      </xdr:nvSpPr>
      <xdr:spPr bwMode="auto">
        <a:xfrm>
          <a:off x="3901109" y="741898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03" name="Text Box 21">
          <a:extLst>
            <a:ext uri="{FF2B5EF4-FFF2-40B4-BE49-F238E27FC236}">
              <a16:creationId xmlns:a16="http://schemas.microsoft.com/office/drawing/2014/main" id="{00000000-0008-0000-0100-00001F0C0000}"/>
            </a:ext>
          </a:extLst>
        </xdr:cNvPr>
        <xdr:cNvSpPr txBox="1">
          <a:spLocks noChangeArrowheads="1"/>
        </xdr:cNvSpPr>
      </xdr:nvSpPr>
      <xdr:spPr bwMode="auto">
        <a:xfrm>
          <a:off x="3901109" y="741898109"/>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04" name="Text Box 22">
          <a:extLst>
            <a:ext uri="{FF2B5EF4-FFF2-40B4-BE49-F238E27FC236}">
              <a16:creationId xmlns:a16="http://schemas.microsoft.com/office/drawing/2014/main" id="{00000000-0008-0000-0100-0000200C0000}"/>
            </a:ext>
          </a:extLst>
        </xdr:cNvPr>
        <xdr:cNvSpPr txBox="1">
          <a:spLocks noChangeArrowheads="1"/>
        </xdr:cNvSpPr>
      </xdr:nvSpPr>
      <xdr:spPr bwMode="auto">
        <a:xfrm>
          <a:off x="3901109" y="741898109"/>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105" name="Text Box 7">
          <a:extLst>
            <a:ext uri="{FF2B5EF4-FFF2-40B4-BE49-F238E27FC236}">
              <a16:creationId xmlns:a16="http://schemas.microsoft.com/office/drawing/2014/main" id="{00000000-0008-0000-0100-000021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106" name="Text Box 8">
          <a:extLst>
            <a:ext uri="{FF2B5EF4-FFF2-40B4-BE49-F238E27FC236}">
              <a16:creationId xmlns:a16="http://schemas.microsoft.com/office/drawing/2014/main" id="{00000000-0008-0000-0100-000022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107" name="Text Box 9">
          <a:extLst>
            <a:ext uri="{FF2B5EF4-FFF2-40B4-BE49-F238E27FC236}">
              <a16:creationId xmlns:a16="http://schemas.microsoft.com/office/drawing/2014/main" id="{00000000-0008-0000-0100-000023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108" name="Text Box 10">
          <a:extLst>
            <a:ext uri="{FF2B5EF4-FFF2-40B4-BE49-F238E27FC236}">
              <a16:creationId xmlns:a16="http://schemas.microsoft.com/office/drawing/2014/main" id="{00000000-0008-0000-0100-000024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109" name="Text Box 11">
          <a:extLst>
            <a:ext uri="{FF2B5EF4-FFF2-40B4-BE49-F238E27FC236}">
              <a16:creationId xmlns:a16="http://schemas.microsoft.com/office/drawing/2014/main" id="{00000000-0008-0000-0100-000025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110" name="Text Box 12">
          <a:extLst>
            <a:ext uri="{FF2B5EF4-FFF2-40B4-BE49-F238E27FC236}">
              <a16:creationId xmlns:a16="http://schemas.microsoft.com/office/drawing/2014/main" id="{00000000-0008-0000-0100-000026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111" name="Text Box 13">
          <a:extLst>
            <a:ext uri="{FF2B5EF4-FFF2-40B4-BE49-F238E27FC236}">
              <a16:creationId xmlns:a16="http://schemas.microsoft.com/office/drawing/2014/main" id="{00000000-0008-0000-0100-000027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241149" cy="339770"/>
    <xdr:sp macro="" textlink="">
      <xdr:nvSpPr>
        <xdr:cNvPr id="3112" name="Text Box 14">
          <a:extLst>
            <a:ext uri="{FF2B5EF4-FFF2-40B4-BE49-F238E27FC236}">
              <a16:creationId xmlns:a16="http://schemas.microsoft.com/office/drawing/2014/main" id="{00000000-0008-0000-0100-0000280C0000}"/>
            </a:ext>
          </a:extLst>
        </xdr:cNvPr>
        <xdr:cNvSpPr txBox="1">
          <a:spLocks noChangeArrowheads="1"/>
        </xdr:cNvSpPr>
      </xdr:nvSpPr>
      <xdr:spPr bwMode="auto">
        <a:xfrm>
          <a:off x="3901109" y="741898109"/>
          <a:ext cx="1241149"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339770"/>
    <xdr:sp macro="" textlink="">
      <xdr:nvSpPr>
        <xdr:cNvPr id="3113" name="Text Box 15">
          <a:extLst>
            <a:ext uri="{FF2B5EF4-FFF2-40B4-BE49-F238E27FC236}">
              <a16:creationId xmlns:a16="http://schemas.microsoft.com/office/drawing/2014/main" id="{00000000-0008-0000-0100-0000290C0000}"/>
            </a:ext>
          </a:extLst>
        </xdr:cNvPr>
        <xdr:cNvSpPr txBox="1">
          <a:spLocks noChangeArrowheads="1"/>
        </xdr:cNvSpPr>
      </xdr:nvSpPr>
      <xdr:spPr bwMode="auto">
        <a:xfrm>
          <a:off x="3901109" y="741898109"/>
          <a:ext cx="1117324" cy="339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114" name="Text Box 5">
          <a:extLst>
            <a:ext uri="{FF2B5EF4-FFF2-40B4-BE49-F238E27FC236}">
              <a16:creationId xmlns:a16="http://schemas.microsoft.com/office/drawing/2014/main" id="{00000000-0008-0000-0100-00002A0C0000}"/>
            </a:ext>
          </a:extLst>
        </xdr:cNvPr>
        <xdr:cNvSpPr txBox="1">
          <a:spLocks noChangeArrowheads="1"/>
        </xdr:cNvSpPr>
      </xdr:nvSpPr>
      <xdr:spPr bwMode="auto">
        <a:xfrm>
          <a:off x="3901109" y="741898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115" name="Text Box 6">
          <a:extLst>
            <a:ext uri="{FF2B5EF4-FFF2-40B4-BE49-F238E27FC236}">
              <a16:creationId xmlns:a16="http://schemas.microsoft.com/office/drawing/2014/main" id="{00000000-0008-0000-0100-00002B0C0000}"/>
            </a:ext>
          </a:extLst>
        </xdr:cNvPr>
        <xdr:cNvSpPr txBox="1">
          <a:spLocks noChangeArrowheads="1"/>
        </xdr:cNvSpPr>
      </xdr:nvSpPr>
      <xdr:spPr bwMode="auto">
        <a:xfrm>
          <a:off x="3901109" y="741898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116" name="Text Box 7">
          <a:extLst>
            <a:ext uri="{FF2B5EF4-FFF2-40B4-BE49-F238E27FC236}">
              <a16:creationId xmlns:a16="http://schemas.microsoft.com/office/drawing/2014/main" id="{00000000-0008-0000-0100-00002C0C0000}"/>
            </a:ext>
          </a:extLst>
        </xdr:cNvPr>
        <xdr:cNvSpPr txBox="1">
          <a:spLocks noChangeArrowheads="1"/>
        </xdr:cNvSpPr>
      </xdr:nvSpPr>
      <xdr:spPr bwMode="auto">
        <a:xfrm>
          <a:off x="3901109" y="741898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117" name="Text Box 8">
          <a:extLst>
            <a:ext uri="{FF2B5EF4-FFF2-40B4-BE49-F238E27FC236}">
              <a16:creationId xmlns:a16="http://schemas.microsoft.com/office/drawing/2014/main" id="{00000000-0008-0000-0100-00002D0C0000}"/>
            </a:ext>
          </a:extLst>
        </xdr:cNvPr>
        <xdr:cNvSpPr txBox="1">
          <a:spLocks noChangeArrowheads="1"/>
        </xdr:cNvSpPr>
      </xdr:nvSpPr>
      <xdr:spPr bwMode="auto">
        <a:xfrm>
          <a:off x="3901109" y="741898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118" name="Text Box 9">
          <a:extLst>
            <a:ext uri="{FF2B5EF4-FFF2-40B4-BE49-F238E27FC236}">
              <a16:creationId xmlns:a16="http://schemas.microsoft.com/office/drawing/2014/main" id="{00000000-0008-0000-0100-00002E0C0000}"/>
            </a:ext>
          </a:extLst>
        </xdr:cNvPr>
        <xdr:cNvSpPr txBox="1">
          <a:spLocks noChangeArrowheads="1"/>
        </xdr:cNvSpPr>
      </xdr:nvSpPr>
      <xdr:spPr bwMode="auto">
        <a:xfrm>
          <a:off x="3901109" y="741898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119" name="Text Box 10">
          <a:extLst>
            <a:ext uri="{FF2B5EF4-FFF2-40B4-BE49-F238E27FC236}">
              <a16:creationId xmlns:a16="http://schemas.microsoft.com/office/drawing/2014/main" id="{00000000-0008-0000-0100-00002F0C0000}"/>
            </a:ext>
          </a:extLst>
        </xdr:cNvPr>
        <xdr:cNvSpPr txBox="1">
          <a:spLocks noChangeArrowheads="1"/>
        </xdr:cNvSpPr>
      </xdr:nvSpPr>
      <xdr:spPr bwMode="auto">
        <a:xfrm>
          <a:off x="3901109" y="741898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120" name="Text Box 11">
          <a:extLst>
            <a:ext uri="{FF2B5EF4-FFF2-40B4-BE49-F238E27FC236}">
              <a16:creationId xmlns:a16="http://schemas.microsoft.com/office/drawing/2014/main" id="{00000000-0008-0000-0100-0000300C0000}"/>
            </a:ext>
          </a:extLst>
        </xdr:cNvPr>
        <xdr:cNvSpPr txBox="1">
          <a:spLocks noChangeArrowheads="1"/>
        </xdr:cNvSpPr>
      </xdr:nvSpPr>
      <xdr:spPr bwMode="auto">
        <a:xfrm>
          <a:off x="3901109" y="741898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061194"/>
    <xdr:sp macro="" textlink="">
      <xdr:nvSpPr>
        <xdr:cNvPr id="3121" name="Text Box 12">
          <a:extLst>
            <a:ext uri="{FF2B5EF4-FFF2-40B4-BE49-F238E27FC236}">
              <a16:creationId xmlns:a16="http://schemas.microsoft.com/office/drawing/2014/main" id="{00000000-0008-0000-0100-0000310C0000}"/>
            </a:ext>
          </a:extLst>
        </xdr:cNvPr>
        <xdr:cNvSpPr txBox="1">
          <a:spLocks noChangeArrowheads="1"/>
        </xdr:cNvSpPr>
      </xdr:nvSpPr>
      <xdr:spPr bwMode="auto">
        <a:xfrm>
          <a:off x="3901109" y="741898109"/>
          <a:ext cx="1117324" cy="1061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22" name="Text Box 5">
          <a:extLst>
            <a:ext uri="{FF2B5EF4-FFF2-40B4-BE49-F238E27FC236}">
              <a16:creationId xmlns:a16="http://schemas.microsoft.com/office/drawing/2014/main" id="{00000000-0008-0000-0100-000032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23" name="Text Box 6">
          <a:extLst>
            <a:ext uri="{FF2B5EF4-FFF2-40B4-BE49-F238E27FC236}">
              <a16:creationId xmlns:a16="http://schemas.microsoft.com/office/drawing/2014/main" id="{00000000-0008-0000-0100-000033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24" name="Text Box 16">
          <a:extLst>
            <a:ext uri="{FF2B5EF4-FFF2-40B4-BE49-F238E27FC236}">
              <a16:creationId xmlns:a16="http://schemas.microsoft.com/office/drawing/2014/main" id="{00000000-0008-0000-0100-000034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25" name="Text Box 17">
          <a:extLst>
            <a:ext uri="{FF2B5EF4-FFF2-40B4-BE49-F238E27FC236}">
              <a16:creationId xmlns:a16="http://schemas.microsoft.com/office/drawing/2014/main" id="{00000000-0008-0000-0100-000035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26" name="Text Box 18">
          <a:extLst>
            <a:ext uri="{FF2B5EF4-FFF2-40B4-BE49-F238E27FC236}">
              <a16:creationId xmlns:a16="http://schemas.microsoft.com/office/drawing/2014/main" id="{00000000-0008-0000-0100-000036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27" name="Text Box 19">
          <a:extLst>
            <a:ext uri="{FF2B5EF4-FFF2-40B4-BE49-F238E27FC236}">
              <a16:creationId xmlns:a16="http://schemas.microsoft.com/office/drawing/2014/main" id="{00000000-0008-0000-0100-000037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28" name="Text Box 20">
          <a:extLst>
            <a:ext uri="{FF2B5EF4-FFF2-40B4-BE49-F238E27FC236}">
              <a16:creationId xmlns:a16="http://schemas.microsoft.com/office/drawing/2014/main" id="{00000000-0008-0000-0100-000038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29" name="Text Box 21">
          <a:extLst>
            <a:ext uri="{FF2B5EF4-FFF2-40B4-BE49-F238E27FC236}">
              <a16:creationId xmlns:a16="http://schemas.microsoft.com/office/drawing/2014/main" id="{00000000-0008-0000-0100-000039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30" name="Text Box 22">
          <a:extLst>
            <a:ext uri="{FF2B5EF4-FFF2-40B4-BE49-F238E27FC236}">
              <a16:creationId xmlns:a16="http://schemas.microsoft.com/office/drawing/2014/main" id="{00000000-0008-0000-0100-00003A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31" name="Text Box 5">
          <a:extLst>
            <a:ext uri="{FF2B5EF4-FFF2-40B4-BE49-F238E27FC236}">
              <a16:creationId xmlns:a16="http://schemas.microsoft.com/office/drawing/2014/main" id="{00000000-0008-0000-0100-00003B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32" name="Text Box 6">
          <a:extLst>
            <a:ext uri="{FF2B5EF4-FFF2-40B4-BE49-F238E27FC236}">
              <a16:creationId xmlns:a16="http://schemas.microsoft.com/office/drawing/2014/main" id="{00000000-0008-0000-0100-00003C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33" name="Text Box 16">
          <a:extLst>
            <a:ext uri="{FF2B5EF4-FFF2-40B4-BE49-F238E27FC236}">
              <a16:creationId xmlns:a16="http://schemas.microsoft.com/office/drawing/2014/main" id="{00000000-0008-0000-0100-00003D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34" name="Text Box 17">
          <a:extLst>
            <a:ext uri="{FF2B5EF4-FFF2-40B4-BE49-F238E27FC236}">
              <a16:creationId xmlns:a16="http://schemas.microsoft.com/office/drawing/2014/main" id="{00000000-0008-0000-0100-00003E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35" name="Text Box 18">
          <a:extLst>
            <a:ext uri="{FF2B5EF4-FFF2-40B4-BE49-F238E27FC236}">
              <a16:creationId xmlns:a16="http://schemas.microsoft.com/office/drawing/2014/main" id="{00000000-0008-0000-0100-00003F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36" name="Text Box 19">
          <a:extLst>
            <a:ext uri="{FF2B5EF4-FFF2-40B4-BE49-F238E27FC236}">
              <a16:creationId xmlns:a16="http://schemas.microsoft.com/office/drawing/2014/main" id="{00000000-0008-0000-0100-000040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37" name="Text Box 20">
          <a:extLst>
            <a:ext uri="{FF2B5EF4-FFF2-40B4-BE49-F238E27FC236}">
              <a16:creationId xmlns:a16="http://schemas.microsoft.com/office/drawing/2014/main" id="{00000000-0008-0000-0100-000041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38" name="Text Box 21">
          <a:extLst>
            <a:ext uri="{FF2B5EF4-FFF2-40B4-BE49-F238E27FC236}">
              <a16:creationId xmlns:a16="http://schemas.microsoft.com/office/drawing/2014/main" id="{00000000-0008-0000-0100-000042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39" name="Text Box 22">
          <a:extLst>
            <a:ext uri="{FF2B5EF4-FFF2-40B4-BE49-F238E27FC236}">
              <a16:creationId xmlns:a16="http://schemas.microsoft.com/office/drawing/2014/main" id="{00000000-0008-0000-0100-000043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0" name="Text Box 5">
          <a:extLst>
            <a:ext uri="{FF2B5EF4-FFF2-40B4-BE49-F238E27FC236}">
              <a16:creationId xmlns:a16="http://schemas.microsoft.com/office/drawing/2014/main" id="{00000000-0008-0000-0100-000044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41" name="Text Box 6">
          <a:extLst>
            <a:ext uri="{FF2B5EF4-FFF2-40B4-BE49-F238E27FC236}">
              <a16:creationId xmlns:a16="http://schemas.microsoft.com/office/drawing/2014/main" id="{00000000-0008-0000-0100-000045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2" name="Text Box 16">
          <a:extLst>
            <a:ext uri="{FF2B5EF4-FFF2-40B4-BE49-F238E27FC236}">
              <a16:creationId xmlns:a16="http://schemas.microsoft.com/office/drawing/2014/main" id="{00000000-0008-0000-0100-000046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3" name="Text Box 17">
          <a:extLst>
            <a:ext uri="{FF2B5EF4-FFF2-40B4-BE49-F238E27FC236}">
              <a16:creationId xmlns:a16="http://schemas.microsoft.com/office/drawing/2014/main" id="{00000000-0008-0000-0100-000047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4" name="Text Box 18">
          <a:extLst>
            <a:ext uri="{FF2B5EF4-FFF2-40B4-BE49-F238E27FC236}">
              <a16:creationId xmlns:a16="http://schemas.microsoft.com/office/drawing/2014/main" id="{00000000-0008-0000-0100-000048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5" name="Text Box 19">
          <a:extLst>
            <a:ext uri="{FF2B5EF4-FFF2-40B4-BE49-F238E27FC236}">
              <a16:creationId xmlns:a16="http://schemas.microsoft.com/office/drawing/2014/main" id="{00000000-0008-0000-0100-000049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6" name="Text Box 20">
          <a:extLst>
            <a:ext uri="{FF2B5EF4-FFF2-40B4-BE49-F238E27FC236}">
              <a16:creationId xmlns:a16="http://schemas.microsoft.com/office/drawing/2014/main" id="{00000000-0008-0000-0100-00004A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7" name="Text Box 21">
          <a:extLst>
            <a:ext uri="{FF2B5EF4-FFF2-40B4-BE49-F238E27FC236}">
              <a16:creationId xmlns:a16="http://schemas.microsoft.com/office/drawing/2014/main" id="{00000000-0008-0000-0100-00004B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48" name="Text Box 22">
          <a:extLst>
            <a:ext uri="{FF2B5EF4-FFF2-40B4-BE49-F238E27FC236}">
              <a16:creationId xmlns:a16="http://schemas.microsoft.com/office/drawing/2014/main" id="{00000000-0008-0000-0100-00004C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49" name="Text Box 5">
          <a:extLst>
            <a:ext uri="{FF2B5EF4-FFF2-40B4-BE49-F238E27FC236}">
              <a16:creationId xmlns:a16="http://schemas.microsoft.com/office/drawing/2014/main" id="{00000000-0008-0000-0100-00004D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50" name="Text Box 6">
          <a:extLst>
            <a:ext uri="{FF2B5EF4-FFF2-40B4-BE49-F238E27FC236}">
              <a16:creationId xmlns:a16="http://schemas.microsoft.com/office/drawing/2014/main" id="{00000000-0008-0000-0100-00004E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51" name="Text Box 16">
          <a:extLst>
            <a:ext uri="{FF2B5EF4-FFF2-40B4-BE49-F238E27FC236}">
              <a16:creationId xmlns:a16="http://schemas.microsoft.com/office/drawing/2014/main" id="{00000000-0008-0000-0100-00004F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52" name="Text Box 17">
          <a:extLst>
            <a:ext uri="{FF2B5EF4-FFF2-40B4-BE49-F238E27FC236}">
              <a16:creationId xmlns:a16="http://schemas.microsoft.com/office/drawing/2014/main" id="{00000000-0008-0000-0100-000050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53" name="Text Box 18">
          <a:extLst>
            <a:ext uri="{FF2B5EF4-FFF2-40B4-BE49-F238E27FC236}">
              <a16:creationId xmlns:a16="http://schemas.microsoft.com/office/drawing/2014/main" id="{00000000-0008-0000-0100-000051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54" name="Text Box 19">
          <a:extLst>
            <a:ext uri="{FF2B5EF4-FFF2-40B4-BE49-F238E27FC236}">
              <a16:creationId xmlns:a16="http://schemas.microsoft.com/office/drawing/2014/main" id="{00000000-0008-0000-0100-000052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55" name="Text Box 20">
          <a:extLst>
            <a:ext uri="{FF2B5EF4-FFF2-40B4-BE49-F238E27FC236}">
              <a16:creationId xmlns:a16="http://schemas.microsoft.com/office/drawing/2014/main" id="{00000000-0008-0000-0100-000053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56" name="Text Box 21">
          <a:extLst>
            <a:ext uri="{FF2B5EF4-FFF2-40B4-BE49-F238E27FC236}">
              <a16:creationId xmlns:a16="http://schemas.microsoft.com/office/drawing/2014/main" id="{00000000-0008-0000-0100-000054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57" name="Text Box 22">
          <a:extLst>
            <a:ext uri="{FF2B5EF4-FFF2-40B4-BE49-F238E27FC236}">
              <a16:creationId xmlns:a16="http://schemas.microsoft.com/office/drawing/2014/main" id="{00000000-0008-0000-0100-000055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58" name="Text Box 5">
          <a:extLst>
            <a:ext uri="{FF2B5EF4-FFF2-40B4-BE49-F238E27FC236}">
              <a16:creationId xmlns:a16="http://schemas.microsoft.com/office/drawing/2014/main" id="{00000000-0008-0000-0100-000056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59" name="Text Box 6">
          <a:extLst>
            <a:ext uri="{FF2B5EF4-FFF2-40B4-BE49-F238E27FC236}">
              <a16:creationId xmlns:a16="http://schemas.microsoft.com/office/drawing/2014/main" id="{00000000-0008-0000-0100-000057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0" name="Text Box 16">
          <a:extLst>
            <a:ext uri="{FF2B5EF4-FFF2-40B4-BE49-F238E27FC236}">
              <a16:creationId xmlns:a16="http://schemas.microsoft.com/office/drawing/2014/main" id="{00000000-0008-0000-0100-000058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1" name="Text Box 17">
          <a:extLst>
            <a:ext uri="{FF2B5EF4-FFF2-40B4-BE49-F238E27FC236}">
              <a16:creationId xmlns:a16="http://schemas.microsoft.com/office/drawing/2014/main" id="{00000000-0008-0000-0100-000059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2" name="Text Box 18">
          <a:extLst>
            <a:ext uri="{FF2B5EF4-FFF2-40B4-BE49-F238E27FC236}">
              <a16:creationId xmlns:a16="http://schemas.microsoft.com/office/drawing/2014/main" id="{00000000-0008-0000-0100-00005A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3" name="Text Box 19">
          <a:extLst>
            <a:ext uri="{FF2B5EF4-FFF2-40B4-BE49-F238E27FC236}">
              <a16:creationId xmlns:a16="http://schemas.microsoft.com/office/drawing/2014/main" id="{00000000-0008-0000-0100-00005B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4" name="Text Box 20">
          <a:extLst>
            <a:ext uri="{FF2B5EF4-FFF2-40B4-BE49-F238E27FC236}">
              <a16:creationId xmlns:a16="http://schemas.microsoft.com/office/drawing/2014/main" id="{00000000-0008-0000-0100-00005C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5" name="Text Box 21">
          <a:extLst>
            <a:ext uri="{FF2B5EF4-FFF2-40B4-BE49-F238E27FC236}">
              <a16:creationId xmlns:a16="http://schemas.microsoft.com/office/drawing/2014/main" id="{00000000-0008-0000-0100-00005D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66" name="Text Box 22">
          <a:extLst>
            <a:ext uri="{FF2B5EF4-FFF2-40B4-BE49-F238E27FC236}">
              <a16:creationId xmlns:a16="http://schemas.microsoft.com/office/drawing/2014/main" id="{00000000-0008-0000-0100-00005E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7" name="Text Box 5">
          <a:extLst>
            <a:ext uri="{FF2B5EF4-FFF2-40B4-BE49-F238E27FC236}">
              <a16:creationId xmlns:a16="http://schemas.microsoft.com/office/drawing/2014/main" id="{00000000-0008-0000-0100-00005F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68" name="Text Box 6">
          <a:extLst>
            <a:ext uri="{FF2B5EF4-FFF2-40B4-BE49-F238E27FC236}">
              <a16:creationId xmlns:a16="http://schemas.microsoft.com/office/drawing/2014/main" id="{00000000-0008-0000-0100-000060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69" name="Text Box 16">
          <a:extLst>
            <a:ext uri="{FF2B5EF4-FFF2-40B4-BE49-F238E27FC236}">
              <a16:creationId xmlns:a16="http://schemas.microsoft.com/office/drawing/2014/main" id="{00000000-0008-0000-0100-000061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70" name="Text Box 17">
          <a:extLst>
            <a:ext uri="{FF2B5EF4-FFF2-40B4-BE49-F238E27FC236}">
              <a16:creationId xmlns:a16="http://schemas.microsoft.com/office/drawing/2014/main" id="{00000000-0008-0000-0100-000062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71" name="Text Box 18">
          <a:extLst>
            <a:ext uri="{FF2B5EF4-FFF2-40B4-BE49-F238E27FC236}">
              <a16:creationId xmlns:a16="http://schemas.microsoft.com/office/drawing/2014/main" id="{00000000-0008-0000-0100-000063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72" name="Text Box 19">
          <a:extLst>
            <a:ext uri="{FF2B5EF4-FFF2-40B4-BE49-F238E27FC236}">
              <a16:creationId xmlns:a16="http://schemas.microsoft.com/office/drawing/2014/main" id="{00000000-0008-0000-0100-000064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73" name="Text Box 20">
          <a:extLst>
            <a:ext uri="{FF2B5EF4-FFF2-40B4-BE49-F238E27FC236}">
              <a16:creationId xmlns:a16="http://schemas.microsoft.com/office/drawing/2014/main" id="{00000000-0008-0000-0100-000065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256668"/>
    <xdr:sp macro="" textlink="">
      <xdr:nvSpPr>
        <xdr:cNvPr id="3174" name="Text Box 21">
          <a:extLst>
            <a:ext uri="{FF2B5EF4-FFF2-40B4-BE49-F238E27FC236}">
              <a16:creationId xmlns:a16="http://schemas.microsoft.com/office/drawing/2014/main" id="{00000000-0008-0000-0100-0000660C0000}"/>
            </a:ext>
          </a:extLst>
        </xdr:cNvPr>
        <xdr:cNvSpPr txBox="1">
          <a:spLocks noChangeArrowheads="1"/>
        </xdr:cNvSpPr>
      </xdr:nvSpPr>
      <xdr:spPr bwMode="auto">
        <a:xfrm>
          <a:off x="3901109" y="684665283"/>
          <a:ext cx="1117324" cy="25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719</xdr:row>
      <xdr:rowOff>0</xdr:rowOff>
    </xdr:from>
    <xdr:ext cx="1117324" cy="168827"/>
    <xdr:sp macro="" textlink="">
      <xdr:nvSpPr>
        <xdr:cNvPr id="3175" name="Text Box 22">
          <a:extLst>
            <a:ext uri="{FF2B5EF4-FFF2-40B4-BE49-F238E27FC236}">
              <a16:creationId xmlns:a16="http://schemas.microsoft.com/office/drawing/2014/main" id="{00000000-0008-0000-0100-0000670C0000}"/>
            </a:ext>
          </a:extLst>
        </xdr:cNvPr>
        <xdr:cNvSpPr txBox="1">
          <a:spLocks noChangeArrowheads="1"/>
        </xdr:cNvSpPr>
      </xdr:nvSpPr>
      <xdr:spPr bwMode="auto">
        <a:xfrm>
          <a:off x="3901109" y="684665283"/>
          <a:ext cx="1117324" cy="168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5</xdr:row>
      <xdr:rowOff>0</xdr:rowOff>
    </xdr:from>
    <xdr:ext cx="28854" cy="132665"/>
    <xdr:sp macro="" textlink="">
      <xdr:nvSpPr>
        <xdr:cNvPr id="2" name="Rectangle 238">
          <a:extLst>
            <a:ext uri="{FF2B5EF4-FFF2-40B4-BE49-F238E27FC236}">
              <a16:creationId xmlns:a16="http://schemas.microsoft.com/office/drawing/2014/main" id="{D79B6B53-8A32-4285-990B-6659E49FADE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 name="Rectangle 249">
          <a:extLst>
            <a:ext uri="{FF2B5EF4-FFF2-40B4-BE49-F238E27FC236}">
              <a16:creationId xmlns:a16="http://schemas.microsoft.com/office/drawing/2014/main" id="{971CD6A9-6C13-4339-AA7A-BC76B52606F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 name="Rectangle 251">
          <a:extLst>
            <a:ext uri="{FF2B5EF4-FFF2-40B4-BE49-F238E27FC236}">
              <a16:creationId xmlns:a16="http://schemas.microsoft.com/office/drawing/2014/main" id="{25561D60-F95D-40F6-9596-822F620EAFC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 name="Rectangle 253">
          <a:extLst>
            <a:ext uri="{FF2B5EF4-FFF2-40B4-BE49-F238E27FC236}">
              <a16:creationId xmlns:a16="http://schemas.microsoft.com/office/drawing/2014/main" id="{8809688C-8A53-40A9-853C-76C26719F4D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 name="Rectangle 254">
          <a:extLst>
            <a:ext uri="{FF2B5EF4-FFF2-40B4-BE49-F238E27FC236}">
              <a16:creationId xmlns:a16="http://schemas.microsoft.com/office/drawing/2014/main" id="{5829EB68-4596-4B87-88A0-DE2FA98CB51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 name="Rectangle 255">
          <a:extLst>
            <a:ext uri="{FF2B5EF4-FFF2-40B4-BE49-F238E27FC236}">
              <a16:creationId xmlns:a16="http://schemas.microsoft.com/office/drawing/2014/main" id="{3C1970EF-4D50-4CFD-81FA-2B2281C7D07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 name="Rectangle 257">
          <a:extLst>
            <a:ext uri="{FF2B5EF4-FFF2-40B4-BE49-F238E27FC236}">
              <a16:creationId xmlns:a16="http://schemas.microsoft.com/office/drawing/2014/main" id="{BA210B3E-BE11-4E0C-9CA1-74B3FD8E453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 name="Rectangle 258">
          <a:extLst>
            <a:ext uri="{FF2B5EF4-FFF2-40B4-BE49-F238E27FC236}">
              <a16:creationId xmlns:a16="http://schemas.microsoft.com/office/drawing/2014/main" id="{1EA4CB05-B205-4931-9554-00C6CB895F7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 name="Rectangle 259">
          <a:extLst>
            <a:ext uri="{FF2B5EF4-FFF2-40B4-BE49-F238E27FC236}">
              <a16:creationId xmlns:a16="http://schemas.microsoft.com/office/drawing/2014/main" id="{AF8DC42A-5AA5-4DF8-A0D8-6A87052E4F4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 name="Rectangle 260">
          <a:extLst>
            <a:ext uri="{FF2B5EF4-FFF2-40B4-BE49-F238E27FC236}">
              <a16:creationId xmlns:a16="http://schemas.microsoft.com/office/drawing/2014/main" id="{6F2950D9-1E20-4678-8EF0-495FBC3B115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 name="Rectangle 261">
          <a:extLst>
            <a:ext uri="{FF2B5EF4-FFF2-40B4-BE49-F238E27FC236}">
              <a16:creationId xmlns:a16="http://schemas.microsoft.com/office/drawing/2014/main" id="{220FA203-1AF7-4158-933E-8561024AC8D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 name="Rectangle 262">
          <a:extLst>
            <a:ext uri="{FF2B5EF4-FFF2-40B4-BE49-F238E27FC236}">
              <a16:creationId xmlns:a16="http://schemas.microsoft.com/office/drawing/2014/main" id="{0EB07599-098E-4EB5-9681-EE2A38BEA8D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5</xdr:row>
      <xdr:rowOff>0</xdr:rowOff>
    </xdr:from>
    <xdr:ext cx="28854" cy="132665"/>
    <xdr:sp macro="" textlink="">
      <xdr:nvSpPr>
        <xdr:cNvPr id="14" name="Rectangle 263">
          <a:extLst>
            <a:ext uri="{FF2B5EF4-FFF2-40B4-BE49-F238E27FC236}">
              <a16:creationId xmlns:a16="http://schemas.microsoft.com/office/drawing/2014/main" id="{276C306D-1FC3-49E6-B698-E3F61316CD05}"/>
            </a:ext>
          </a:extLst>
        </xdr:cNvPr>
        <xdr:cNvSpPr>
          <a:spLocks noChangeArrowheads="1"/>
        </xdr:cNvSpPr>
      </xdr:nvSpPr>
      <xdr:spPr bwMode="auto">
        <a:xfrm>
          <a:off x="72390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 name="Rectangle 264">
          <a:extLst>
            <a:ext uri="{FF2B5EF4-FFF2-40B4-BE49-F238E27FC236}">
              <a16:creationId xmlns:a16="http://schemas.microsoft.com/office/drawing/2014/main" id="{6C340E44-7496-4BE4-A4E9-C2D829F5001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 name="Rectangle 265">
          <a:extLst>
            <a:ext uri="{FF2B5EF4-FFF2-40B4-BE49-F238E27FC236}">
              <a16:creationId xmlns:a16="http://schemas.microsoft.com/office/drawing/2014/main" id="{EF2E1059-AB2F-4D53-896E-EFDA6D5D324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 name="Rectangle 266">
          <a:extLst>
            <a:ext uri="{FF2B5EF4-FFF2-40B4-BE49-F238E27FC236}">
              <a16:creationId xmlns:a16="http://schemas.microsoft.com/office/drawing/2014/main" id="{FF488212-B549-461D-A6BF-1159B5C8592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 name="Rectangle 267">
          <a:extLst>
            <a:ext uri="{FF2B5EF4-FFF2-40B4-BE49-F238E27FC236}">
              <a16:creationId xmlns:a16="http://schemas.microsoft.com/office/drawing/2014/main" id="{23A1755B-008F-4106-AE17-9102C484187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 name="Rectangle 268">
          <a:extLst>
            <a:ext uri="{FF2B5EF4-FFF2-40B4-BE49-F238E27FC236}">
              <a16:creationId xmlns:a16="http://schemas.microsoft.com/office/drawing/2014/main" id="{F8CD60E3-C195-42EF-8D49-11876AB0F1F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 name="Rectangle 269">
          <a:extLst>
            <a:ext uri="{FF2B5EF4-FFF2-40B4-BE49-F238E27FC236}">
              <a16:creationId xmlns:a16="http://schemas.microsoft.com/office/drawing/2014/main" id="{E71DCA85-8D29-4530-BF0B-AE6DAF54BD1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 name="Rectangle 270">
          <a:extLst>
            <a:ext uri="{FF2B5EF4-FFF2-40B4-BE49-F238E27FC236}">
              <a16:creationId xmlns:a16="http://schemas.microsoft.com/office/drawing/2014/main" id="{DD28D86A-C67E-41AA-825E-83122BF5435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 name="Rectangle 271">
          <a:extLst>
            <a:ext uri="{FF2B5EF4-FFF2-40B4-BE49-F238E27FC236}">
              <a16:creationId xmlns:a16="http://schemas.microsoft.com/office/drawing/2014/main" id="{159B3315-ACEE-4B42-A916-695DC02F568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 name="Rectangle 272">
          <a:extLst>
            <a:ext uri="{FF2B5EF4-FFF2-40B4-BE49-F238E27FC236}">
              <a16:creationId xmlns:a16="http://schemas.microsoft.com/office/drawing/2014/main" id="{E20A5059-2B1D-4631-A2D5-CEBF914DF91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 name="Rectangle 273">
          <a:extLst>
            <a:ext uri="{FF2B5EF4-FFF2-40B4-BE49-F238E27FC236}">
              <a16:creationId xmlns:a16="http://schemas.microsoft.com/office/drawing/2014/main" id="{2C863284-8731-455B-AD22-45279F66C3F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 name="Rectangle 274">
          <a:extLst>
            <a:ext uri="{FF2B5EF4-FFF2-40B4-BE49-F238E27FC236}">
              <a16:creationId xmlns:a16="http://schemas.microsoft.com/office/drawing/2014/main" id="{2D49D87B-D2D9-425A-8277-2647905C3DB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 name="Rectangle 275">
          <a:extLst>
            <a:ext uri="{FF2B5EF4-FFF2-40B4-BE49-F238E27FC236}">
              <a16:creationId xmlns:a16="http://schemas.microsoft.com/office/drawing/2014/main" id="{0B8135FB-760C-493D-BF4D-34A51CDC419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27" name="Rectangle 276">
          <a:extLst>
            <a:ext uri="{FF2B5EF4-FFF2-40B4-BE49-F238E27FC236}">
              <a16:creationId xmlns:a16="http://schemas.microsoft.com/office/drawing/2014/main" id="{818C7F14-F8D6-4E08-BC1B-EF7FB9932524}"/>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8" name="Rectangle 277">
          <a:extLst>
            <a:ext uri="{FF2B5EF4-FFF2-40B4-BE49-F238E27FC236}">
              <a16:creationId xmlns:a16="http://schemas.microsoft.com/office/drawing/2014/main" id="{66C59786-E945-4F33-8C37-EEC4822E3F0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9" name="Rectangle 278">
          <a:extLst>
            <a:ext uri="{FF2B5EF4-FFF2-40B4-BE49-F238E27FC236}">
              <a16:creationId xmlns:a16="http://schemas.microsoft.com/office/drawing/2014/main" id="{176657BD-97D9-4D5D-9D6F-FA0A7722CFD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0" name="Rectangle 279">
          <a:extLst>
            <a:ext uri="{FF2B5EF4-FFF2-40B4-BE49-F238E27FC236}">
              <a16:creationId xmlns:a16="http://schemas.microsoft.com/office/drawing/2014/main" id="{5C6DE013-F448-41FE-B1D0-B282E3F64A4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1" name="Rectangle 280">
          <a:extLst>
            <a:ext uri="{FF2B5EF4-FFF2-40B4-BE49-F238E27FC236}">
              <a16:creationId xmlns:a16="http://schemas.microsoft.com/office/drawing/2014/main" id="{ED25503C-8F52-489C-9A7F-47EF7095AC2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2" name="Rectangle 281">
          <a:extLst>
            <a:ext uri="{FF2B5EF4-FFF2-40B4-BE49-F238E27FC236}">
              <a16:creationId xmlns:a16="http://schemas.microsoft.com/office/drawing/2014/main" id="{90DCF446-90AF-4B5F-97B5-3414A166897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3" name="Rectangle 282">
          <a:extLst>
            <a:ext uri="{FF2B5EF4-FFF2-40B4-BE49-F238E27FC236}">
              <a16:creationId xmlns:a16="http://schemas.microsoft.com/office/drawing/2014/main" id="{ADAFB3B5-8C3A-4614-98C3-6489EDA6E0C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4" name="Rectangle 283">
          <a:extLst>
            <a:ext uri="{FF2B5EF4-FFF2-40B4-BE49-F238E27FC236}">
              <a16:creationId xmlns:a16="http://schemas.microsoft.com/office/drawing/2014/main" id="{5F8480B9-1D2A-462E-88DC-0B69B4E0EDB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5" name="Rectangle 284">
          <a:extLst>
            <a:ext uri="{FF2B5EF4-FFF2-40B4-BE49-F238E27FC236}">
              <a16:creationId xmlns:a16="http://schemas.microsoft.com/office/drawing/2014/main" id="{FEA56BAF-027E-47FC-9E14-7D6F4CD6F26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6" name="Rectangle 285">
          <a:extLst>
            <a:ext uri="{FF2B5EF4-FFF2-40B4-BE49-F238E27FC236}">
              <a16:creationId xmlns:a16="http://schemas.microsoft.com/office/drawing/2014/main" id="{DF326547-8F31-42DF-87EF-41136122734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7" name="Rectangle 286">
          <a:extLst>
            <a:ext uri="{FF2B5EF4-FFF2-40B4-BE49-F238E27FC236}">
              <a16:creationId xmlns:a16="http://schemas.microsoft.com/office/drawing/2014/main" id="{CCAC6DEA-59E4-4074-BE00-1FF7F14AF53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8" name="Rectangle 287">
          <a:extLst>
            <a:ext uri="{FF2B5EF4-FFF2-40B4-BE49-F238E27FC236}">
              <a16:creationId xmlns:a16="http://schemas.microsoft.com/office/drawing/2014/main" id="{983AA26C-2D6E-42E4-8652-3C6AADBDE25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39" name="Rectangle 288">
          <a:extLst>
            <a:ext uri="{FF2B5EF4-FFF2-40B4-BE49-F238E27FC236}">
              <a16:creationId xmlns:a16="http://schemas.microsoft.com/office/drawing/2014/main" id="{944AD9D6-1EFE-4D76-8616-918B4466120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0" name="Rectangle 289">
          <a:extLst>
            <a:ext uri="{FF2B5EF4-FFF2-40B4-BE49-F238E27FC236}">
              <a16:creationId xmlns:a16="http://schemas.microsoft.com/office/drawing/2014/main" id="{A7955B56-9132-41E0-996C-22C3FEDCD91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1" name="Rectangle 290">
          <a:extLst>
            <a:ext uri="{FF2B5EF4-FFF2-40B4-BE49-F238E27FC236}">
              <a16:creationId xmlns:a16="http://schemas.microsoft.com/office/drawing/2014/main" id="{7FBC325E-E139-444D-8528-5949EA17A4A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2" name="Rectangle 291">
          <a:extLst>
            <a:ext uri="{FF2B5EF4-FFF2-40B4-BE49-F238E27FC236}">
              <a16:creationId xmlns:a16="http://schemas.microsoft.com/office/drawing/2014/main" id="{C0F15B72-F4FC-4744-8173-9A8FB8FC4B3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3" name="Rectangle 292">
          <a:extLst>
            <a:ext uri="{FF2B5EF4-FFF2-40B4-BE49-F238E27FC236}">
              <a16:creationId xmlns:a16="http://schemas.microsoft.com/office/drawing/2014/main" id="{8B93C0AA-5751-4535-8F52-15A36A25C0D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4" name="Rectangle 293">
          <a:extLst>
            <a:ext uri="{FF2B5EF4-FFF2-40B4-BE49-F238E27FC236}">
              <a16:creationId xmlns:a16="http://schemas.microsoft.com/office/drawing/2014/main" id="{5FA4BABC-63E3-4A9C-B743-F39231E75E2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5" name="Rectangle 294">
          <a:extLst>
            <a:ext uri="{FF2B5EF4-FFF2-40B4-BE49-F238E27FC236}">
              <a16:creationId xmlns:a16="http://schemas.microsoft.com/office/drawing/2014/main" id="{B7EEDA03-4275-4787-AE6D-C18918E4293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46" name="Rectangle 295">
          <a:extLst>
            <a:ext uri="{FF2B5EF4-FFF2-40B4-BE49-F238E27FC236}">
              <a16:creationId xmlns:a16="http://schemas.microsoft.com/office/drawing/2014/main" id="{5B7B0D71-60F3-4147-8ED8-3A924C8BF3F2}"/>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7" name="Rectangle 296">
          <a:extLst>
            <a:ext uri="{FF2B5EF4-FFF2-40B4-BE49-F238E27FC236}">
              <a16:creationId xmlns:a16="http://schemas.microsoft.com/office/drawing/2014/main" id="{95361B31-E03A-4030-9BD5-91F304008D2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8" name="Rectangle 297">
          <a:extLst>
            <a:ext uri="{FF2B5EF4-FFF2-40B4-BE49-F238E27FC236}">
              <a16:creationId xmlns:a16="http://schemas.microsoft.com/office/drawing/2014/main" id="{684DD9B5-7C1A-4940-88C5-C0883C96C29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49" name="Rectangle 298">
          <a:extLst>
            <a:ext uri="{FF2B5EF4-FFF2-40B4-BE49-F238E27FC236}">
              <a16:creationId xmlns:a16="http://schemas.microsoft.com/office/drawing/2014/main" id="{6E8F4E47-CF82-4BEA-9A4B-5B2D3C80972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0" name="Rectangle 299">
          <a:extLst>
            <a:ext uri="{FF2B5EF4-FFF2-40B4-BE49-F238E27FC236}">
              <a16:creationId xmlns:a16="http://schemas.microsoft.com/office/drawing/2014/main" id="{745210DD-F530-41BC-BCB5-5969080B73F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1" name="Rectangle 300">
          <a:extLst>
            <a:ext uri="{FF2B5EF4-FFF2-40B4-BE49-F238E27FC236}">
              <a16:creationId xmlns:a16="http://schemas.microsoft.com/office/drawing/2014/main" id="{89D2572F-F625-4E8D-A576-F8629E6A379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2" name="Rectangle 301">
          <a:extLst>
            <a:ext uri="{FF2B5EF4-FFF2-40B4-BE49-F238E27FC236}">
              <a16:creationId xmlns:a16="http://schemas.microsoft.com/office/drawing/2014/main" id="{57613F4B-44C1-4F5B-A4BD-9595C85A8D9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3" name="Rectangle 302">
          <a:extLst>
            <a:ext uri="{FF2B5EF4-FFF2-40B4-BE49-F238E27FC236}">
              <a16:creationId xmlns:a16="http://schemas.microsoft.com/office/drawing/2014/main" id="{E81CAAB4-0603-4B08-92BF-E05CD2665BB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4" name="Rectangle 303">
          <a:extLst>
            <a:ext uri="{FF2B5EF4-FFF2-40B4-BE49-F238E27FC236}">
              <a16:creationId xmlns:a16="http://schemas.microsoft.com/office/drawing/2014/main" id="{26378548-926A-481A-942A-B902ADFB9CA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5" name="Rectangle 304">
          <a:extLst>
            <a:ext uri="{FF2B5EF4-FFF2-40B4-BE49-F238E27FC236}">
              <a16:creationId xmlns:a16="http://schemas.microsoft.com/office/drawing/2014/main" id="{4ABCF3E3-C966-4230-A939-5133EA37AF3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6" name="Rectangle 305">
          <a:extLst>
            <a:ext uri="{FF2B5EF4-FFF2-40B4-BE49-F238E27FC236}">
              <a16:creationId xmlns:a16="http://schemas.microsoft.com/office/drawing/2014/main" id="{F826024D-D5DE-40B8-8A5A-08010E7150F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7" name="Rectangle 306">
          <a:extLst>
            <a:ext uri="{FF2B5EF4-FFF2-40B4-BE49-F238E27FC236}">
              <a16:creationId xmlns:a16="http://schemas.microsoft.com/office/drawing/2014/main" id="{BB65E3FF-DEEF-4450-AE35-0202510A839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8" name="Rectangle 307">
          <a:extLst>
            <a:ext uri="{FF2B5EF4-FFF2-40B4-BE49-F238E27FC236}">
              <a16:creationId xmlns:a16="http://schemas.microsoft.com/office/drawing/2014/main" id="{C0ACF01E-B986-404F-9EE6-49FBC6A66A6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59" name="Rectangle 308">
          <a:extLst>
            <a:ext uri="{FF2B5EF4-FFF2-40B4-BE49-F238E27FC236}">
              <a16:creationId xmlns:a16="http://schemas.microsoft.com/office/drawing/2014/main" id="{2AB98E26-6038-49EB-83F4-508677F4138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0" name="Rectangle 309">
          <a:extLst>
            <a:ext uri="{FF2B5EF4-FFF2-40B4-BE49-F238E27FC236}">
              <a16:creationId xmlns:a16="http://schemas.microsoft.com/office/drawing/2014/main" id="{1052B33B-625D-4F8A-9A26-B72D7C697C6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1" name="Rectangle 310">
          <a:extLst>
            <a:ext uri="{FF2B5EF4-FFF2-40B4-BE49-F238E27FC236}">
              <a16:creationId xmlns:a16="http://schemas.microsoft.com/office/drawing/2014/main" id="{2C07819F-1816-481D-83A9-023EEF24B0C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2" name="Rectangle 311">
          <a:extLst>
            <a:ext uri="{FF2B5EF4-FFF2-40B4-BE49-F238E27FC236}">
              <a16:creationId xmlns:a16="http://schemas.microsoft.com/office/drawing/2014/main" id="{89840A0A-0669-464A-8B51-9E29A010416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3" name="Rectangle 312">
          <a:extLst>
            <a:ext uri="{FF2B5EF4-FFF2-40B4-BE49-F238E27FC236}">
              <a16:creationId xmlns:a16="http://schemas.microsoft.com/office/drawing/2014/main" id="{00DA27E4-30E6-4B70-BC4D-91410C531C4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4" name="Rectangle 313">
          <a:extLst>
            <a:ext uri="{FF2B5EF4-FFF2-40B4-BE49-F238E27FC236}">
              <a16:creationId xmlns:a16="http://schemas.microsoft.com/office/drawing/2014/main" id="{435277D2-6AF2-4B60-B2E3-4A88F4F12BE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5" name="Rectangle 314">
          <a:extLst>
            <a:ext uri="{FF2B5EF4-FFF2-40B4-BE49-F238E27FC236}">
              <a16:creationId xmlns:a16="http://schemas.microsoft.com/office/drawing/2014/main" id="{E11A7D1D-B22B-467E-8C7D-52C8C575B78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6" name="Rectangle 315">
          <a:extLst>
            <a:ext uri="{FF2B5EF4-FFF2-40B4-BE49-F238E27FC236}">
              <a16:creationId xmlns:a16="http://schemas.microsoft.com/office/drawing/2014/main" id="{C0BA2AB3-F274-4165-B190-B1BD35686AD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7" name="Rectangle 316">
          <a:extLst>
            <a:ext uri="{FF2B5EF4-FFF2-40B4-BE49-F238E27FC236}">
              <a16:creationId xmlns:a16="http://schemas.microsoft.com/office/drawing/2014/main" id="{69162967-D96F-48CC-BC82-81A6AF7357A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8" name="Rectangle 317">
          <a:extLst>
            <a:ext uri="{FF2B5EF4-FFF2-40B4-BE49-F238E27FC236}">
              <a16:creationId xmlns:a16="http://schemas.microsoft.com/office/drawing/2014/main" id="{C87F11AD-E06A-4640-AACD-21476ACB9A9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69" name="Rectangle 318">
          <a:extLst>
            <a:ext uri="{FF2B5EF4-FFF2-40B4-BE49-F238E27FC236}">
              <a16:creationId xmlns:a16="http://schemas.microsoft.com/office/drawing/2014/main" id="{B6F0C248-8D48-4293-855B-38C351A1435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0" name="Rectangle 319">
          <a:extLst>
            <a:ext uri="{FF2B5EF4-FFF2-40B4-BE49-F238E27FC236}">
              <a16:creationId xmlns:a16="http://schemas.microsoft.com/office/drawing/2014/main" id="{74E75622-0122-49F8-B6CB-DA2E226EFFA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71" name="Rectangle 320">
          <a:extLst>
            <a:ext uri="{FF2B5EF4-FFF2-40B4-BE49-F238E27FC236}">
              <a16:creationId xmlns:a16="http://schemas.microsoft.com/office/drawing/2014/main" id="{00DF4061-FD7B-4BE6-B0C4-C0DC4D1543C7}"/>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2" name="Rectangle 321">
          <a:extLst>
            <a:ext uri="{FF2B5EF4-FFF2-40B4-BE49-F238E27FC236}">
              <a16:creationId xmlns:a16="http://schemas.microsoft.com/office/drawing/2014/main" id="{A1299425-903A-45AF-B29A-750D70E9489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3" name="Rectangle 322">
          <a:extLst>
            <a:ext uri="{FF2B5EF4-FFF2-40B4-BE49-F238E27FC236}">
              <a16:creationId xmlns:a16="http://schemas.microsoft.com/office/drawing/2014/main" id="{43EA56E7-5DEA-4CDB-888F-E24978087E8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4" name="Rectangle 323">
          <a:extLst>
            <a:ext uri="{FF2B5EF4-FFF2-40B4-BE49-F238E27FC236}">
              <a16:creationId xmlns:a16="http://schemas.microsoft.com/office/drawing/2014/main" id="{8DDEDA1B-6C6C-48D7-BEAB-FA56B195A24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5" name="Rectangle 324">
          <a:extLst>
            <a:ext uri="{FF2B5EF4-FFF2-40B4-BE49-F238E27FC236}">
              <a16:creationId xmlns:a16="http://schemas.microsoft.com/office/drawing/2014/main" id="{188C0337-6EEE-4F23-AC9E-EFE645DEFA7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 name="Rectangle 325">
          <a:extLst>
            <a:ext uri="{FF2B5EF4-FFF2-40B4-BE49-F238E27FC236}">
              <a16:creationId xmlns:a16="http://schemas.microsoft.com/office/drawing/2014/main" id="{98654BE9-A3DA-4305-BE90-A678B3A425E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 name="Rectangle 326">
          <a:extLst>
            <a:ext uri="{FF2B5EF4-FFF2-40B4-BE49-F238E27FC236}">
              <a16:creationId xmlns:a16="http://schemas.microsoft.com/office/drawing/2014/main" id="{1EECABCB-7DD6-4BA2-AAD4-300319CF76B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 name="Rectangle 327">
          <a:extLst>
            <a:ext uri="{FF2B5EF4-FFF2-40B4-BE49-F238E27FC236}">
              <a16:creationId xmlns:a16="http://schemas.microsoft.com/office/drawing/2014/main" id="{FA60D9C3-2D76-402A-80E2-9AFF363CAC6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 name="Rectangle 328">
          <a:extLst>
            <a:ext uri="{FF2B5EF4-FFF2-40B4-BE49-F238E27FC236}">
              <a16:creationId xmlns:a16="http://schemas.microsoft.com/office/drawing/2014/main" id="{B1F31678-5EFD-40D0-B741-44B8C3079B2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 name="Rectangle 329">
          <a:extLst>
            <a:ext uri="{FF2B5EF4-FFF2-40B4-BE49-F238E27FC236}">
              <a16:creationId xmlns:a16="http://schemas.microsoft.com/office/drawing/2014/main" id="{CA9EC319-F514-4DC9-A38E-59A693F6F25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 name="Rectangle 330">
          <a:extLst>
            <a:ext uri="{FF2B5EF4-FFF2-40B4-BE49-F238E27FC236}">
              <a16:creationId xmlns:a16="http://schemas.microsoft.com/office/drawing/2014/main" id="{A83AD383-61F8-4BC9-9BB2-3D9863DF8E7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 name="Rectangle 331">
          <a:extLst>
            <a:ext uri="{FF2B5EF4-FFF2-40B4-BE49-F238E27FC236}">
              <a16:creationId xmlns:a16="http://schemas.microsoft.com/office/drawing/2014/main" id="{3BA1FDF5-0999-44CC-83D6-BFAD9386B53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 name="Rectangle 332">
          <a:extLst>
            <a:ext uri="{FF2B5EF4-FFF2-40B4-BE49-F238E27FC236}">
              <a16:creationId xmlns:a16="http://schemas.microsoft.com/office/drawing/2014/main" id="{8C314219-33D6-495A-A1EE-A010CCC0019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 name="Rectangle 333">
          <a:extLst>
            <a:ext uri="{FF2B5EF4-FFF2-40B4-BE49-F238E27FC236}">
              <a16:creationId xmlns:a16="http://schemas.microsoft.com/office/drawing/2014/main" id="{ADE610A9-65B1-4648-9467-6A0E90FCFC9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 name="Rectangle 334">
          <a:extLst>
            <a:ext uri="{FF2B5EF4-FFF2-40B4-BE49-F238E27FC236}">
              <a16:creationId xmlns:a16="http://schemas.microsoft.com/office/drawing/2014/main" id="{F38394BE-281D-428F-B007-9954CB447B1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 name="Rectangle 335">
          <a:extLst>
            <a:ext uri="{FF2B5EF4-FFF2-40B4-BE49-F238E27FC236}">
              <a16:creationId xmlns:a16="http://schemas.microsoft.com/office/drawing/2014/main" id="{EFD3C17C-DDB3-440A-B99E-8AC715E51B5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 name="Rectangle 336">
          <a:extLst>
            <a:ext uri="{FF2B5EF4-FFF2-40B4-BE49-F238E27FC236}">
              <a16:creationId xmlns:a16="http://schemas.microsoft.com/office/drawing/2014/main" id="{FD5A987C-26E8-47C4-AEE3-E8696E96FED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 name="Rectangle 337">
          <a:extLst>
            <a:ext uri="{FF2B5EF4-FFF2-40B4-BE49-F238E27FC236}">
              <a16:creationId xmlns:a16="http://schemas.microsoft.com/office/drawing/2014/main" id="{E7DA25E9-4946-4BC8-99F2-8F2675E9AC4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 name="Rectangle 338">
          <a:extLst>
            <a:ext uri="{FF2B5EF4-FFF2-40B4-BE49-F238E27FC236}">
              <a16:creationId xmlns:a16="http://schemas.microsoft.com/office/drawing/2014/main" id="{6B1A7525-68A6-4D0E-AC99-60475E09C90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90" name="Rectangle 339">
          <a:extLst>
            <a:ext uri="{FF2B5EF4-FFF2-40B4-BE49-F238E27FC236}">
              <a16:creationId xmlns:a16="http://schemas.microsoft.com/office/drawing/2014/main" id="{F7870371-CA85-4FC8-A55C-CA59C36070BA}"/>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 name="Rectangle 340">
          <a:extLst>
            <a:ext uri="{FF2B5EF4-FFF2-40B4-BE49-F238E27FC236}">
              <a16:creationId xmlns:a16="http://schemas.microsoft.com/office/drawing/2014/main" id="{4879B30C-21D7-40D2-9EAF-0D2A2D2C59B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 name="Rectangle 341">
          <a:extLst>
            <a:ext uri="{FF2B5EF4-FFF2-40B4-BE49-F238E27FC236}">
              <a16:creationId xmlns:a16="http://schemas.microsoft.com/office/drawing/2014/main" id="{5B0B1CBF-C246-4C7F-928B-1381CAF8603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 name="Rectangle 342">
          <a:extLst>
            <a:ext uri="{FF2B5EF4-FFF2-40B4-BE49-F238E27FC236}">
              <a16:creationId xmlns:a16="http://schemas.microsoft.com/office/drawing/2014/main" id="{848581C9-03EF-4408-BFB2-A85993E4055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 name="Rectangle 343">
          <a:extLst>
            <a:ext uri="{FF2B5EF4-FFF2-40B4-BE49-F238E27FC236}">
              <a16:creationId xmlns:a16="http://schemas.microsoft.com/office/drawing/2014/main" id="{1BEDBA37-2E92-4A4E-B8EC-9A084B1DB9D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 name="Rectangle 344">
          <a:extLst>
            <a:ext uri="{FF2B5EF4-FFF2-40B4-BE49-F238E27FC236}">
              <a16:creationId xmlns:a16="http://schemas.microsoft.com/office/drawing/2014/main" id="{93B09887-5FE8-4E88-B330-3B3EE1FECF7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 name="Rectangle 345">
          <a:extLst>
            <a:ext uri="{FF2B5EF4-FFF2-40B4-BE49-F238E27FC236}">
              <a16:creationId xmlns:a16="http://schemas.microsoft.com/office/drawing/2014/main" id="{82A7B41C-12E0-471B-B086-ED136ABC3B0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97" name="Rectangle 346">
          <a:extLst>
            <a:ext uri="{FF2B5EF4-FFF2-40B4-BE49-F238E27FC236}">
              <a16:creationId xmlns:a16="http://schemas.microsoft.com/office/drawing/2014/main" id="{07792268-D5B8-4B7F-B865-FD55FC7DA2FD}"/>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 name="Rectangle 347">
          <a:extLst>
            <a:ext uri="{FF2B5EF4-FFF2-40B4-BE49-F238E27FC236}">
              <a16:creationId xmlns:a16="http://schemas.microsoft.com/office/drawing/2014/main" id="{56176437-3AA2-4A16-BD0A-09BDA6F25D7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 name="Rectangle 348">
          <a:extLst>
            <a:ext uri="{FF2B5EF4-FFF2-40B4-BE49-F238E27FC236}">
              <a16:creationId xmlns:a16="http://schemas.microsoft.com/office/drawing/2014/main" id="{B0961D69-B5B5-4C1D-B714-2552C294323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 name="Rectangle 349">
          <a:extLst>
            <a:ext uri="{FF2B5EF4-FFF2-40B4-BE49-F238E27FC236}">
              <a16:creationId xmlns:a16="http://schemas.microsoft.com/office/drawing/2014/main" id="{4EFBA492-3746-4231-9772-F0CB363B0C1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 name="Rectangle 350">
          <a:extLst>
            <a:ext uri="{FF2B5EF4-FFF2-40B4-BE49-F238E27FC236}">
              <a16:creationId xmlns:a16="http://schemas.microsoft.com/office/drawing/2014/main" id="{3B4F9D01-9362-45ED-8C0F-934358421BE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 name="Rectangle 351">
          <a:extLst>
            <a:ext uri="{FF2B5EF4-FFF2-40B4-BE49-F238E27FC236}">
              <a16:creationId xmlns:a16="http://schemas.microsoft.com/office/drawing/2014/main" id="{C2C370DB-4E96-4A0F-AF0A-84B212817EF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 name="Rectangle 352">
          <a:extLst>
            <a:ext uri="{FF2B5EF4-FFF2-40B4-BE49-F238E27FC236}">
              <a16:creationId xmlns:a16="http://schemas.microsoft.com/office/drawing/2014/main" id="{0C44C022-578B-4DCD-8C4D-05B0606FE86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4" name="Rectangle 353">
          <a:extLst>
            <a:ext uri="{FF2B5EF4-FFF2-40B4-BE49-F238E27FC236}">
              <a16:creationId xmlns:a16="http://schemas.microsoft.com/office/drawing/2014/main" id="{E6278651-5B88-4E0B-BA1F-25D590704AF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5" name="Rectangle 354">
          <a:extLst>
            <a:ext uri="{FF2B5EF4-FFF2-40B4-BE49-F238E27FC236}">
              <a16:creationId xmlns:a16="http://schemas.microsoft.com/office/drawing/2014/main" id="{A63B3A14-E8C2-4496-A117-BB1402EB696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6" name="Rectangle 355">
          <a:extLst>
            <a:ext uri="{FF2B5EF4-FFF2-40B4-BE49-F238E27FC236}">
              <a16:creationId xmlns:a16="http://schemas.microsoft.com/office/drawing/2014/main" id="{332C04D2-BC1B-4AE1-B232-86E71EA2BB4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7" name="Rectangle 356">
          <a:extLst>
            <a:ext uri="{FF2B5EF4-FFF2-40B4-BE49-F238E27FC236}">
              <a16:creationId xmlns:a16="http://schemas.microsoft.com/office/drawing/2014/main" id="{FD3DB607-D953-4C54-B03C-91CA3EABAEA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8" name="Rectangle 357">
          <a:extLst>
            <a:ext uri="{FF2B5EF4-FFF2-40B4-BE49-F238E27FC236}">
              <a16:creationId xmlns:a16="http://schemas.microsoft.com/office/drawing/2014/main" id="{3EBF5260-E518-4E1A-8E2B-0FD5EBC72EC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9" name="Rectangle 358">
          <a:extLst>
            <a:ext uri="{FF2B5EF4-FFF2-40B4-BE49-F238E27FC236}">
              <a16:creationId xmlns:a16="http://schemas.microsoft.com/office/drawing/2014/main" id="{4CA1D2F1-44BD-4C7F-99DA-5634097F065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0" name="Rectangle 359">
          <a:extLst>
            <a:ext uri="{FF2B5EF4-FFF2-40B4-BE49-F238E27FC236}">
              <a16:creationId xmlns:a16="http://schemas.microsoft.com/office/drawing/2014/main" id="{9B1B95D4-9E1E-4FA2-B6A3-4974052BDFA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1" name="Rectangle 360">
          <a:extLst>
            <a:ext uri="{FF2B5EF4-FFF2-40B4-BE49-F238E27FC236}">
              <a16:creationId xmlns:a16="http://schemas.microsoft.com/office/drawing/2014/main" id="{F09AE257-A798-49D7-B8A7-D15CABBB601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2" name="Rectangle 361">
          <a:extLst>
            <a:ext uri="{FF2B5EF4-FFF2-40B4-BE49-F238E27FC236}">
              <a16:creationId xmlns:a16="http://schemas.microsoft.com/office/drawing/2014/main" id="{F44538AA-876E-44B2-95DB-61B5860116C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3" name="Rectangle 362">
          <a:extLst>
            <a:ext uri="{FF2B5EF4-FFF2-40B4-BE49-F238E27FC236}">
              <a16:creationId xmlns:a16="http://schemas.microsoft.com/office/drawing/2014/main" id="{071C6305-99C6-4075-A01E-E47F4FA5447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4" name="Rectangle 363">
          <a:extLst>
            <a:ext uri="{FF2B5EF4-FFF2-40B4-BE49-F238E27FC236}">
              <a16:creationId xmlns:a16="http://schemas.microsoft.com/office/drawing/2014/main" id="{DADB2A1C-712D-4769-9E82-94372DED542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5" name="Rectangle 364">
          <a:extLst>
            <a:ext uri="{FF2B5EF4-FFF2-40B4-BE49-F238E27FC236}">
              <a16:creationId xmlns:a16="http://schemas.microsoft.com/office/drawing/2014/main" id="{E46A306C-67A7-4498-85CA-D0D96DF4D21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5</xdr:row>
      <xdr:rowOff>0</xdr:rowOff>
    </xdr:from>
    <xdr:ext cx="28854" cy="132665"/>
    <xdr:sp macro="" textlink="">
      <xdr:nvSpPr>
        <xdr:cNvPr id="116" name="Rectangle 365">
          <a:extLst>
            <a:ext uri="{FF2B5EF4-FFF2-40B4-BE49-F238E27FC236}">
              <a16:creationId xmlns:a16="http://schemas.microsoft.com/office/drawing/2014/main" id="{104F974B-E180-4D28-B4C8-5B04CEF961C1}"/>
            </a:ext>
          </a:extLst>
        </xdr:cNvPr>
        <xdr:cNvSpPr>
          <a:spLocks noChangeArrowheads="1"/>
        </xdr:cNvSpPr>
      </xdr:nvSpPr>
      <xdr:spPr bwMode="auto">
        <a:xfrm>
          <a:off x="72390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7" name="Rectangle 366">
          <a:extLst>
            <a:ext uri="{FF2B5EF4-FFF2-40B4-BE49-F238E27FC236}">
              <a16:creationId xmlns:a16="http://schemas.microsoft.com/office/drawing/2014/main" id="{B6B53FC2-84BF-4467-B84C-E62D28C8DA9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8" name="Rectangle 367">
          <a:extLst>
            <a:ext uri="{FF2B5EF4-FFF2-40B4-BE49-F238E27FC236}">
              <a16:creationId xmlns:a16="http://schemas.microsoft.com/office/drawing/2014/main" id="{3B3D5F8A-9AD7-4A6D-A0C7-5F7B75A8D7A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19" name="Rectangle 368">
          <a:extLst>
            <a:ext uri="{FF2B5EF4-FFF2-40B4-BE49-F238E27FC236}">
              <a16:creationId xmlns:a16="http://schemas.microsoft.com/office/drawing/2014/main" id="{E409442E-AF69-4DB7-9903-D285A5CF447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0" name="Rectangle 369">
          <a:extLst>
            <a:ext uri="{FF2B5EF4-FFF2-40B4-BE49-F238E27FC236}">
              <a16:creationId xmlns:a16="http://schemas.microsoft.com/office/drawing/2014/main" id="{6332D2B1-62CB-49F8-95A7-FB6A81696F7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1" name="Rectangle 370">
          <a:extLst>
            <a:ext uri="{FF2B5EF4-FFF2-40B4-BE49-F238E27FC236}">
              <a16:creationId xmlns:a16="http://schemas.microsoft.com/office/drawing/2014/main" id="{288D0994-2E30-442E-95D5-4FF8D76055F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2" name="Rectangle 371">
          <a:extLst>
            <a:ext uri="{FF2B5EF4-FFF2-40B4-BE49-F238E27FC236}">
              <a16:creationId xmlns:a16="http://schemas.microsoft.com/office/drawing/2014/main" id="{6E5F9191-C058-47AA-AECF-A24FAD7E0E1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3" name="Rectangle 372">
          <a:extLst>
            <a:ext uri="{FF2B5EF4-FFF2-40B4-BE49-F238E27FC236}">
              <a16:creationId xmlns:a16="http://schemas.microsoft.com/office/drawing/2014/main" id="{CCB8A6AF-0AD0-45B8-8C7C-DE72715E172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4" name="Rectangle 373">
          <a:extLst>
            <a:ext uri="{FF2B5EF4-FFF2-40B4-BE49-F238E27FC236}">
              <a16:creationId xmlns:a16="http://schemas.microsoft.com/office/drawing/2014/main" id="{93B2A886-1830-4B34-A06D-CE6D2E85C62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5" name="Rectangle 374">
          <a:extLst>
            <a:ext uri="{FF2B5EF4-FFF2-40B4-BE49-F238E27FC236}">
              <a16:creationId xmlns:a16="http://schemas.microsoft.com/office/drawing/2014/main" id="{A23A134B-C54F-4BBB-A5F0-9AE247821CF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6" name="Rectangle 375">
          <a:extLst>
            <a:ext uri="{FF2B5EF4-FFF2-40B4-BE49-F238E27FC236}">
              <a16:creationId xmlns:a16="http://schemas.microsoft.com/office/drawing/2014/main" id="{CAEA40C1-3679-463C-B788-1E65AFC248B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7" name="Rectangle 376">
          <a:extLst>
            <a:ext uri="{FF2B5EF4-FFF2-40B4-BE49-F238E27FC236}">
              <a16:creationId xmlns:a16="http://schemas.microsoft.com/office/drawing/2014/main" id="{1EC5081F-AEC3-41B6-B55E-48DE6ED69DE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28" name="Rectangle 377">
          <a:extLst>
            <a:ext uri="{FF2B5EF4-FFF2-40B4-BE49-F238E27FC236}">
              <a16:creationId xmlns:a16="http://schemas.microsoft.com/office/drawing/2014/main" id="{2B22A951-3A2F-485B-9AD6-80E1762939A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129" name="Rectangle 378">
          <a:extLst>
            <a:ext uri="{FF2B5EF4-FFF2-40B4-BE49-F238E27FC236}">
              <a16:creationId xmlns:a16="http://schemas.microsoft.com/office/drawing/2014/main" id="{8193751C-D2C2-4AE5-89BE-C2477CD7BC4D}"/>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0" name="Rectangle 379">
          <a:extLst>
            <a:ext uri="{FF2B5EF4-FFF2-40B4-BE49-F238E27FC236}">
              <a16:creationId xmlns:a16="http://schemas.microsoft.com/office/drawing/2014/main" id="{652A7974-52D6-496E-8676-4EA14F912FB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1" name="Rectangle 380">
          <a:extLst>
            <a:ext uri="{FF2B5EF4-FFF2-40B4-BE49-F238E27FC236}">
              <a16:creationId xmlns:a16="http://schemas.microsoft.com/office/drawing/2014/main" id="{7449532E-CF94-486A-8FA8-BBB0E34B546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2" name="Rectangle 381">
          <a:extLst>
            <a:ext uri="{FF2B5EF4-FFF2-40B4-BE49-F238E27FC236}">
              <a16:creationId xmlns:a16="http://schemas.microsoft.com/office/drawing/2014/main" id="{70DD50FA-101F-4AE1-A668-A10D6B0D091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3" name="Rectangle 382">
          <a:extLst>
            <a:ext uri="{FF2B5EF4-FFF2-40B4-BE49-F238E27FC236}">
              <a16:creationId xmlns:a16="http://schemas.microsoft.com/office/drawing/2014/main" id="{0489ADF2-6FC4-4281-9DA7-01E69E16879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4" name="Rectangle 383">
          <a:extLst>
            <a:ext uri="{FF2B5EF4-FFF2-40B4-BE49-F238E27FC236}">
              <a16:creationId xmlns:a16="http://schemas.microsoft.com/office/drawing/2014/main" id="{5EC4C152-FD1B-4C23-99C0-960150D304C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5" name="Rectangle 384">
          <a:extLst>
            <a:ext uri="{FF2B5EF4-FFF2-40B4-BE49-F238E27FC236}">
              <a16:creationId xmlns:a16="http://schemas.microsoft.com/office/drawing/2014/main" id="{314125A0-06CE-4887-B42F-418B49144B2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6" name="Rectangle 385">
          <a:extLst>
            <a:ext uri="{FF2B5EF4-FFF2-40B4-BE49-F238E27FC236}">
              <a16:creationId xmlns:a16="http://schemas.microsoft.com/office/drawing/2014/main" id="{32F36E60-0B24-47D7-8357-10521E6512F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7" name="Rectangle 386">
          <a:extLst>
            <a:ext uri="{FF2B5EF4-FFF2-40B4-BE49-F238E27FC236}">
              <a16:creationId xmlns:a16="http://schemas.microsoft.com/office/drawing/2014/main" id="{0BD83A63-BA64-4D9A-B989-53928B6C901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8" name="Rectangle 387">
          <a:extLst>
            <a:ext uri="{FF2B5EF4-FFF2-40B4-BE49-F238E27FC236}">
              <a16:creationId xmlns:a16="http://schemas.microsoft.com/office/drawing/2014/main" id="{EB638745-444D-4C9E-9A3C-B1A73A8DB3D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39" name="Rectangle 388">
          <a:extLst>
            <a:ext uri="{FF2B5EF4-FFF2-40B4-BE49-F238E27FC236}">
              <a16:creationId xmlns:a16="http://schemas.microsoft.com/office/drawing/2014/main" id="{2159E919-9676-47F5-9C6D-F7239444B81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0" name="Rectangle 389">
          <a:extLst>
            <a:ext uri="{FF2B5EF4-FFF2-40B4-BE49-F238E27FC236}">
              <a16:creationId xmlns:a16="http://schemas.microsoft.com/office/drawing/2014/main" id="{12DDB06D-3A3B-4B42-AE63-93239A9F6F3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1" name="Rectangle 390">
          <a:extLst>
            <a:ext uri="{FF2B5EF4-FFF2-40B4-BE49-F238E27FC236}">
              <a16:creationId xmlns:a16="http://schemas.microsoft.com/office/drawing/2014/main" id="{06CDC387-7F97-4352-ADC8-DFB14313AE9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2" name="Rectangle 391">
          <a:extLst>
            <a:ext uri="{FF2B5EF4-FFF2-40B4-BE49-F238E27FC236}">
              <a16:creationId xmlns:a16="http://schemas.microsoft.com/office/drawing/2014/main" id="{9F4B4EDD-2B03-44C7-BFD2-C084E9E05B9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3" name="Rectangle 392">
          <a:extLst>
            <a:ext uri="{FF2B5EF4-FFF2-40B4-BE49-F238E27FC236}">
              <a16:creationId xmlns:a16="http://schemas.microsoft.com/office/drawing/2014/main" id="{4BEA00E9-300E-4278-A464-4F17A2BF907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4" name="Rectangle 393">
          <a:extLst>
            <a:ext uri="{FF2B5EF4-FFF2-40B4-BE49-F238E27FC236}">
              <a16:creationId xmlns:a16="http://schemas.microsoft.com/office/drawing/2014/main" id="{9E2C9280-AB8B-4C69-BEE7-684ED99C33F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5" name="Rectangle 394">
          <a:extLst>
            <a:ext uri="{FF2B5EF4-FFF2-40B4-BE49-F238E27FC236}">
              <a16:creationId xmlns:a16="http://schemas.microsoft.com/office/drawing/2014/main" id="{A3D5173D-E9B5-49DD-BE03-6DD0C9416E0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6" name="Rectangle 395">
          <a:extLst>
            <a:ext uri="{FF2B5EF4-FFF2-40B4-BE49-F238E27FC236}">
              <a16:creationId xmlns:a16="http://schemas.microsoft.com/office/drawing/2014/main" id="{8E0F7E7A-2293-44BD-AB8A-DC22015CA60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7" name="Rectangle 396">
          <a:extLst>
            <a:ext uri="{FF2B5EF4-FFF2-40B4-BE49-F238E27FC236}">
              <a16:creationId xmlns:a16="http://schemas.microsoft.com/office/drawing/2014/main" id="{F66883CC-3555-45FA-9ED6-BD3652BFD29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148" name="Rectangle 397">
          <a:extLst>
            <a:ext uri="{FF2B5EF4-FFF2-40B4-BE49-F238E27FC236}">
              <a16:creationId xmlns:a16="http://schemas.microsoft.com/office/drawing/2014/main" id="{048FE530-C695-4B1B-A076-FD9463F76657}"/>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49" name="Rectangle 398">
          <a:extLst>
            <a:ext uri="{FF2B5EF4-FFF2-40B4-BE49-F238E27FC236}">
              <a16:creationId xmlns:a16="http://schemas.microsoft.com/office/drawing/2014/main" id="{D121CBB0-3BEA-4EF3-BD58-F76F1931239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0" name="Rectangle 399">
          <a:extLst>
            <a:ext uri="{FF2B5EF4-FFF2-40B4-BE49-F238E27FC236}">
              <a16:creationId xmlns:a16="http://schemas.microsoft.com/office/drawing/2014/main" id="{E46D2F2F-82BE-4A35-9C78-AA843F3F867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1" name="Rectangle 400">
          <a:extLst>
            <a:ext uri="{FF2B5EF4-FFF2-40B4-BE49-F238E27FC236}">
              <a16:creationId xmlns:a16="http://schemas.microsoft.com/office/drawing/2014/main" id="{793811ED-6740-4C5D-978F-A1B2A4EEA38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2" name="Rectangle 401">
          <a:extLst>
            <a:ext uri="{FF2B5EF4-FFF2-40B4-BE49-F238E27FC236}">
              <a16:creationId xmlns:a16="http://schemas.microsoft.com/office/drawing/2014/main" id="{961CB8A4-6C5E-4902-B7FA-3DFE9478FE0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3" name="Rectangle 402">
          <a:extLst>
            <a:ext uri="{FF2B5EF4-FFF2-40B4-BE49-F238E27FC236}">
              <a16:creationId xmlns:a16="http://schemas.microsoft.com/office/drawing/2014/main" id="{65A969AA-1909-4075-BE5A-31BF9164386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4" name="Rectangle 403">
          <a:extLst>
            <a:ext uri="{FF2B5EF4-FFF2-40B4-BE49-F238E27FC236}">
              <a16:creationId xmlns:a16="http://schemas.microsoft.com/office/drawing/2014/main" id="{36859581-789F-4B6B-8591-0D28D29471D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5" name="Rectangle 404">
          <a:extLst>
            <a:ext uri="{FF2B5EF4-FFF2-40B4-BE49-F238E27FC236}">
              <a16:creationId xmlns:a16="http://schemas.microsoft.com/office/drawing/2014/main" id="{18319D60-B2CF-484D-93DD-ABD4F2B37DA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6" name="Rectangle 405">
          <a:extLst>
            <a:ext uri="{FF2B5EF4-FFF2-40B4-BE49-F238E27FC236}">
              <a16:creationId xmlns:a16="http://schemas.microsoft.com/office/drawing/2014/main" id="{A631EE2B-DBDD-4A03-B58E-68117FCF277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7" name="Rectangle 406">
          <a:extLst>
            <a:ext uri="{FF2B5EF4-FFF2-40B4-BE49-F238E27FC236}">
              <a16:creationId xmlns:a16="http://schemas.microsoft.com/office/drawing/2014/main" id="{84682967-A447-44CE-82D1-32F9DAAFBD2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8" name="Rectangle 407">
          <a:extLst>
            <a:ext uri="{FF2B5EF4-FFF2-40B4-BE49-F238E27FC236}">
              <a16:creationId xmlns:a16="http://schemas.microsoft.com/office/drawing/2014/main" id="{9B423404-D2C3-4ABD-BDD1-E6D72E95637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59" name="Rectangle 408">
          <a:extLst>
            <a:ext uri="{FF2B5EF4-FFF2-40B4-BE49-F238E27FC236}">
              <a16:creationId xmlns:a16="http://schemas.microsoft.com/office/drawing/2014/main" id="{3CA73B01-F43F-4534-A280-4CC43E2EE7E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0" name="Rectangle 409">
          <a:extLst>
            <a:ext uri="{FF2B5EF4-FFF2-40B4-BE49-F238E27FC236}">
              <a16:creationId xmlns:a16="http://schemas.microsoft.com/office/drawing/2014/main" id="{A41F90CA-7684-45FF-8374-4B06A04683E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1" name="Rectangle 410">
          <a:extLst>
            <a:ext uri="{FF2B5EF4-FFF2-40B4-BE49-F238E27FC236}">
              <a16:creationId xmlns:a16="http://schemas.microsoft.com/office/drawing/2014/main" id="{CD83536B-104A-4508-9BCD-FEF9DDC5467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2" name="Rectangle 411">
          <a:extLst>
            <a:ext uri="{FF2B5EF4-FFF2-40B4-BE49-F238E27FC236}">
              <a16:creationId xmlns:a16="http://schemas.microsoft.com/office/drawing/2014/main" id="{CE47ADD4-3DE2-433B-9F97-8582EB0AF4C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3" name="Rectangle 412">
          <a:extLst>
            <a:ext uri="{FF2B5EF4-FFF2-40B4-BE49-F238E27FC236}">
              <a16:creationId xmlns:a16="http://schemas.microsoft.com/office/drawing/2014/main" id="{AA04E86D-388E-416E-AA82-51DF65E9387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4" name="Rectangle 413">
          <a:extLst>
            <a:ext uri="{FF2B5EF4-FFF2-40B4-BE49-F238E27FC236}">
              <a16:creationId xmlns:a16="http://schemas.microsoft.com/office/drawing/2014/main" id="{A76FEB71-A0FD-4E65-9D14-F440BC9643D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5" name="Rectangle 414">
          <a:extLst>
            <a:ext uri="{FF2B5EF4-FFF2-40B4-BE49-F238E27FC236}">
              <a16:creationId xmlns:a16="http://schemas.microsoft.com/office/drawing/2014/main" id="{D5EA12B0-3E74-4B97-97AE-B14A290E79E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6" name="Rectangle 415">
          <a:extLst>
            <a:ext uri="{FF2B5EF4-FFF2-40B4-BE49-F238E27FC236}">
              <a16:creationId xmlns:a16="http://schemas.microsoft.com/office/drawing/2014/main" id="{D33AE23B-97D2-4A1A-8FCC-F15DCBC04BA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7" name="Rectangle 416">
          <a:extLst>
            <a:ext uri="{FF2B5EF4-FFF2-40B4-BE49-F238E27FC236}">
              <a16:creationId xmlns:a16="http://schemas.microsoft.com/office/drawing/2014/main" id="{46973DDC-3AA2-412F-AF3A-3F5EFE83619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8" name="Rectangle 417">
          <a:extLst>
            <a:ext uri="{FF2B5EF4-FFF2-40B4-BE49-F238E27FC236}">
              <a16:creationId xmlns:a16="http://schemas.microsoft.com/office/drawing/2014/main" id="{92732514-40FD-4B9F-9FFA-4262EBA3691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69" name="Rectangle 418">
          <a:extLst>
            <a:ext uri="{FF2B5EF4-FFF2-40B4-BE49-F238E27FC236}">
              <a16:creationId xmlns:a16="http://schemas.microsoft.com/office/drawing/2014/main" id="{377E52E4-F0A5-4F40-8A51-3DC6C58504B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0" name="Rectangle 419">
          <a:extLst>
            <a:ext uri="{FF2B5EF4-FFF2-40B4-BE49-F238E27FC236}">
              <a16:creationId xmlns:a16="http://schemas.microsoft.com/office/drawing/2014/main" id="{94F9BBBE-D061-426F-B356-15E160E6125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1" name="Rectangle 420">
          <a:extLst>
            <a:ext uri="{FF2B5EF4-FFF2-40B4-BE49-F238E27FC236}">
              <a16:creationId xmlns:a16="http://schemas.microsoft.com/office/drawing/2014/main" id="{0242655B-3107-47CE-A9B4-9EFEB5A27A1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2" name="Rectangle 421">
          <a:extLst>
            <a:ext uri="{FF2B5EF4-FFF2-40B4-BE49-F238E27FC236}">
              <a16:creationId xmlns:a16="http://schemas.microsoft.com/office/drawing/2014/main" id="{56AC5735-28DB-4D46-B4D7-5108C291818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173" name="Rectangle 422">
          <a:extLst>
            <a:ext uri="{FF2B5EF4-FFF2-40B4-BE49-F238E27FC236}">
              <a16:creationId xmlns:a16="http://schemas.microsoft.com/office/drawing/2014/main" id="{D3F5B042-9D62-45D2-8C18-5A7E12A43C05}"/>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4" name="Rectangle 423">
          <a:extLst>
            <a:ext uri="{FF2B5EF4-FFF2-40B4-BE49-F238E27FC236}">
              <a16:creationId xmlns:a16="http://schemas.microsoft.com/office/drawing/2014/main" id="{BA682C1D-CB2B-4CDA-A302-FDD1B20DDE0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5" name="Rectangle 424">
          <a:extLst>
            <a:ext uri="{FF2B5EF4-FFF2-40B4-BE49-F238E27FC236}">
              <a16:creationId xmlns:a16="http://schemas.microsoft.com/office/drawing/2014/main" id="{40E87E3E-A669-4EF0-AB9C-A7DDF735AB4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6" name="Rectangle 425">
          <a:extLst>
            <a:ext uri="{FF2B5EF4-FFF2-40B4-BE49-F238E27FC236}">
              <a16:creationId xmlns:a16="http://schemas.microsoft.com/office/drawing/2014/main" id="{EB3E7F43-024C-4E5D-A1F6-B316D33679E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7" name="Rectangle 426">
          <a:extLst>
            <a:ext uri="{FF2B5EF4-FFF2-40B4-BE49-F238E27FC236}">
              <a16:creationId xmlns:a16="http://schemas.microsoft.com/office/drawing/2014/main" id="{19C9E91C-F5A2-4DDA-B128-8C59BCFAE9D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8" name="Rectangle 427">
          <a:extLst>
            <a:ext uri="{FF2B5EF4-FFF2-40B4-BE49-F238E27FC236}">
              <a16:creationId xmlns:a16="http://schemas.microsoft.com/office/drawing/2014/main" id="{504D1943-B29B-4762-B6CC-37C8BCB7697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79" name="Rectangle 428">
          <a:extLst>
            <a:ext uri="{FF2B5EF4-FFF2-40B4-BE49-F238E27FC236}">
              <a16:creationId xmlns:a16="http://schemas.microsoft.com/office/drawing/2014/main" id="{E4F93EB2-FAB0-43D1-847B-F1EC14D6181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0" name="Rectangle 429">
          <a:extLst>
            <a:ext uri="{FF2B5EF4-FFF2-40B4-BE49-F238E27FC236}">
              <a16:creationId xmlns:a16="http://schemas.microsoft.com/office/drawing/2014/main" id="{8C8717FC-9D94-49A0-996B-0E80A6A63DD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1" name="Rectangle 430">
          <a:extLst>
            <a:ext uri="{FF2B5EF4-FFF2-40B4-BE49-F238E27FC236}">
              <a16:creationId xmlns:a16="http://schemas.microsoft.com/office/drawing/2014/main" id="{E0473A97-FD50-42CB-A1D1-2D68E7523AE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2" name="Rectangle 431">
          <a:extLst>
            <a:ext uri="{FF2B5EF4-FFF2-40B4-BE49-F238E27FC236}">
              <a16:creationId xmlns:a16="http://schemas.microsoft.com/office/drawing/2014/main" id="{FA80B5C0-4FC2-4E93-B05C-203C34750BF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3" name="Rectangle 432">
          <a:extLst>
            <a:ext uri="{FF2B5EF4-FFF2-40B4-BE49-F238E27FC236}">
              <a16:creationId xmlns:a16="http://schemas.microsoft.com/office/drawing/2014/main" id="{B5C8A701-0441-42AE-8894-651FEA6849D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4" name="Rectangle 433">
          <a:extLst>
            <a:ext uri="{FF2B5EF4-FFF2-40B4-BE49-F238E27FC236}">
              <a16:creationId xmlns:a16="http://schemas.microsoft.com/office/drawing/2014/main" id="{09989456-DF7E-4EBE-815C-40889FCCCB0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5" name="Rectangle 434">
          <a:extLst>
            <a:ext uri="{FF2B5EF4-FFF2-40B4-BE49-F238E27FC236}">
              <a16:creationId xmlns:a16="http://schemas.microsoft.com/office/drawing/2014/main" id="{0EA3559C-42C4-4ECD-B4F0-215D6746C18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6" name="Rectangle 435">
          <a:extLst>
            <a:ext uri="{FF2B5EF4-FFF2-40B4-BE49-F238E27FC236}">
              <a16:creationId xmlns:a16="http://schemas.microsoft.com/office/drawing/2014/main" id="{0BF18E26-CB32-4C01-AD59-B0F1A89FC4B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7" name="Rectangle 436">
          <a:extLst>
            <a:ext uri="{FF2B5EF4-FFF2-40B4-BE49-F238E27FC236}">
              <a16:creationId xmlns:a16="http://schemas.microsoft.com/office/drawing/2014/main" id="{001807DF-21FD-460E-BA29-0AD4FFCE45B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8" name="Rectangle 437">
          <a:extLst>
            <a:ext uri="{FF2B5EF4-FFF2-40B4-BE49-F238E27FC236}">
              <a16:creationId xmlns:a16="http://schemas.microsoft.com/office/drawing/2014/main" id="{4930F5CF-2166-4591-86E1-CEB573864F9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89" name="Rectangle 438">
          <a:extLst>
            <a:ext uri="{FF2B5EF4-FFF2-40B4-BE49-F238E27FC236}">
              <a16:creationId xmlns:a16="http://schemas.microsoft.com/office/drawing/2014/main" id="{F36BE01D-2B19-436D-B280-14EDA986DC7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0" name="Rectangle 439">
          <a:extLst>
            <a:ext uri="{FF2B5EF4-FFF2-40B4-BE49-F238E27FC236}">
              <a16:creationId xmlns:a16="http://schemas.microsoft.com/office/drawing/2014/main" id="{E7A0A7A6-2265-4AB8-A425-8F8CB4382B6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1" name="Rectangle 440">
          <a:extLst>
            <a:ext uri="{FF2B5EF4-FFF2-40B4-BE49-F238E27FC236}">
              <a16:creationId xmlns:a16="http://schemas.microsoft.com/office/drawing/2014/main" id="{94B8D101-8FCD-46C9-B5BD-F51E648FC48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2" name="Rectangle 441">
          <a:extLst>
            <a:ext uri="{FF2B5EF4-FFF2-40B4-BE49-F238E27FC236}">
              <a16:creationId xmlns:a16="http://schemas.microsoft.com/office/drawing/2014/main" id="{8EC483C8-458D-469B-BEE7-3C06DEDF349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3" name="Rectangle 442">
          <a:extLst>
            <a:ext uri="{FF2B5EF4-FFF2-40B4-BE49-F238E27FC236}">
              <a16:creationId xmlns:a16="http://schemas.microsoft.com/office/drawing/2014/main" id="{ADD3D482-C150-4BA8-B8E2-43541E3E46C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4" name="Rectangle 443">
          <a:extLst>
            <a:ext uri="{FF2B5EF4-FFF2-40B4-BE49-F238E27FC236}">
              <a16:creationId xmlns:a16="http://schemas.microsoft.com/office/drawing/2014/main" id="{9E2B51FC-BB5A-45A6-8269-689247571DE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5" name="Rectangle 444">
          <a:extLst>
            <a:ext uri="{FF2B5EF4-FFF2-40B4-BE49-F238E27FC236}">
              <a16:creationId xmlns:a16="http://schemas.microsoft.com/office/drawing/2014/main" id="{FEEE4311-2A6E-41E3-B53B-1159FFF83B0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6" name="Rectangle 445">
          <a:extLst>
            <a:ext uri="{FF2B5EF4-FFF2-40B4-BE49-F238E27FC236}">
              <a16:creationId xmlns:a16="http://schemas.microsoft.com/office/drawing/2014/main" id="{29005F1D-6D32-4EEB-AC07-C93FDB24A2B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7" name="Rectangle 446">
          <a:extLst>
            <a:ext uri="{FF2B5EF4-FFF2-40B4-BE49-F238E27FC236}">
              <a16:creationId xmlns:a16="http://schemas.microsoft.com/office/drawing/2014/main" id="{E23CF22C-12EC-4223-A0F3-457F750B3A6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8" name="Rectangle 447">
          <a:extLst>
            <a:ext uri="{FF2B5EF4-FFF2-40B4-BE49-F238E27FC236}">
              <a16:creationId xmlns:a16="http://schemas.microsoft.com/office/drawing/2014/main" id="{B2B73F7B-5C7F-43C7-990C-550DF3DA80D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99" name="Rectangle 448">
          <a:extLst>
            <a:ext uri="{FF2B5EF4-FFF2-40B4-BE49-F238E27FC236}">
              <a16:creationId xmlns:a16="http://schemas.microsoft.com/office/drawing/2014/main" id="{37575987-7FB8-4CB8-B6F7-01CC326B68A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0" name="Rectangle 449">
          <a:extLst>
            <a:ext uri="{FF2B5EF4-FFF2-40B4-BE49-F238E27FC236}">
              <a16:creationId xmlns:a16="http://schemas.microsoft.com/office/drawing/2014/main" id="{4143E58E-3D28-463D-9E21-19F7E482CAB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1" name="Rectangle 450">
          <a:extLst>
            <a:ext uri="{FF2B5EF4-FFF2-40B4-BE49-F238E27FC236}">
              <a16:creationId xmlns:a16="http://schemas.microsoft.com/office/drawing/2014/main" id="{C438AE62-D517-4130-88E0-A1A047513F5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2" name="Rectangle 451">
          <a:extLst>
            <a:ext uri="{FF2B5EF4-FFF2-40B4-BE49-F238E27FC236}">
              <a16:creationId xmlns:a16="http://schemas.microsoft.com/office/drawing/2014/main" id="{600FF009-DCE8-4229-BD34-BB6E80AE201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3" name="Rectangle 452">
          <a:extLst>
            <a:ext uri="{FF2B5EF4-FFF2-40B4-BE49-F238E27FC236}">
              <a16:creationId xmlns:a16="http://schemas.microsoft.com/office/drawing/2014/main" id="{33EAE002-14C2-464F-ADB4-0E13595D869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5</xdr:row>
      <xdr:rowOff>0</xdr:rowOff>
    </xdr:from>
    <xdr:ext cx="28854" cy="132665"/>
    <xdr:sp macro="" textlink="">
      <xdr:nvSpPr>
        <xdr:cNvPr id="204" name="Rectangle 453">
          <a:extLst>
            <a:ext uri="{FF2B5EF4-FFF2-40B4-BE49-F238E27FC236}">
              <a16:creationId xmlns:a16="http://schemas.microsoft.com/office/drawing/2014/main" id="{F152F331-3013-4216-B7AB-593733001F93}"/>
            </a:ext>
          </a:extLst>
        </xdr:cNvPr>
        <xdr:cNvSpPr>
          <a:spLocks noChangeArrowheads="1"/>
        </xdr:cNvSpPr>
      </xdr:nvSpPr>
      <xdr:spPr bwMode="auto">
        <a:xfrm>
          <a:off x="72390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5" name="Rectangle 454">
          <a:extLst>
            <a:ext uri="{FF2B5EF4-FFF2-40B4-BE49-F238E27FC236}">
              <a16:creationId xmlns:a16="http://schemas.microsoft.com/office/drawing/2014/main" id="{71E366EA-7C07-4264-930E-9B6AB11EFFB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6" name="Rectangle 455">
          <a:extLst>
            <a:ext uri="{FF2B5EF4-FFF2-40B4-BE49-F238E27FC236}">
              <a16:creationId xmlns:a16="http://schemas.microsoft.com/office/drawing/2014/main" id="{DEA5C4EE-B1C5-4267-971A-676AF2B1073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7" name="Rectangle 456">
          <a:extLst>
            <a:ext uri="{FF2B5EF4-FFF2-40B4-BE49-F238E27FC236}">
              <a16:creationId xmlns:a16="http://schemas.microsoft.com/office/drawing/2014/main" id="{541F2B83-1401-4185-922A-8DFF3B99F53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8" name="Rectangle 457">
          <a:extLst>
            <a:ext uri="{FF2B5EF4-FFF2-40B4-BE49-F238E27FC236}">
              <a16:creationId xmlns:a16="http://schemas.microsoft.com/office/drawing/2014/main" id="{F542E308-0D3F-4AE3-A560-2EAC68AF85F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09" name="Rectangle 458">
          <a:extLst>
            <a:ext uri="{FF2B5EF4-FFF2-40B4-BE49-F238E27FC236}">
              <a16:creationId xmlns:a16="http://schemas.microsoft.com/office/drawing/2014/main" id="{8C097484-C50B-49AE-A124-00E4DC665A2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0" name="Rectangle 459">
          <a:extLst>
            <a:ext uri="{FF2B5EF4-FFF2-40B4-BE49-F238E27FC236}">
              <a16:creationId xmlns:a16="http://schemas.microsoft.com/office/drawing/2014/main" id="{F64047ED-9443-4259-9D10-CEF46BE05AE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1" name="Rectangle 460">
          <a:extLst>
            <a:ext uri="{FF2B5EF4-FFF2-40B4-BE49-F238E27FC236}">
              <a16:creationId xmlns:a16="http://schemas.microsoft.com/office/drawing/2014/main" id="{855BE007-918B-4768-A399-A1751E833C5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2" name="Rectangle 461">
          <a:extLst>
            <a:ext uri="{FF2B5EF4-FFF2-40B4-BE49-F238E27FC236}">
              <a16:creationId xmlns:a16="http://schemas.microsoft.com/office/drawing/2014/main" id="{B4252D0B-CE65-45CE-A0B4-BDED69369EF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3" name="Rectangle 462">
          <a:extLst>
            <a:ext uri="{FF2B5EF4-FFF2-40B4-BE49-F238E27FC236}">
              <a16:creationId xmlns:a16="http://schemas.microsoft.com/office/drawing/2014/main" id="{1230AA8E-65C6-4B2B-8287-F2B6697B0A5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4" name="Rectangle 463">
          <a:extLst>
            <a:ext uri="{FF2B5EF4-FFF2-40B4-BE49-F238E27FC236}">
              <a16:creationId xmlns:a16="http://schemas.microsoft.com/office/drawing/2014/main" id="{050245AA-FDE0-4EBD-9EE4-A80623DBA82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5" name="Rectangle 464">
          <a:extLst>
            <a:ext uri="{FF2B5EF4-FFF2-40B4-BE49-F238E27FC236}">
              <a16:creationId xmlns:a16="http://schemas.microsoft.com/office/drawing/2014/main" id="{BA9EB582-E79D-4FAB-AFFA-14AEB12A912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6" name="Rectangle 465">
          <a:extLst>
            <a:ext uri="{FF2B5EF4-FFF2-40B4-BE49-F238E27FC236}">
              <a16:creationId xmlns:a16="http://schemas.microsoft.com/office/drawing/2014/main" id="{81084918-7ECB-4D77-8810-73937A3BDB2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217" name="Rectangle 466">
          <a:extLst>
            <a:ext uri="{FF2B5EF4-FFF2-40B4-BE49-F238E27FC236}">
              <a16:creationId xmlns:a16="http://schemas.microsoft.com/office/drawing/2014/main" id="{BD531E46-7377-4125-9E78-E1C0758E2AC9}"/>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8" name="Rectangle 467">
          <a:extLst>
            <a:ext uri="{FF2B5EF4-FFF2-40B4-BE49-F238E27FC236}">
              <a16:creationId xmlns:a16="http://schemas.microsoft.com/office/drawing/2014/main" id="{84442643-0277-4EBC-A079-5EFD71FFBF8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19" name="Rectangle 468">
          <a:extLst>
            <a:ext uri="{FF2B5EF4-FFF2-40B4-BE49-F238E27FC236}">
              <a16:creationId xmlns:a16="http://schemas.microsoft.com/office/drawing/2014/main" id="{0B3FCD60-0C6E-44F4-A7BA-37F94DA4E63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0" name="Rectangle 469">
          <a:extLst>
            <a:ext uri="{FF2B5EF4-FFF2-40B4-BE49-F238E27FC236}">
              <a16:creationId xmlns:a16="http://schemas.microsoft.com/office/drawing/2014/main" id="{31FD6844-1E58-4F53-996C-0249DF411AF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1" name="Rectangle 470">
          <a:extLst>
            <a:ext uri="{FF2B5EF4-FFF2-40B4-BE49-F238E27FC236}">
              <a16:creationId xmlns:a16="http://schemas.microsoft.com/office/drawing/2014/main" id="{C0BAB3A1-2E53-4ECD-84D9-EC561155188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2" name="Rectangle 471">
          <a:extLst>
            <a:ext uri="{FF2B5EF4-FFF2-40B4-BE49-F238E27FC236}">
              <a16:creationId xmlns:a16="http://schemas.microsoft.com/office/drawing/2014/main" id="{AE9AE59A-B414-46F5-9269-A757D39030B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3" name="Rectangle 472">
          <a:extLst>
            <a:ext uri="{FF2B5EF4-FFF2-40B4-BE49-F238E27FC236}">
              <a16:creationId xmlns:a16="http://schemas.microsoft.com/office/drawing/2014/main" id="{90933625-A7C1-4BA2-981C-52251912C26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4" name="Rectangle 473">
          <a:extLst>
            <a:ext uri="{FF2B5EF4-FFF2-40B4-BE49-F238E27FC236}">
              <a16:creationId xmlns:a16="http://schemas.microsoft.com/office/drawing/2014/main" id="{80ABC16F-D55F-425F-8B60-982FFB73EEF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5" name="Rectangle 474">
          <a:extLst>
            <a:ext uri="{FF2B5EF4-FFF2-40B4-BE49-F238E27FC236}">
              <a16:creationId xmlns:a16="http://schemas.microsoft.com/office/drawing/2014/main" id="{23487712-FE39-49C8-B948-D3CFE4D2F6C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6" name="Rectangle 475">
          <a:extLst>
            <a:ext uri="{FF2B5EF4-FFF2-40B4-BE49-F238E27FC236}">
              <a16:creationId xmlns:a16="http://schemas.microsoft.com/office/drawing/2014/main" id="{264908BA-6B96-4387-AC1C-A331471043D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7" name="Rectangle 476">
          <a:extLst>
            <a:ext uri="{FF2B5EF4-FFF2-40B4-BE49-F238E27FC236}">
              <a16:creationId xmlns:a16="http://schemas.microsoft.com/office/drawing/2014/main" id="{8E5B6BB4-018A-4587-A81A-7013B77C329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8" name="Rectangle 477">
          <a:extLst>
            <a:ext uri="{FF2B5EF4-FFF2-40B4-BE49-F238E27FC236}">
              <a16:creationId xmlns:a16="http://schemas.microsoft.com/office/drawing/2014/main" id="{B91F4B1B-7930-433E-B4D5-32CA1C9A48F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29" name="Rectangle 478">
          <a:extLst>
            <a:ext uri="{FF2B5EF4-FFF2-40B4-BE49-F238E27FC236}">
              <a16:creationId xmlns:a16="http://schemas.microsoft.com/office/drawing/2014/main" id="{FEBB103C-6F12-413C-94FE-118F00E701A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0" name="Rectangle 479">
          <a:extLst>
            <a:ext uri="{FF2B5EF4-FFF2-40B4-BE49-F238E27FC236}">
              <a16:creationId xmlns:a16="http://schemas.microsoft.com/office/drawing/2014/main" id="{E5A20C6D-5F84-4E9A-9C6D-F8E46D5CD35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1" name="Rectangle 480">
          <a:extLst>
            <a:ext uri="{FF2B5EF4-FFF2-40B4-BE49-F238E27FC236}">
              <a16:creationId xmlns:a16="http://schemas.microsoft.com/office/drawing/2014/main" id="{1E57FEF8-C23F-4332-B472-95F62B2CA54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2" name="Rectangle 481">
          <a:extLst>
            <a:ext uri="{FF2B5EF4-FFF2-40B4-BE49-F238E27FC236}">
              <a16:creationId xmlns:a16="http://schemas.microsoft.com/office/drawing/2014/main" id="{B9CC36D3-CA82-4F0A-9A9E-72B62E3460D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3" name="Rectangle 482">
          <a:extLst>
            <a:ext uri="{FF2B5EF4-FFF2-40B4-BE49-F238E27FC236}">
              <a16:creationId xmlns:a16="http://schemas.microsoft.com/office/drawing/2014/main" id="{3A071C1C-CB84-4B1D-8F80-0410D6CFA70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4" name="Rectangle 483">
          <a:extLst>
            <a:ext uri="{FF2B5EF4-FFF2-40B4-BE49-F238E27FC236}">
              <a16:creationId xmlns:a16="http://schemas.microsoft.com/office/drawing/2014/main" id="{EEDBD53F-9DCE-4007-90CF-173FDDA3F9C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5" name="Rectangle 484">
          <a:extLst>
            <a:ext uri="{FF2B5EF4-FFF2-40B4-BE49-F238E27FC236}">
              <a16:creationId xmlns:a16="http://schemas.microsoft.com/office/drawing/2014/main" id="{BCB6C2AD-B53C-4A0E-9670-61C5B7CD343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236" name="Rectangle 485">
          <a:extLst>
            <a:ext uri="{FF2B5EF4-FFF2-40B4-BE49-F238E27FC236}">
              <a16:creationId xmlns:a16="http://schemas.microsoft.com/office/drawing/2014/main" id="{F60024ED-8559-458C-B173-9E80B532093E}"/>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7" name="Rectangle 486">
          <a:extLst>
            <a:ext uri="{FF2B5EF4-FFF2-40B4-BE49-F238E27FC236}">
              <a16:creationId xmlns:a16="http://schemas.microsoft.com/office/drawing/2014/main" id="{CAFE0BAF-6F40-48A7-82F4-0FA6B24A544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8" name="Rectangle 487">
          <a:extLst>
            <a:ext uri="{FF2B5EF4-FFF2-40B4-BE49-F238E27FC236}">
              <a16:creationId xmlns:a16="http://schemas.microsoft.com/office/drawing/2014/main" id="{C723FBDF-63A3-485E-AD93-B18AF514B7F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39" name="Rectangle 488">
          <a:extLst>
            <a:ext uri="{FF2B5EF4-FFF2-40B4-BE49-F238E27FC236}">
              <a16:creationId xmlns:a16="http://schemas.microsoft.com/office/drawing/2014/main" id="{D8597AB3-FAEA-4B57-965E-A6C383D8D76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0" name="Rectangle 489">
          <a:extLst>
            <a:ext uri="{FF2B5EF4-FFF2-40B4-BE49-F238E27FC236}">
              <a16:creationId xmlns:a16="http://schemas.microsoft.com/office/drawing/2014/main" id="{26768730-F08E-4E52-B2E9-D82BCA733A7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1" name="Rectangle 490">
          <a:extLst>
            <a:ext uri="{FF2B5EF4-FFF2-40B4-BE49-F238E27FC236}">
              <a16:creationId xmlns:a16="http://schemas.microsoft.com/office/drawing/2014/main" id="{87126009-F1B6-4259-ACBE-0359BE18FFA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2" name="Rectangle 491">
          <a:extLst>
            <a:ext uri="{FF2B5EF4-FFF2-40B4-BE49-F238E27FC236}">
              <a16:creationId xmlns:a16="http://schemas.microsoft.com/office/drawing/2014/main" id="{1FB14165-324F-4BA1-8D93-6614021873B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3" name="Rectangle 492">
          <a:extLst>
            <a:ext uri="{FF2B5EF4-FFF2-40B4-BE49-F238E27FC236}">
              <a16:creationId xmlns:a16="http://schemas.microsoft.com/office/drawing/2014/main" id="{741B301C-EA67-486E-B891-C9442A778AC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4" name="Rectangle 493">
          <a:extLst>
            <a:ext uri="{FF2B5EF4-FFF2-40B4-BE49-F238E27FC236}">
              <a16:creationId xmlns:a16="http://schemas.microsoft.com/office/drawing/2014/main" id="{AE2BE643-DA58-483C-9C68-98E0EA92DBC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5" name="Rectangle 494">
          <a:extLst>
            <a:ext uri="{FF2B5EF4-FFF2-40B4-BE49-F238E27FC236}">
              <a16:creationId xmlns:a16="http://schemas.microsoft.com/office/drawing/2014/main" id="{B07BD36C-2832-4EAB-9912-760726BD4CF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6" name="Rectangle 495">
          <a:extLst>
            <a:ext uri="{FF2B5EF4-FFF2-40B4-BE49-F238E27FC236}">
              <a16:creationId xmlns:a16="http://schemas.microsoft.com/office/drawing/2014/main" id="{BB409C02-E227-42D5-BEEB-09381E07489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7" name="Rectangle 496">
          <a:extLst>
            <a:ext uri="{FF2B5EF4-FFF2-40B4-BE49-F238E27FC236}">
              <a16:creationId xmlns:a16="http://schemas.microsoft.com/office/drawing/2014/main" id="{D4AD29CD-E4CF-47F7-B601-A9D7E13B2588}"/>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8" name="Rectangle 497">
          <a:extLst>
            <a:ext uri="{FF2B5EF4-FFF2-40B4-BE49-F238E27FC236}">
              <a16:creationId xmlns:a16="http://schemas.microsoft.com/office/drawing/2014/main" id="{7A2DA966-D95B-4817-9C5E-45B0C518D01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49" name="Rectangle 498">
          <a:extLst>
            <a:ext uri="{FF2B5EF4-FFF2-40B4-BE49-F238E27FC236}">
              <a16:creationId xmlns:a16="http://schemas.microsoft.com/office/drawing/2014/main" id="{76EA10C6-0C85-46E0-A4E5-23F7779FE14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0" name="Rectangle 499">
          <a:extLst>
            <a:ext uri="{FF2B5EF4-FFF2-40B4-BE49-F238E27FC236}">
              <a16:creationId xmlns:a16="http://schemas.microsoft.com/office/drawing/2014/main" id="{095745D7-895B-4A82-81A8-50820E04366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1" name="Rectangle 500">
          <a:extLst>
            <a:ext uri="{FF2B5EF4-FFF2-40B4-BE49-F238E27FC236}">
              <a16:creationId xmlns:a16="http://schemas.microsoft.com/office/drawing/2014/main" id="{37CAE7B9-C66E-4897-A12D-670F0827100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2" name="Rectangle 501">
          <a:extLst>
            <a:ext uri="{FF2B5EF4-FFF2-40B4-BE49-F238E27FC236}">
              <a16:creationId xmlns:a16="http://schemas.microsoft.com/office/drawing/2014/main" id="{E6B1AF4E-2421-4EB3-8536-3F018D17626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3" name="Rectangle 502">
          <a:extLst>
            <a:ext uri="{FF2B5EF4-FFF2-40B4-BE49-F238E27FC236}">
              <a16:creationId xmlns:a16="http://schemas.microsoft.com/office/drawing/2014/main" id="{3EECA3B3-61F6-4B83-97AF-9F967DC156F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4" name="Rectangle 503">
          <a:extLst>
            <a:ext uri="{FF2B5EF4-FFF2-40B4-BE49-F238E27FC236}">
              <a16:creationId xmlns:a16="http://schemas.microsoft.com/office/drawing/2014/main" id="{7C70701F-3F9C-4F32-BCE7-48ECE523D655}"/>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5" name="Rectangle 504">
          <a:extLst>
            <a:ext uri="{FF2B5EF4-FFF2-40B4-BE49-F238E27FC236}">
              <a16:creationId xmlns:a16="http://schemas.microsoft.com/office/drawing/2014/main" id="{9CEEA1D8-1409-4924-A0FB-B80BC9D4A4A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6" name="Rectangle 505">
          <a:extLst>
            <a:ext uri="{FF2B5EF4-FFF2-40B4-BE49-F238E27FC236}">
              <a16:creationId xmlns:a16="http://schemas.microsoft.com/office/drawing/2014/main" id="{6A9DACC8-0309-4EC7-9A9D-4F5800BAB9C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7" name="Rectangle 506">
          <a:extLst>
            <a:ext uri="{FF2B5EF4-FFF2-40B4-BE49-F238E27FC236}">
              <a16:creationId xmlns:a16="http://schemas.microsoft.com/office/drawing/2014/main" id="{68E4BA98-C078-45DE-83B7-ABCC92EB2261}"/>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8" name="Rectangle 507">
          <a:extLst>
            <a:ext uri="{FF2B5EF4-FFF2-40B4-BE49-F238E27FC236}">
              <a16:creationId xmlns:a16="http://schemas.microsoft.com/office/drawing/2014/main" id="{E4F5686C-2CA0-4C66-A7C5-9C21F276801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59" name="Rectangle 508">
          <a:extLst>
            <a:ext uri="{FF2B5EF4-FFF2-40B4-BE49-F238E27FC236}">
              <a16:creationId xmlns:a16="http://schemas.microsoft.com/office/drawing/2014/main" id="{D0F4E422-5D6C-4FE0-81FF-A379F00D4C5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0" name="Rectangle 509">
          <a:extLst>
            <a:ext uri="{FF2B5EF4-FFF2-40B4-BE49-F238E27FC236}">
              <a16:creationId xmlns:a16="http://schemas.microsoft.com/office/drawing/2014/main" id="{3B0A323B-8A97-4A91-8850-DDB9351D6EE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261" name="Rectangle 510">
          <a:extLst>
            <a:ext uri="{FF2B5EF4-FFF2-40B4-BE49-F238E27FC236}">
              <a16:creationId xmlns:a16="http://schemas.microsoft.com/office/drawing/2014/main" id="{6C30AD60-3ED4-46F5-9E4E-29BDA5D9D4C3}"/>
            </a:ext>
          </a:extLst>
        </xdr:cNvPr>
        <xdr:cNvSpPr>
          <a:spLocks noChangeArrowheads="1"/>
        </xdr:cNvSpPr>
      </xdr:nvSpPr>
      <xdr:spPr bwMode="auto">
        <a:xfrm>
          <a:off x="714375"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2" name="Rectangle 511">
          <a:extLst>
            <a:ext uri="{FF2B5EF4-FFF2-40B4-BE49-F238E27FC236}">
              <a16:creationId xmlns:a16="http://schemas.microsoft.com/office/drawing/2014/main" id="{659EF0E4-2E18-45EF-9DF5-CCB12891685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3" name="Rectangle 512">
          <a:extLst>
            <a:ext uri="{FF2B5EF4-FFF2-40B4-BE49-F238E27FC236}">
              <a16:creationId xmlns:a16="http://schemas.microsoft.com/office/drawing/2014/main" id="{23506DEC-A894-4298-A3F7-69864729ED13}"/>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4" name="Rectangle 513">
          <a:extLst>
            <a:ext uri="{FF2B5EF4-FFF2-40B4-BE49-F238E27FC236}">
              <a16:creationId xmlns:a16="http://schemas.microsoft.com/office/drawing/2014/main" id="{27354ED7-F205-4F8C-AE22-45FACA221CA2}"/>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5" name="Rectangle 514">
          <a:extLst>
            <a:ext uri="{FF2B5EF4-FFF2-40B4-BE49-F238E27FC236}">
              <a16:creationId xmlns:a16="http://schemas.microsoft.com/office/drawing/2014/main" id="{D25F0BC7-AFFC-488E-AF25-732E810CA8C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6" name="Rectangle 515">
          <a:extLst>
            <a:ext uri="{FF2B5EF4-FFF2-40B4-BE49-F238E27FC236}">
              <a16:creationId xmlns:a16="http://schemas.microsoft.com/office/drawing/2014/main" id="{E15A05EC-AD7D-4720-A28D-689138C672FF}"/>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7" name="Rectangle 516">
          <a:extLst>
            <a:ext uri="{FF2B5EF4-FFF2-40B4-BE49-F238E27FC236}">
              <a16:creationId xmlns:a16="http://schemas.microsoft.com/office/drawing/2014/main" id="{847B9C98-9857-411E-B03D-5A87D46D303B}"/>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8" name="Rectangle 517">
          <a:extLst>
            <a:ext uri="{FF2B5EF4-FFF2-40B4-BE49-F238E27FC236}">
              <a16:creationId xmlns:a16="http://schemas.microsoft.com/office/drawing/2014/main" id="{E426A809-BFF1-41F8-8736-B94A3A87DB3C}"/>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69" name="Rectangle 518">
          <a:extLst>
            <a:ext uri="{FF2B5EF4-FFF2-40B4-BE49-F238E27FC236}">
              <a16:creationId xmlns:a16="http://schemas.microsoft.com/office/drawing/2014/main" id="{9A84D5B8-7594-495A-A8A3-C558CF8D9579}"/>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0" name="Rectangle 519">
          <a:extLst>
            <a:ext uri="{FF2B5EF4-FFF2-40B4-BE49-F238E27FC236}">
              <a16:creationId xmlns:a16="http://schemas.microsoft.com/office/drawing/2014/main" id="{01E03F77-E1DA-43EB-9CCA-2171F0D4FFD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1" name="Rectangle 520">
          <a:extLst>
            <a:ext uri="{FF2B5EF4-FFF2-40B4-BE49-F238E27FC236}">
              <a16:creationId xmlns:a16="http://schemas.microsoft.com/office/drawing/2014/main" id="{276AD716-3A53-48CC-9131-E7C52EA7CF7E}"/>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2" name="Rectangle 521">
          <a:extLst>
            <a:ext uri="{FF2B5EF4-FFF2-40B4-BE49-F238E27FC236}">
              <a16:creationId xmlns:a16="http://schemas.microsoft.com/office/drawing/2014/main" id="{38FA5606-5196-44DA-A2B9-9B90889D93E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3" name="Rectangle 522">
          <a:extLst>
            <a:ext uri="{FF2B5EF4-FFF2-40B4-BE49-F238E27FC236}">
              <a16:creationId xmlns:a16="http://schemas.microsoft.com/office/drawing/2014/main" id="{1CB2F3F5-0F1F-46B2-9B14-D942026113AA}"/>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4" name="Rectangle 523">
          <a:extLst>
            <a:ext uri="{FF2B5EF4-FFF2-40B4-BE49-F238E27FC236}">
              <a16:creationId xmlns:a16="http://schemas.microsoft.com/office/drawing/2014/main" id="{FD096917-67E9-467D-8BD1-C56C23BC30D7}"/>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5" name="Rectangle 524">
          <a:extLst>
            <a:ext uri="{FF2B5EF4-FFF2-40B4-BE49-F238E27FC236}">
              <a16:creationId xmlns:a16="http://schemas.microsoft.com/office/drawing/2014/main" id="{25361534-0E2D-4AEC-8917-B46EDF7E83B6}"/>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6" name="Rectangle 525">
          <a:extLst>
            <a:ext uri="{FF2B5EF4-FFF2-40B4-BE49-F238E27FC236}">
              <a16:creationId xmlns:a16="http://schemas.microsoft.com/office/drawing/2014/main" id="{4D7BD041-304C-422E-967E-489385FBF1A0}"/>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7" name="Rectangle 526">
          <a:extLst>
            <a:ext uri="{FF2B5EF4-FFF2-40B4-BE49-F238E27FC236}">
              <a16:creationId xmlns:a16="http://schemas.microsoft.com/office/drawing/2014/main" id="{CE3A7149-E9C8-48C0-9424-0D876F1FA8A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8" name="Rectangle 527">
          <a:extLst>
            <a:ext uri="{FF2B5EF4-FFF2-40B4-BE49-F238E27FC236}">
              <a16:creationId xmlns:a16="http://schemas.microsoft.com/office/drawing/2014/main" id="{03FA9E25-4F39-4B73-BDC9-305BE4C5633D}"/>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279" name="Rectangle 528">
          <a:extLst>
            <a:ext uri="{FF2B5EF4-FFF2-40B4-BE49-F238E27FC236}">
              <a16:creationId xmlns:a16="http://schemas.microsoft.com/office/drawing/2014/main" id="{8AA15D21-FC78-47BF-8D34-C89842991244}"/>
            </a:ext>
          </a:extLst>
        </xdr:cNvPr>
        <xdr:cNvSpPr>
          <a:spLocks noChangeArrowheads="1"/>
        </xdr:cNvSpPr>
      </xdr:nvSpPr>
      <xdr:spPr bwMode="auto">
        <a:xfrm>
          <a:off x="704850" y="828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0" name="Rectangle 238">
          <a:extLst>
            <a:ext uri="{FF2B5EF4-FFF2-40B4-BE49-F238E27FC236}">
              <a16:creationId xmlns:a16="http://schemas.microsoft.com/office/drawing/2014/main" id="{2032637A-616C-4197-89B0-95E07BE16CE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1" name="Rectangle 249">
          <a:extLst>
            <a:ext uri="{FF2B5EF4-FFF2-40B4-BE49-F238E27FC236}">
              <a16:creationId xmlns:a16="http://schemas.microsoft.com/office/drawing/2014/main" id="{85607FD6-A7C9-4B2C-B2C7-AB10190D3EC3}"/>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2" name="Rectangle 251">
          <a:extLst>
            <a:ext uri="{FF2B5EF4-FFF2-40B4-BE49-F238E27FC236}">
              <a16:creationId xmlns:a16="http://schemas.microsoft.com/office/drawing/2014/main" id="{A58A026E-4425-4CFC-8253-59D755BA931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3" name="Rectangle 253">
          <a:extLst>
            <a:ext uri="{FF2B5EF4-FFF2-40B4-BE49-F238E27FC236}">
              <a16:creationId xmlns:a16="http://schemas.microsoft.com/office/drawing/2014/main" id="{CF36A018-1DB3-4D6A-822B-3A0838BC3A43}"/>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4" name="Rectangle 254">
          <a:extLst>
            <a:ext uri="{FF2B5EF4-FFF2-40B4-BE49-F238E27FC236}">
              <a16:creationId xmlns:a16="http://schemas.microsoft.com/office/drawing/2014/main" id="{7C162A91-36F2-47FE-93F0-F2069E9B73C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5" name="Rectangle 255">
          <a:extLst>
            <a:ext uri="{FF2B5EF4-FFF2-40B4-BE49-F238E27FC236}">
              <a16:creationId xmlns:a16="http://schemas.microsoft.com/office/drawing/2014/main" id="{065CEC0B-7C16-4AD5-8FDB-9FD649DCA13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6" name="Rectangle 257">
          <a:extLst>
            <a:ext uri="{FF2B5EF4-FFF2-40B4-BE49-F238E27FC236}">
              <a16:creationId xmlns:a16="http://schemas.microsoft.com/office/drawing/2014/main" id="{2C54FA2D-4A64-48DB-971B-F5C941B5587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7" name="Rectangle 258">
          <a:extLst>
            <a:ext uri="{FF2B5EF4-FFF2-40B4-BE49-F238E27FC236}">
              <a16:creationId xmlns:a16="http://schemas.microsoft.com/office/drawing/2014/main" id="{2718CF57-7E49-40B5-8E8E-73BF37EC7AC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8" name="Rectangle 259">
          <a:extLst>
            <a:ext uri="{FF2B5EF4-FFF2-40B4-BE49-F238E27FC236}">
              <a16:creationId xmlns:a16="http://schemas.microsoft.com/office/drawing/2014/main" id="{8729A999-560B-4D43-9F02-68E8CB7EB2B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9" name="Rectangle 260">
          <a:extLst>
            <a:ext uri="{FF2B5EF4-FFF2-40B4-BE49-F238E27FC236}">
              <a16:creationId xmlns:a16="http://schemas.microsoft.com/office/drawing/2014/main" id="{4A556065-D1E1-41BD-933B-DCD4BF7973C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0" name="Rectangle 261">
          <a:extLst>
            <a:ext uri="{FF2B5EF4-FFF2-40B4-BE49-F238E27FC236}">
              <a16:creationId xmlns:a16="http://schemas.microsoft.com/office/drawing/2014/main" id="{7D7322E8-43E9-40BA-9D4B-554D7337AF7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1" name="Rectangle 262">
          <a:extLst>
            <a:ext uri="{FF2B5EF4-FFF2-40B4-BE49-F238E27FC236}">
              <a16:creationId xmlns:a16="http://schemas.microsoft.com/office/drawing/2014/main" id="{8A58EB6F-0409-4074-9371-F4560424D3F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292" name="Rectangle 263">
          <a:extLst>
            <a:ext uri="{FF2B5EF4-FFF2-40B4-BE49-F238E27FC236}">
              <a16:creationId xmlns:a16="http://schemas.microsoft.com/office/drawing/2014/main" id="{134C0724-9E03-4C5E-BBCF-2ADF66BB1C61}"/>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3" name="Rectangle 264">
          <a:extLst>
            <a:ext uri="{FF2B5EF4-FFF2-40B4-BE49-F238E27FC236}">
              <a16:creationId xmlns:a16="http://schemas.microsoft.com/office/drawing/2014/main" id="{A22B8362-5C9E-4098-9F96-70F61FF3EA6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4" name="Rectangle 265">
          <a:extLst>
            <a:ext uri="{FF2B5EF4-FFF2-40B4-BE49-F238E27FC236}">
              <a16:creationId xmlns:a16="http://schemas.microsoft.com/office/drawing/2014/main" id="{FA9058D7-DF83-45DF-BCBB-CAF7D548FE4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5" name="Rectangle 266">
          <a:extLst>
            <a:ext uri="{FF2B5EF4-FFF2-40B4-BE49-F238E27FC236}">
              <a16:creationId xmlns:a16="http://schemas.microsoft.com/office/drawing/2014/main" id="{155972A8-18F9-455E-812D-40A9914D512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6" name="Rectangle 267">
          <a:extLst>
            <a:ext uri="{FF2B5EF4-FFF2-40B4-BE49-F238E27FC236}">
              <a16:creationId xmlns:a16="http://schemas.microsoft.com/office/drawing/2014/main" id="{692D4385-7A74-4D96-9707-925D1865A3E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7" name="Rectangle 268">
          <a:extLst>
            <a:ext uri="{FF2B5EF4-FFF2-40B4-BE49-F238E27FC236}">
              <a16:creationId xmlns:a16="http://schemas.microsoft.com/office/drawing/2014/main" id="{FE1E5678-A1AA-4684-BE3F-70C3858486D3}"/>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8" name="Rectangle 269">
          <a:extLst>
            <a:ext uri="{FF2B5EF4-FFF2-40B4-BE49-F238E27FC236}">
              <a16:creationId xmlns:a16="http://schemas.microsoft.com/office/drawing/2014/main" id="{555001D5-208F-4303-9652-C8F83B94A16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99" name="Rectangle 270">
          <a:extLst>
            <a:ext uri="{FF2B5EF4-FFF2-40B4-BE49-F238E27FC236}">
              <a16:creationId xmlns:a16="http://schemas.microsoft.com/office/drawing/2014/main" id="{821DA35E-1666-42C3-A8FC-EB4E969BAF8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0" name="Rectangle 271">
          <a:extLst>
            <a:ext uri="{FF2B5EF4-FFF2-40B4-BE49-F238E27FC236}">
              <a16:creationId xmlns:a16="http://schemas.microsoft.com/office/drawing/2014/main" id="{A9106A25-3A9B-44F7-B0E7-AF61D5A9678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1" name="Rectangle 272">
          <a:extLst>
            <a:ext uri="{FF2B5EF4-FFF2-40B4-BE49-F238E27FC236}">
              <a16:creationId xmlns:a16="http://schemas.microsoft.com/office/drawing/2014/main" id="{77CE2697-4315-4945-8A28-7798C0DBD58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2" name="Rectangle 273">
          <a:extLst>
            <a:ext uri="{FF2B5EF4-FFF2-40B4-BE49-F238E27FC236}">
              <a16:creationId xmlns:a16="http://schemas.microsoft.com/office/drawing/2014/main" id="{6B3D2694-7438-47A1-BBDA-8803221456E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3" name="Rectangle 274">
          <a:extLst>
            <a:ext uri="{FF2B5EF4-FFF2-40B4-BE49-F238E27FC236}">
              <a16:creationId xmlns:a16="http://schemas.microsoft.com/office/drawing/2014/main" id="{D552C321-E788-4B14-B92F-7D147685A84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4" name="Rectangle 275">
          <a:extLst>
            <a:ext uri="{FF2B5EF4-FFF2-40B4-BE49-F238E27FC236}">
              <a16:creationId xmlns:a16="http://schemas.microsoft.com/office/drawing/2014/main" id="{DFDB1266-8E21-4C58-A1B7-74AB7D43D17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305" name="Rectangle 276">
          <a:extLst>
            <a:ext uri="{FF2B5EF4-FFF2-40B4-BE49-F238E27FC236}">
              <a16:creationId xmlns:a16="http://schemas.microsoft.com/office/drawing/2014/main" id="{2CC5B853-9CD3-40D3-A45B-13EECED23D9C}"/>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6" name="Rectangle 277">
          <a:extLst>
            <a:ext uri="{FF2B5EF4-FFF2-40B4-BE49-F238E27FC236}">
              <a16:creationId xmlns:a16="http://schemas.microsoft.com/office/drawing/2014/main" id="{2DC592EC-F7E9-4451-B3B3-0D6F0515B34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7" name="Rectangle 278">
          <a:extLst>
            <a:ext uri="{FF2B5EF4-FFF2-40B4-BE49-F238E27FC236}">
              <a16:creationId xmlns:a16="http://schemas.microsoft.com/office/drawing/2014/main" id="{56C8275D-4F93-483C-B91F-5ABB7F7D264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8" name="Rectangle 279">
          <a:extLst>
            <a:ext uri="{FF2B5EF4-FFF2-40B4-BE49-F238E27FC236}">
              <a16:creationId xmlns:a16="http://schemas.microsoft.com/office/drawing/2014/main" id="{78303408-975D-459E-AEBC-F406F06E995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09" name="Rectangle 280">
          <a:extLst>
            <a:ext uri="{FF2B5EF4-FFF2-40B4-BE49-F238E27FC236}">
              <a16:creationId xmlns:a16="http://schemas.microsoft.com/office/drawing/2014/main" id="{969AB0EB-1D7E-4117-8E03-83509EE6ABB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0" name="Rectangle 281">
          <a:extLst>
            <a:ext uri="{FF2B5EF4-FFF2-40B4-BE49-F238E27FC236}">
              <a16:creationId xmlns:a16="http://schemas.microsoft.com/office/drawing/2014/main" id="{464A76F1-9CCF-4191-934F-1BD6381115E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1" name="Rectangle 282">
          <a:extLst>
            <a:ext uri="{FF2B5EF4-FFF2-40B4-BE49-F238E27FC236}">
              <a16:creationId xmlns:a16="http://schemas.microsoft.com/office/drawing/2014/main" id="{FABD8F70-4932-4767-ABFB-01FCE16E078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2" name="Rectangle 283">
          <a:extLst>
            <a:ext uri="{FF2B5EF4-FFF2-40B4-BE49-F238E27FC236}">
              <a16:creationId xmlns:a16="http://schemas.microsoft.com/office/drawing/2014/main" id="{CBF4630D-EE74-457D-87D3-3A711BB3868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3" name="Rectangle 284">
          <a:extLst>
            <a:ext uri="{FF2B5EF4-FFF2-40B4-BE49-F238E27FC236}">
              <a16:creationId xmlns:a16="http://schemas.microsoft.com/office/drawing/2014/main" id="{E1A1FA90-9D93-4E29-82AB-FC990ED1ED3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4" name="Rectangle 285">
          <a:extLst>
            <a:ext uri="{FF2B5EF4-FFF2-40B4-BE49-F238E27FC236}">
              <a16:creationId xmlns:a16="http://schemas.microsoft.com/office/drawing/2014/main" id="{5F29D8C5-07CD-4197-AEDE-7651D47C725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5" name="Rectangle 286">
          <a:extLst>
            <a:ext uri="{FF2B5EF4-FFF2-40B4-BE49-F238E27FC236}">
              <a16:creationId xmlns:a16="http://schemas.microsoft.com/office/drawing/2014/main" id="{9CFDBA16-F2B9-4B1B-80C1-92519BB535F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6" name="Rectangle 287">
          <a:extLst>
            <a:ext uri="{FF2B5EF4-FFF2-40B4-BE49-F238E27FC236}">
              <a16:creationId xmlns:a16="http://schemas.microsoft.com/office/drawing/2014/main" id="{CD635E6D-B55F-49B9-84AA-16126105EAB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7" name="Rectangle 288">
          <a:extLst>
            <a:ext uri="{FF2B5EF4-FFF2-40B4-BE49-F238E27FC236}">
              <a16:creationId xmlns:a16="http://schemas.microsoft.com/office/drawing/2014/main" id="{3E5537E4-1234-4D16-8C6F-CFB5628FBA7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8" name="Rectangle 289">
          <a:extLst>
            <a:ext uri="{FF2B5EF4-FFF2-40B4-BE49-F238E27FC236}">
              <a16:creationId xmlns:a16="http://schemas.microsoft.com/office/drawing/2014/main" id="{92F00BCB-976D-461D-896F-68C2D86E2C1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19" name="Rectangle 290">
          <a:extLst>
            <a:ext uri="{FF2B5EF4-FFF2-40B4-BE49-F238E27FC236}">
              <a16:creationId xmlns:a16="http://schemas.microsoft.com/office/drawing/2014/main" id="{7DDE8CED-1C52-4C89-8EBE-A985FD91A4A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0" name="Rectangle 291">
          <a:extLst>
            <a:ext uri="{FF2B5EF4-FFF2-40B4-BE49-F238E27FC236}">
              <a16:creationId xmlns:a16="http://schemas.microsoft.com/office/drawing/2014/main" id="{B13F726F-9796-4F02-839C-7D0A1D73DE1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1" name="Rectangle 292">
          <a:extLst>
            <a:ext uri="{FF2B5EF4-FFF2-40B4-BE49-F238E27FC236}">
              <a16:creationId xmlns:a16="http://schemas.microsoft.com/office/drawing/2014/main" id="{19F47618-9D39-4920-B0DD-88DABEA2812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2" name="Rectangle 293">
          <a:extLst>
            <a:ext uri="{FF2B5EF4-FFF2-40B4-BE49-F238E27FC236}">
              <a16:creationId xmlns:a16="http://schemas.microsoft.com/office/drawing/2014/main" id="{20E42851-3F69-484E-BC7C-B5DF691F6AE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3" name="Rectangle 294">
          <a:extLst>
            <a:ext uri="{FF2B5EF4-FFF2-40B4-BE49-F238E27FC236}">
              <a16:creationId xmlns:a16="http://schemas.microsoft.com/office/drawing/2014/main" id="{663BEAA8-B0D6-41C4-9E34-4F817E68F74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324" name="Rectangle 295">
          <a:extLst>
            <a:ext uri="{FF2B5EF4-FFF2-40B4-BE49-F238E27FC236}">
              <a16:creationId xmlns:a16="http://schemas.microsoft.com/office/drawing/2014/main" id="{BB731C04-C97C-43D9-B209-AAD5C4E15055}"/>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5" name="Rectangle 296">
          <a:extLst>
            <a:ext uri="{FF2B5EF4-FFF2-40B4-BE49-F238E27FC236}">
              <a16:creationId xmlns:a16="http://schemas.microsoft.com/office/drawing/2014/main" id="{E1AC1A0E-C847-4234-A68C-F1CCD1D2B16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6" name="Rectangle 297">
          <a:extLst>
            <a:ext uri="{FF2B5EF4-FFF2-40B4-BE49-F238E27FC236}">
              <a16:creationId xmlns:a16="http://schemas.microsoft.com/office/drawing/2014/main" id="{F3F25984-A899-4E99-B854-A25DB63603F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7" name="Rectangle 298">
          <a:extLst>
            <a:ext uri="{FF2B5EF4-FFF2-40B4-BE49-F238E27FC236}">
              <a16:creationId xmlns:a16="http://schemas.microsoft.com/office/drawing/2014/main" id="{327384FA-67F3-4039-9885-71E63BA0C01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8" name="Rectangle 299">
          <a:extLst>
            <a:ext uri="{FF2B5EF4-FFF2-40B4-BE49-F238E27FC236}">
              <a16:creationId xmlns:a16="http://schemas.microsoft.com/office/drawing/2014/main" id="{4DBD0FE3-D455-4D74-802A-592405C8ADD9}"/>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29" name="Rectangle 300">
          <a:extLst>
            <a:ext uri="{FF2B5EF4-FFF2-40B4-BE49-F238E27FC236}">
              <a16:creationId xmlns:a16="http://schemas.microsoft.com/office/drawing/2014/main" id="{D029D7ED-939A-4726-9E07-A56C53251E77}"/>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0" name="Rectangle 301">
          <a:extLst>
            <a:ext uri="{FF2B5EF4-FFF2-40B4-BE49-F238E27FC236}">
              <a16:creationId xmlns:a16="http://schemas.microsoft.com/office/drawing/2014/main" id="{3B9BDC8E-B8FC-4142-A274-1B650713C75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1" name="Rectangle 302">
          <a:extLst>
            <a:ext uri="{FF2B5EF4-FFF2-40B4-BE49-F238E27FC236}">
              <a16:creationId xmlns:a16="http://schemas.microsoft.com/office/drawing/2014/main" id="{CA32AA5D-4E6A-4084-81BA-AD3528FBD6B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2" name="Rectangle 303">
          <a:extLst>
            <a:ext uri="{FF2B5EF4-FFF2-40B4-BE49-F238E27FC236}">
              <a16:creationId xmlns:a16="http://schemas.microsoft.com/office/drawing/2014/main" id="{BFE9A8C8-EC73-4312-9A6E-49F2063C99E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3" name="Rectangle 304">
          <a:extLst>
            <a:ext uri="{FF2B5EF4-FFF2-40B4-BE49-F238E27FC236}">
              <a16:creationId xmlns:a16="http://schemas.microsoft.com/office/drawing/2014/main" id="{5E536AD8-3B0A-4242-8664-B9F9EF2FF41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4" name="Rectangle 305">
          <a:extLst>
            <a:ext uri="{FF2B5EF4-FFF2-40B4-BE49-F238E27FC236}">
              <a16:creationId xmlns:a16="http://schemas.microsoft.com/office/drawing/2014/main" id="{BDFE5592-9D63-4467-8E5D-932497C3E7F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5" name="Rectangle 306">
          <a:extLst>
            <a:ext uri="{FF2B5EF4-FFF2-40B4-BE49-F238E27FC236}">
              <a16:creationId xmlns:a16="http://schemas.microsoft.com/office/drawing/2014/main" id="{DB1FD39B-89E4-4E25-84C9-9C57594382F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6" name="Rectangle 307">
          <a:extLst>
            <a:ext uri="{FF2B5EF4-FFF2-40B4-BE49-F238E27FC236}">
              <a16:creationId xmlns:a16="http://schemas.microsoft.com/office/drawing/2014/main" id="{2B436DE8-807E-43E6-8239-5A9874A45FA3}"/>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7" name="Rectangle 308">
          <a:extLst>
            <a:ext uri="{FF2B5EF4-FFF2-40B4-BE49-F238E27FC236}">
              <a16:creationId xmlns:a16="http://schemas.microsoft.com/office/drawing/2014/main" id="{2A533917-1516-456F-B5EE-1A8BE304BCB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8" name="Rectangle 309">
          <a:extLst>
            <a:ext uri="{FF2B5EF4-FFF2-40B4-BE49-F238E27FC236}">
              <a16:creationId xmlns:a16="http://schemas.microsoft.com/office/drawing/2014/main" id="{174C583A-8AC1-4934-86F0-DE3541BEC4B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39" name="Rectangle 310">
          <a:extLst>
            <a:ext uri="{FF2B5EF4-FFF2-40B4-BE49-F238E27FC236}">
              <a16:creationId xmlns:a16="http://schemas.microsoft.com/office/drawing/2014/main" id="{113BDB0E-CA2E-4A27-8D4A-3F761109DDB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0" name="Rectangle 311">
          <a:extLst>
            <a:ext uri="{FF2B5EF4-FFF2-40B4-BE49-F238E27FC236}">
              <a16:creationId xmlns:a16="http://schemas.microsoft.com/office/drawing/2014/main" id="{7F610A66-0FDF-4DD5-AD23-B9C0AF7153C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1" name="Rectangle 312">
          <a:extLst>
            <a:ext uri="{FF2B5EF4-FFF2-40B4-BE49-F238E27FC236}">
              <a16:creationId xmlns:a16="http://schemas.microsoft.com/office/drawing/2014/main" id="{CA5ED25F-75CC-46FC-85C4-CB9CE7FCDAF9}"/>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2" name="Rectangle 313">
          <a:extLst>
            <a:ext uri="{FF2B5EF4-FFF2-40B4-BE49-F238E27FC236}">
              <a16:creationId xmlns:a16="http://schemas.microsoft.com/office/drawing/2014/main" id="{8A06F028-EBA1-450A-80D5-955ECA0AEB1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3" name="Rectangle 314">
          <a:extLst>
            <a:ext uri="{FF2B5EF4-FFF2-40B4-BE49-F238E27FC236}">
              <a16:creationId xmlns:a16="http://schemas.microsoft.com/office/drawing/2014/main" id="{B2C5BEE7-BB90-498D-BBE9-68DE63948C2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4" name="Rectangle 315">
          <a:extLst>
            <a:ext uri="{FF2B5EF4-FFF2-40B4-BE49-F238E27FC236}">
              <a16:creationId xmlns:a16="http://schemas.microsoft.com/office/drawing/2014/main" id="{60D43977-7DB6-46F3-9DF1-98059D5438F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5" name="Rectangle 316">
          <a:extLst>
            <a:ext uri="{FF2B5EF4-FFF2-40B4-BE49-F238E27FC236}">
              <a16:creationId xmlns:a16="http://schemas.microsoft.com/office/drawing/2014/main" id="{BCCC7233-189D-4475-BD1E-ED97E1596449}"/>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6" name="Rectangle 317">
          <a:extLst>
            <a:ext uri="{FF2B5EF4-FFF2-40B4-BE49-F238E27FC236}">
              <a16:creationId xmlns:a16="http://schemas.microsoft.com/office/drawing/2014/main" id="{7FDA2ECF-9D5E-4EE0-B00B-411E98604D2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7" name="Rectangle 318">
          <a:extLst>
            <a:ext uri="{FF2B5EF4-FFF2-40B4-BE49-F238E27FC236}">
              <a16:creationId xmlns:a16="http://schemas.microsoft.com/office/drawing/2014/main" id="{0D9AAB14-1BD4-4B13-99D8-5F2DC0D02C2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48" name="Rectangle 319">
          <a:extLst>
            <a:ext uri="{FF2B5EF4-FFF2-40B4-BE49-F238E27FC236}">
              <a16:creationId xmlns:a16="http://schemas.microsoft.com/office/drawing/2014/main" id="{79BACE99-9B04-4DCB-9591-14081357F0B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349" name="Rectangle 320">
          <a:extLst>
            <a:ext uri="{FF2B5EF4-FFF2-40B4-BE49-F238E27FC236}">
              <a16:creationId xmlns:a16="http://schemas.microsoft.com/office/drawing/2014/main" id="{8DC81D4F-53EE-4B62-9505-6F8C59CEF4D2}"/>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0" name="Rectangle 321">
          <a:extLst>
            <a:ext uri="{FF2B5EF4-FFF2-40B4-BE49-F238E27FC236}">
              <a16:creationId xmlns:a16="http://schemas.microsoft.com/office/drawing/2014/main" id="{928E30AA-90BC-4349-B1CD-C3C9E1BEEDB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1" name="Rectangle 322">
          <a:extLst>
            <a:ext uri="{FF2B5EF4-FFF2-40B4-BE49-F238E27FC236}">
              <a16:creationId xmlns:a16="http://schemas.microsoft.com/office/drawing/2014/main" id="{E184D73E-A1F5-44BD-8526-657C08C1860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2" name="Rectangle 323">
          <a:extLst>
            <a:ext uri="{FF2B5EF4-FFF2-40B4-BE49-F238E27FC236}">
              <a16:creationId xmlns:a16="http://schemas.microsoft.com/office/drawing/2014/main" id="{38D9FE3D-BA12-4B63-A4CF-A21C80D2F33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3" name="Rectangle 324">
          <a:extLst>
            <a:ext uri="{FF2B5EF4-FFF2-40B4-BE49-F238E27FC236}">
              <a16:creationId xmlns:a16="http://schemas.microsoft.com/office/drawing/2014/main" id="{866C8471-9693-4070-A268-5AE5C2FFBEA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4" name="Rectangle 325">
          <a:extLst>
            <a:ext uri="{FF2B5EF4-FFF2-40B4-BE49-F238E27FC236}">
              <a16:creationId xmlns:a16="http://schemas.microsoft.com/office/drawing/2014/main" id="{88FE0B9B-89A4-404E-BF18-1D956D30B23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5" name="Rectangle 326">
          <a:extLst>
            <a:ext uri="{FF2B5EF4-FFF2-40B4-BE49-F238E27FC236}">
              <a16:creationId xmlns:a16="http://schemas.microsoft.com/office/drawing/2014/main" id="{C66DAD12-B965-4E2A-97E7-39A1DAA2D51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6" name="Rectangle 327">
          <a:extLst>
            <a:ext uri="{FF2B5EF4-FFF2-40B4-BE49-F238E27FC236}">
              <a16:creationId xmlns:a16="http://schemas.microsoft.com/office/drawing/2014/main" id="{B13739D1-7DC7-4D89-BBC4-DF54D0B63019}"/>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7" name="Rectangle 328">
          <a:extLst>
            <a:ext uri="{FF2B5EF4-FFF2-40B4-BE49-F238E27FC236}">
              <a16:creationId xmlns:a16="http://schemas.microsoft.com/office/drawing/2014/main" id="{BA16D3BB-04F7-46CB-AEE8-B08FB01DF81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8" name="Rectangle 329">
          <a:extLst>
            <a:ext uri="{FF2B5EF4-FFF2-40B4-BE49-F238E27FC236}">
              <a16:creationId xmlns:a16="http://schemas.microsoft.com/office/drawing/2014/main" id="{ED57BDCD-39CF-4088-B446-85D33535321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59" name="Rectangle 330">
          <a:extLst>
            <a:ext uri="{FF2B5EF4-FFF2-40B4-BE49-F238E27FC236}">
              <a16:creationId xmlns:a16="http://schemas.microsoft.com/office/drawing/2014/main" id="{F88611DC-DE07-47FA-87D2-E343DC908EC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0" name="Rectangle 331">
          <a:extLst>
            <a:ext uri="{FF2B5EF4-FFF2-40B4-BE49-F238E27FC236}">
              <a16:creationId xmlns:a16="http://schemas.microsoft.com/office/drawing/2014/main" id="{47B5A79A-B54F-4509-BF46-BEEE8171224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1" name="Rectangle 332">
          <a:extLst>
            <a:ext uri="{FF2B5EF4-FFF2-40B4-BE49-F238E27FC236}">
              <a16:creationId xmlns:a16="http://schemas.microsoft.com/office/drawing/2014/main" id="{5D072B29-530D-4FC1-A17C-1D03877020F7}"/>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2" name="Rectangle 333">
          <a:extLst>
            <a:ext uri="{FF2B5EF4-FFF2-40B4-BE49-F238E27FC236}">
              <a16:creationId xmlns:a16="http://schemas.microsoft.com/office/drawing/2014/main" id="{62F8011F-1D71-4585-9D0D-A1E88875474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3" name="Rectangle 334">
          <a:extLst>
            <a:ext uri="{FF2B5EF4-FFF2-40B4-BE49-F238E27FC236}">
              <a16:creationId xmlns:a16="http://schemas.microsoft.com/office/drawing/2014/main" id="{57320BFA-66AE-4553-B6B8-6ED2B35AD2C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4" name="Rectangle 335">
          <a:extLst>
            <a:ext uri="{FF2B5EF4-FFF2-40B4-BE49-F238E27FC236}">
              <a16:creationId xmlns:a16="http://schemas.microsoft.com/office/drawing/2014/main" id="{7C280C64-618E-4774-94C9-16E967F8AD0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5" name="Rectangle 336">
          <a:extLst>
            <a:ext uri="{FF2B5EF4-FFF2-40B4-BE49-F238E27FC236}">
              <a16:creationId xmlns:a16="http://schemas.microsoft.com/office/drawing/2014/main" id="{DB16C952-D4FB-4BC9-8AA1-2EC0F6CAC76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6" name="Rectangle 337">
          <a:extLst>
            <a:ext uri="{FF2B5EF4-FFF2-40B4-BE49-F238E27FC236}">
              <a16:creationId xmlns:a16="http://schemas.microsoft.com/office/drawing/2014/main" id="{E7F9437C-5F18-4375-81B5-D7983560FD5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7" name="Rectangle 338">
          <a:extLst>
            <a:ext uri="{FF2B5EF4-FFF2-40B4-BE49-F238E27FC236}">
              <a16:creationId xmlns:a16="http://schemas.microsoft.com/office/drawing/2014/main" id="{DC5ADE8C-217F-4A4C-9707-0373D2C13A6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8" name="Rectangle 339">
          <a:extLst>
            <a:ext uri="{FF2B5EF4-FFF2-40B4-BE49-F238E27FC236}">
              <a16:creationId xmlns:a16="http://schemas.microsoft.com/office/drawing/2014/main" id="{D83D30D9-42D1-4D21-825F-02A0FB7F292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69" name="Rectangle 340">
          <a:extLst>
            <a:ext uri="{FF2B5EF4-FFF2-40B4-BE49-F238E27FC236}">
              <a16:creationId xmlns:a16="http://schemas.microsoft.com/office/drawing/2014/main" id="{D73EE38D-9349-4CA3-9331-FD4C1836BC8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0" name="Rectangle 341">
          <a:extLst>
            <a:ext uri="{FF2B5EF4-FFF2-40B4-BE49-F238E27FC236}">
              <a16:creationId xmlns:a16="http://schemas.microsoft.com/office/drawing/2014/main" id="{BCC85197-8DB1-447F-9070-903FEB1FCEF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1" name="Rectangle 342">
          <a:extLst>
            <a:ext uri="{FF2B5EF4-FFF2-40B4-BE49-F238E27FC236}">
              <a16:creationId xmlns:a16="http://schemas.microsoft.com/office/drawing/2014/main" id="{E8DBC748-6256-41CC-8882-C03F7E642FA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2" name="Rectangle 343">
          <a:extLst>
            <a:ext uri="{FF2B5EF4-FFF2-40B4-BE49-F238E27FC236}">
              <a16:creationId xmlns:a16="http://schemas.microsoft.com/office/drawing/2014/main" id="{A2385F8B-5768-4F55-AC68-3868D5736D9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3" name="Rectangle 344">
          <a:extLst>
            <a:ext uri="{FF2B5EF4-FFF2-40B4-BE49-F238E27FC236}">
              <a16:creationId xmlns:a16="http://schemas.microsoft.com/office/drawing/2014/main" id="{7B3CD5E2-C498-4483-B2AE-929DCD48C37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4" name="Rectangle 345">
          <a:extLst>
            <a:ext uri="{FF2B5EF4-FFF2-40B4-BE49-F238E27FC236}">
              <a16:creationId xmlns:a16="http://schemas.microsoft.com/office/drawing/2014/main" id="{F4F7EDFF-8394-4D84-AC84-0DFB744C1A9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5" name="Rectangle 346">
          <a:extLst>
            <a:ext uri="{FF2B5EF4-FFF2-40B4-BE49-F238E27FC236}">
              <a16:creationId xmlns:a16="http://schemas.microsoft.com/office/drawing/2014/main" id="{2F7A4EA6-3B78-4B65-AF50-8534BBC718E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6" name="Rectangle 347">
          <a:extLst>
            <a:ext uri="{FF2B5EF4-FFF2-40B4-BE49-F238E27FC236}">
              <a16:creationId xmlns:a16="http://schemas.microsoft.com/office/drawing/2014/main" id="{FB4B25D4-D696-4E87-B2D9-626422E54CA7}"/>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7" name="Rectangle 348">
          <a:extLst>
            <a:ext uri="{FF2B5EF4-FFF2-40B4-BE49-F238E27FC236}">
              <a16:creationId xmlns:a16="http://schemas.microsoft.com/office/drawing/2014/main" id="{69BE6BAC-B3A6-47D3-A057-576B2FB64A5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8" name="Rectangle 349">
          <a:extLst>
            <a:ext uri="{FF2B5EF4-FFF2-40B4-BE49-F238E27FC236}">
              <a16:creationId xmlns:a16="http://schemas.microsoft.com/office/drawing/2014/main" id="{5333B880-F4D7-464C-9765-4CA44203A843}"/>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79" name="Rectangle 350">
          <a:extLst>
            <a:ext uri="{FF2B5EF4-FFF2-40B4-BE49-F238E27FC236}">
              <a16:creationId xmlns:a16="http://schemas.microsoft.com/office/drawing/2014/main" id="{BB95D0D0-E880-4EF9-BB50-EC79FA5FCB6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380" name="Rectangle 351">
          <a:extLst>
            <a:ext uri="{FF2B5EF4-FFF2-40B4-BE49-F238E27FC236}">
              <a16:creationId xmlns:a16="http://schemas.microsoft.com/office/drawing/2014/main" id="{4DEDEF0C-DB71-4506-879C-7E9B24467300}"/>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1" name="Rectangle 352">
          <a:extLst>
            <a:ext uri="{FF2B5EF4-FFF2-40B4-BE49-F238E27FC236}">
              <a16:creationId xmlns:a16="http://schemas.microsoft.com/office/drawing/2014/main" id="{B90EAB3A-C1E5-43D1-B926-76968D49F70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2" name="Rectangle 353">
          <a:extLst>
            <a:ext uri="{FF2B5EF4-FFF2-40B4-BE49-F238E27FC236}">
              <a16:creationId xmlns:a16="http://schemas.microsoft.com/office/drawing/2014/main" id="{1EE98801-C85B-45CD-B4A5-03F2489C53B7}"/>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3" name="Rectangle 354">
          <a:extLst>
            <a:ext uri="{FF2B5EF4-FFF2-40B4-BE49-F238E27FC236}">
              <a16:creationId xmlns:a16="http://schemas.microsoft.com/office/drawing/2014/main" id="{4B18CD30-35F0-46AD-854D-F6E033FC1BF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4" name="Rectangle 355">
          <a:extLst>
            <a:ext uri="{FF2B5EF4-FFF2-40B4-BE49-F238E27FC236}">
              <a16:creationId xmlns:a16="http://schemas.microsoft.com/office/drawing/2014/main" id="{633A938A-A5D6-43A2-BEF3-57125138D3A3}"/>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5" name="Rectangle 356">
          <a:extLst>
            <a:ext uri="{FF2B5EF4-FFF2-40B4-BE49-F238E27FC236}">
              <a16:creationId xmlns:a16="http://schemas.microsoft.com/office/drawing/2014/main" id="{92297C1C-AA6C-4B5E-9018-B5F245A61FF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6" name="Rectangle 357">
          <a:extLst>
            <a:ext uri="{FF2B5EF4-FFF2-40B4-BE49-F238E27FC236}">
              <a16:creationId xmlns:a16="http://schemas.microsoft.com/office/drawing/2014/main" id="{1BBBA99F-E1A4-486B-BB12-42BCD9D7D13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7" name="Rectangle 358">
          <a:extLst>
            <a:ext uri="{FF2B5EF4-FFF2-40B4-BE49-F238E27FC236}">
              <a16:creationId xmlns:a16="http://schemas.microsoft.com/office/drawing/2014/main" id="{F5A63F29-2B27-44C6-857E-4311E5F2195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8" name="Rectangle 359">
          <a:extLst>
            <a:ext uri="{FF2B5EF4-FFF2-40B4-BE49-F238E27FC236}">
              <a16:creationId xmlns:a16="http://schemas.microsoft.com/office/drawing/2014/main" id="{B89D2466-08FA-489F-BA5A-094AA41ABE4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89" name="Rectangle 360">
          <a:extLst>
            <a:ext uri="{FF2B5EF4-FFF2-40B4-BE49-F238E27FC236}">
              <a16:creationId xmlns:a16="http://schemas.microsoft.com/office/drawing/2014/main" id="{CF833E87-1D96-4C7A-8510-22410275542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0" name="Rectangle 361">
          <a:extLst>
            <a:ext uri="{FF2B5EF4-FFF2-40B4-BE49-F238E27FC236}">
              <a16:creationId xmlns:a16="http://schemas.microsoft.com/office/drawing/2014/main" id="{39B56366-FD09-444D-AF37-A8907C37368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1" name="Rectangle 362">
          <a:extLst>
            <a:ext uri="{FF2B5EF4-FFF2-40B4-BE49-F238E27FC236}">
              <a16:creationId xmlns:a16="http://schemas.microsoft.com/office/drawing/2014/main" id="{F4FB8B39-24A1-4D25-8A21-8DC59BD09D4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2" name="Rectangle 363">
          <a:extLst>
            <a:ext uri="{FF2B5EF4-FFF2-40B4-BE49-F238E27FC236}">
              <a16:creationId xmlns:a16="http://schemas.microsoft.com/office/drawing/2014/main" id="{57B8E1C7-BAAF-433E-9AAE-4C306B20792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393" name="Rectangle 364">
          <a:extLst>
            <a:ext uri="{FF2B5EF4-FFF2-40B4-BE49-F238E27FC236}">
              <a16:creationId xmlns:a16="http://schemas.microsoft.com/office/drawing/2014/main" id="{C6AF4CDE-B295-421A-A948-241A7B97B05E}"/>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4" name="Rectangle 365">
          <a:extLst>
            <a:ext uri="{FF2B5EF4-FFF2-40B4-BE49-F238E27FC236}">
              <a16:creationId xmlns:a16="http://schemas.microsoft.com/office/drawing/2014/main" id="{63160D6A-FB12-454B-842A-3659AA372B0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5" name="Rectangle 366">
          <a:extLst>
            <a:ext uri="{FF2B5EF4-FFF2-40B4-BE49-F238E27FC236}">
              <a16:creationId xmlns:a16="http://schemas.microsoft.com/office/drawing/2014/main" id="{888480B7-18B9-4B95-A73D-70B2F43CBD7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6" name="Rectangle 367">
          <a:extLst>
            <a:ext uri="{FF2B5EF4-FFF2-40B4-BE49-F238E27FC236}">
              <a16:creationId xmlns:a16="http://schemas.microsoft.com/office/drawing/2014/main" id="{3C1EDCEF-E668-4A98-BB41-4307FE2CC3D7}"/>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7" name="Rectangle 368">
          <a:extLst>
            <a:ext uri="{FF2B5EF4-FFF2-40B4-BE49-F238E27FC236}">
              <a16:creationId xmlns:a16="http://schemas.microsoft.com/office/drawing/2014/main" id="{EF41367D-0578-476B-BF08-407CFA0394C7}"/>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8" name="Rectangle 369">
          <a:extLst>
            <a:ext uri="{FF2B5EF4-FFF2-40B4-BE49-F238E27FC236}">
              <a16:creationId xmlns:a16="http://schemas.microsoft.com/office/drawing/2014/main" id="{07D58A2A-847C-4C12-BC3E-1E5AF91A78A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399" name="Rectangle 370">
          <a:extLst>
            <a:ext uri="{FF2B5EF4-FFF2-40B4-BE49-F238E27FC236}">
              <a16:creationId xmlns:a16="http://schemas.microsoft.com/office/drawing/2014/main" id="{0FBD00E1-BE00-4BE9-B1B7-D479E968F7A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0" name="Rectangle 371">
          <a:extLst>
            <a:ext uri="{FF2B5EF4-FFF2-40B4-BE49-F238E27FC236}">
              <a16:creationId xmlns:a16="http://schemas.microsoft.com/office/drawing/2014/main" id="{F73D8D60-05E2-47F8-9DEF-AAFEEA6EB4D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1" name="Rectangle 372">
          <a:extLst>
            <a:ext uri="{FF2B5EF4-FFF2-40B4-BE49-F238E27FC236}">
              <a16:creationId xmlns:a16="http://schemas.microsoft.com/office/drawing/2014/main" id="{434A5487-C0F1-4122-97BD-5FC08C1FFFE9}"/>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2" name="Rectangle 373">
          <a:extLst>
            <a:ext uri="{FF2B5EF4-FFF2-40B4-BE49-F238E27FC236}">
              <a16:creationId xmlns:a16="http://schemas.microsoft.com/office/drawing/2014/main" id="{99E09B96-F325-4649-A802-1C68DAC7E349}"/>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3" name="Rectangle 374">
          <a:extLst>
            <a:ext uri="{FF2B5EF4-FFF2-40B4-BE49-F238E27FC236}">
              <a16:creationId xmlns:a16="http://schemas.microsoft.com/office/drawing/2014/main" id="{E07CE36D-6F4B-4547-A828-A62291887C3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4" name="Rectangle 375">
          <a:extLst>
            <a:ext uri="{FF2B5EF4-FFF2-40B4-BE49-F238E27FC236}">
              <a16:creationId xmlns:a16="http://schemas.microsoft.com/office/drawing/2014/main" id="{20296B27-9697-45D8-AC4A-D1FBC09832D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5" name="Rectangle 376">
          <a:extLst>
            <a:ext uri="{FF2B5EF4-FFF2-40B4-BE49-F238E27FC236}">
              <a16:creationId xmlns:a16="http://schemas.microsoft.com/office/drawing/2014/main" id="{FDAE0C38-3D1E-45F8-BB7D-DFCE79C8966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6" name="Rectangle 377">
          <a:extLst>
            <a:ext uri="{FF2B5EF4-FFF2-40B4-BE49-F238E27FC236}">
              <a16:creationId xmlns:a16="http://schemas.microsoft.com/office/drawing/2014/main" id="{49037E62-6368-4033-8000-3E7DEE94DFE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7" name="Rectangle 378">
          <a:extLst>
            <a:ext uri="{FF2B5EF4-FFF2-40B4-BE49-F238E27FC236}">
              <a16:creationId xmlns:a16="http://schemas.microsoft.com/office/drawing/2014/main" id="{D01CB4B0-6C61-486F-84CA-C5334C58CEA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8" name="Rectangle 379">
          <a:extLst>
            <a:ext uri="{FF2B5EF4-FFF2-40B4-BE49-F238E27FC236}">
              <a16:creationId xmlns:a16="http://schemas.microsoft.com/office/drawing/2014/main" id="{76854C96-DF22-41CA-A9AA-BC1535C82A2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09" name="Rectangle 380">
          <a:extLst>
            <a:ext uri="{FF2B5EF4-FFF2-40B4-BE49-F238E27FC236}">
              <a16:creationId xmlns:a16="http://schemas.microsoft.com/office/drawing/2014/main" id="{2C9105B9-DAC9-49B6-803C-4C5B6007141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0" name="Rectangle 381">
          <a:extLst>
            <a:ext uri="{FF2B5EF4-FFF2-40B4-BE49-F238E27FC236}">
              <a16:creationId xmlns:a16="http://schemas.microsoft.com/office/drawing/2014/main" id="{D61D86C3-56AA-473F-B1B2-ECBB1E94852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1" name="Rectangle 382">
          <a:extLst>
            <a:ext uri="{FF2B5EF4-FFF2-40B4-BE49-F238E27FC236}">
              <a16:creationId xmlns:a16="http://schemas.microsoft.com/office/drawing/2014/main" id="{BBEB26AE-9CEF-427E-A239-15B5D7038B3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412" name="Rectangle 383">
          <a:extLst>
            <a:ext uri="{FF2B5EF4-FFF2-40B4-BE49-F238E27FC236}">
              <a16:creationId xmlns:a16="http://schemas.microsoft.com/office/drawing/2014/main" id="{1A643B87-BDE8-42E2-882C-745627D7645B}"/>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3" name="Rectangle 384">
          <a:extLst>
            <a:ext uri="{FF2B5EF4-FFF2-40B4-BE49-F238E27FC236}">
              <a16:creationId xmlns:a16="http://schemas.microsoft.com/office/drawing/2014/main" id="{8DFDBA72-E359-439D-903D-90B24F216543}"/>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4" name="Rectangle 385">
          <a:extLst>
            <a:ext uri="{FF2B5EF4-FFF2-40B4-BE49-F238E27FC236}">
              <a16:creationId xmlns:a16="http://schemas.microsoft.com/office/drawing/2014/main" id="{BF5AED91-79ED-472A-8604-756E426C4A0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5" name="Rectangle 386">
          <a:extLst>
            <a:ext uri="{FF2B5EF4-FFF2-40B4-BE49-F238E27FC236}">
              <a16:creationId xmlns:a16="http://schemas.microsoft.com/office/drawing/2014/main" id="{BD0FA1B4-88AE-46FE-A253-72C37928C3A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6" name="Rectangle 387">
          <a:extLst>
            <a:ext uri="{FF2B5EF4-FFF2-40B4-BE49-F238E27FC236}">
              <a16:creationId xmlns:a16="http://schemas.microsoft.com/office/drawing/2014/main" id="{7B26F4ED-DE90-4E36-8C4D-C327B5FE6E5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7" name="Rectangle 388">
          <a:extLst>
            <a:ext uri="{FF2B5EF4-FFF2-40B4-BE49-F238E27FC236}">
              <a16:creationId xmlns:a16="http://schemas.microsoft.com/office/drawing/2014/main" id="{1E001D41-0315-49C0-8563-4A63298B60A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8" name="Rectangle 389">
          <a:extLst>
            <a:ext uri="{FF2B5EF4-FFF2-40B4-BE49-F238E27FC236}">
              <a16:creationId xmlns:a16="http://schemas.microsoft.com/office/drawing/2014/main" id="{859E36B4-7C6A-4BC5-8C78-34282F658E6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19" name="Rectangle 390">
          <a:extLst>
            <a:ext uri="{FF2B5EF4-FFF2-40B4-BE49-F238E27FC236}">
              <a16:creationId xmlns:a16="http://schemas.microsoft.com/office/drawing/2014/main" id="{E7649BD5-43CC-47E6-8660-D872DA0A22F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0" name="Rectangle 391">
          <a:extLst>
            <a:ext uri="{FF2B5EF4-FFF2-40B4-BE49-F238E27FC236}">
              <a16:creationId xmlns:a16="http://schemas.microsoft.com/office/drawing/2014/main" id="{A1657349-9B2B-4DC9-9903-9016E019A44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1" name="Rectangle 392">
          <a:extLst>
            <a:ext uri="{FF2B5EF4-FFF2-40B4-BE49-F238E27FC236}">
              <a16:creationId xmlns:a16="http://schemas.microsoft.com/office/drawing/2014/main" id="{F77A8843-C612-4735-A7DF-2ECB764E7D6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2" name="Rectangle 393">
          <a:extLst>
            <a:ext uri="{FF2B5EF4-FFF2-40B4-BE49-F238E27FC236}">
              <a16:creationId xmlns:a16="http://schemas.microsoft.com/office/drawing/2014/main" id="{F29AC060-7BDB-4934-A702-D6932CD22E7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3" name="Rectangle 394">
          <a:extLst>
            <a:ext uri="{FF2B5EF4-FFF2-40B4-BE49-F238E27FC236}">
              <a16:creationId xmlns:a16="http://schemas.microsoft.com/office/drawing/2014/main" id="{692FDB89-D76B-4C47-93BA-38551CD22C6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4" name="Rectangle 395">
          <a:extLst>
            <a:ext uri="{FF2B5EF4-FFF2-40B4-BE49-F238E27FC236}">
              <a16:creationId xmlns:a16="http://schemas.microsoft.com/office/drawing/2014/main" id="{8BAF4B23-356B-421E-A929-A97AB2B9E75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5" name="Rectangle 396">
          <a:extLst>
            <a:ext uri="{FF2B5EF4-FFF2-40B4-BE49-F238E27FC236}">
              <a16:creationId xmlns:a16="http://schemas.microsoft.com/office/drawing/2014/main" id="{E61DEE02-3D70-4E71-9B14-273A955B9C6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6" name="Rectangle 397">
          <a:extLst>
            <a:ext uri="{FF2B5EF4-FFF2-40B4-BE49-F238E27FC236}">
              <a16:creationId xmlns:a16="http://schemas.microsoft.com/office/drawing/2014/main" id="{574FDD93-0913-4B77-A314-941520FC0BB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7" name="Rectangle 398">
          <a:extLst>
            <a:ext uri="{FF2B5EF4-FFF2-40B4-BE49-F238E27FC236}">
              <a16:creationId xmlns:a16="http://schemas.microsoft.com/office/drawing/2014/main" id="{B2B02B8A-0112-4014-9741-E0FCC2C6F72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8" name="Rectangle 399">
          <a:extLst>
            <a:ext uri="{FF2B5EF4-FFF2-40B4-BE49-F238E27FC236}">
              <a16:creationId xmlns:a16="http://schemas.microsoft.com/office/drawing/2014/main" id="{9317E83B-5C3A-4006-9B03-4645106665F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29" name="Rectangle 400">
          <a:extLst>
            <a:ext uri="{FF2B5EF4-FFF2-40B4-BE49-F238E27FC236}">
              <a16:creationId xmlns:a16="http://schemas.microsoft.com/office/drawing/2014/main" id="{F8785044-55C3-432E-B4F5-0F0EAEEE380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0" name="Rectangle 401">
          <a:extLst>
            <a:ext uri="{FF2B5EF4-FFF2-40B4-BE49-F238E27FC236}">
              <a16:creationId xmlns:a16="http://schemas.microsoft.com/office/drawing/2014/main" id="{0D981D78-654C-4B8C-AC28-55718D824AF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1" name="Rectangle 402">
          <a:extLst>
            <a:ext uri="{FF2B5EF4-FFF2-40B4-BE49-F238E27FC236}">
              <a16:creationId xmlns:a16="http://schemas.microsoft.com/office/drawing/2014/main" id="{D6BA329E-47EC-4720-BC60-17F93BC32A07}"/>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2" name="Rectangle 403">
          <a:extLst>
            <a:ext uri="{FF2B5EF4-FFF2-40B4-BE49-F238E27FC236}">
              <a16:creationId xmlns:a16="http://schemas.microsoft.com/office/drawing/2014/main" id="{76828161-414B-4851-86AA-5F9047263FC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3" name="Rectangle 404">
          <a:extLst>
            <a:ext uri="{FF2B5EF4-FFF2-40B4-BE49-F238E27FC236}">
              <a16:creationId xmlns:a16="http://schemas.microsoft.com/office/drawing/2014/main" id="{ACCB3DFF-DCB3-491D-878E-C46A13DA53F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4" name="Rectangle 405">
          <a:extLst>
            <a:ext uri="{FF2B5EF4-FFF2-40B4-BE49-F238E27FC236}">
              <a16:creationId xmlns:a16="http://schemas.microsoft.com/office/drawing/2014/main" id="{E476EDC2-442C-49E5-9062-1F3FF49D714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5" name="Rectangle 406">
          <a:extLst>
            <a:ext uri="{FF2B5EF4-FFF2-40B4-BE49-F238E27FC236}">
              <a16:creationId xmlns:a16="http://schemas.microsoft.com/office/drawing/2014/main" id="{AE354B07-84CA-475A-A4A8-C5F932177E9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6" name="Rectangle 407">
          <a:extLst>
            <a:ext uri="{FF2B5EF4-FFF2-40B4-BE49-F238E27FC236}">
              <a16:creationId xmlns:a16="http://schemas.microsoft.com/office/drawing/2014/main" id="{DCDE14B2-BCE1-4EB7-A6C4-5A97D2DE0D3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437" name="Rectangle 408">
          <a:extLst>
            <a:ext uri="{FF2B5EF4-FFF2-40B4-BE49-F238E27FC236}">
              <a16:creationId xmlns:a16="http://schemas.microsoft.com/office/drawing/2014/main" id="{8CB2946B-6E4C-47CB-8B7B-9881A465BB5A}"/>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8" name="Rectangle 409">
          <a:extLst>
            <a:ext uri="{FF2B5EF4-FFF2-40B4-BE49-F238E27FC236}">
              <a16:creationId xmlns:a16="http://schemas.microsoft.com/office/drawing/2014/main" id="{EAEE64F5-8DC9-45DE-BB68-089BFED34E1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39" name="Rectangle 410">
          <a:extLst>
            <a:ext uri="{FF2B5EF4-FFF2-40B4-BE49-F238E27FC236}">
              <a16:creationId xmlns:a16="http://schemas.microsoft.com/office/drawing/2014/main" id="{E83CB005-527F-4A12-81CA-EBCA82202B7F}"/>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0" name="Rectangle 411">
          <a:extLst>
            <a:ext uri="{FF2B5EF4-FFF2-40B4-BE49-F238E27FC236}">
              <a16:creationId xmlns:a16="http://schemas.microsoft.com/office/drawing/2014/main" id="{DAF2EDF1-D29B-4EC9-9176-E055D70A845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1" name="Rectangle 412">
          <a:extLst>
            <a:ext uri="{FF2B5EF4-FFF2-40B4-BE49-F238E27FC236}">
              <a16:creationId xmlns:a16="http://schemas.microsoft.com/office/drawing/2014/main" id="{0CACB0E5-EB65-4FB2-8400-16CA50B76E6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2" name="Rectangle 413">
          <a:extLst>
            <a:ext uri="{FF2B5EF4-FFF2-40B4-BE49-F238E27FC236}">
              <a16:creationId xmlns:a16="http://schemas.microsoft.com/office/drawing/2014/main" id="{891C7753-012B-4B01-B2FD-3D35B5A6DF4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3" name="Rectangle 414">
          <a:extLst>
            <a:ext uri="{FF2B5EF4-FFF2-40B4-BE49-F238E27FC236}">
              <a16:creationId xmlns:a16="http://schemas.microsoft.com/office/drawing/2014/main" id="{32D96D2B-5706-48AB-B497-79A88DEEF4D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4" name="Rectangle 415">
          <a:extLst>
            <a:ext uri="{FF2B5EF4-FFF2-40B4-BE49-F238E27FC236}">
              <a16:creationId xmlns:a16="http://schemas.microsoft.com/office/drawing/2014/main" id="{4AFFA6A8-ED00-4435-A84F-7C9E09E739F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5" name="Rectangle 416">
          <a:extLst>
            <a:ext uri="{FF2B5EF4-FFF2-40B4-BE49-F238E27FC236}">
              <a16:creationId xmlns:a16="http://schemas.microsoft.com/office/drawing/2014/main" id="{CE796FE6-F2A9-43A9-B161-F7474872502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6" name="Rectangle 417">
          <a:extLst>
            <a:ext uri="{FF2B5EF4-FFF2-40B4-BE49-F238E27FC236}">
              <a16:creationId xmlns:a16="http://schemas.microsoft.com/office/drawing/2014/main" id="{EB8ABAED-C31C-4B63-A518-99CE56067D3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7" name="Rectangle 418">
          <a:extLst>
            <a:ext uri="{FF2B5EF4-FFF2-40B4-BE49-F238E27FC236}">
              <a16:creationId xmlns:a16="http://schemas.microsoft.com/office/drawing/2014/main" id="{1ACB4CB4-771D-4353-A2C9-CC785587DCE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8" name="Rectangle 419">
          <a:extLst>
            <a:ext uri="{FF2B5EF4-FFF2-40B4-BE49-F238E27FC236}">
              <a16:creationId xmlns:a16="http://schemas.microsoft.com/office/drawing/2014/main" id="{E0EB8F4C-D33F-443E-BB96-35717312197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49" name="Rectangle 420">
          <a:extLst>
            <a:ext uri="{FF2B5EF4-FFF2-40B4-BE49-F238E27FC236}">
              <a16:creationId xmlns:a16="http://schemas.microsoft.com/office/drawing/2014/main" id="{D9AD6BB9-86B6-4906-8532-D0993544C91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0" name="Rectangle 421">
          <a:extLst>
            <a:ext uri="{FF2B5EF4-FFF2-40B4-BE49-F238E27FC236}">
              <a16:creationId xmlns:a16="http://schemas.microsoft.com/office/drawing/2014/main" id="{94E6B5FA-1AF1-412B-86D5-12ABD53B492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1" name="Rectangle 422">
          <a:extLst>
            <a:ext uri="{FF2B5EF4-FFF2-40B4-BE49-F238E27FC236}">
              <a16:creationId xmlns:a16="http://schemas.microsoft.com/office/drawing/2014/main" id="{8B0F649B-C742-4227-A4E9-92A39DA1DA99}"/>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2" name="Rectangle 423">
          <a:extLst>
            <a:ext uri="{FF2B5EF4-FFF2-40B4-BE49-F238E27FC236}">
              <a16:creationId xmlns:a16="http://schemas.microsoft.com/office/drawing/2014/main" id="{98CA4E07-9043-41B9-8792-66CB15633A0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3" name="Rectangle 424">
          <a:extLst>
            <a:ext uri="{FF2B5EF4-FFF2-40B4-BE49-F238E27FC236}">
              <a16:creationId xmlns:a16="http://schemas.microsoft.com/office/drawing/2014/main" id="{55F9B39A-C440-4A39-B960-B3B7B3495A7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4" name="Rectangle 425">
          <a:extLst>
            <a:ext uri="{FF2B5EF4-FFF2-40B4-BE49-F238E27FC236}">
              <a16:creationId xmlns:a16="http://schemas.microsoft.com/office/drawing/2014/main" id="{C9E8B78F-DC71-488B-AE3A-04229765BA8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5" name="Rectangle 426">
          <a:extLst>
            <a:ext uri="{FF2B5EF4-FFF2-40B4-BE49-F238E27FC236}">
              <a16:creationId xmlns:a16="http://schemas.microsoft.com/office/drawing/2014/main" id="{75CC0C03-16A3-41C7-B970-CB7A034853D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456" name="Rectangle 427">
          <a:extLst>
            <a:ext uri="{FF2B5EF4-FFF2-40B4-BE49-F238E27FC236}">
              <a16:creationId xmlns:a16="http://schemas.microsoft.com/office/drawing/2014/main" id="{17819DB8-3DF5-44D1-8977-3AFCE1AA1296}"/>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7" name="Rectangle 428">
          <a:extLst>
            <a:ext uri="{FF2B5EF4-FFF2-40B4-BE49-F238E27FC236}">
              <a16:creationId xmlns:a16="http://schemas.microsoft.com/office/drawing/2014/main" id="{E133BF74-0D3E-421E-BE03-751FBDA9D544}"/>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8" name="Rectangle 429">
          <a:extLst>
            <a:ext uri="{FF2B5EF4-FFF2-40B4-BE49-F238E27FC236}">
              <a16:creationId xmlns:a16="http://schemas.microsoft.com/office/drawing/2014/main" id="{A9F100CE-9904-42CB-8F03-0FD6BD1BAE83}"/>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59" name="Rectangle 430">
          <a:extLst>
            <a:ext uri="{FF2B5EF4-FFF2-40B4-BE49-F238E27FC236}">
              <a16:creationId xmlns:a16="http://schemas.microsoft.com/office/drawing/2014/main" id="{47894B53-F630-44CA-B415-C84512BEAE1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0" name="Rectangle 431">
          <a:extLst>
            <a:ext uri="{FF2B5EF4-FFF2-40B4-BE49-F238E27FC236}">
              <a16:creationId xmlns:a16="http://schemas.microsoft.com/office/drawing/2014/main" id="{74EFA7C4-0FC9-4B07-AF06-0E4C4D0CC2E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1" name="Rectangle 432">
          <a:extLst>
            <a:ext uri="{FF2B5EF4-FFF2-40B4-BE49-F238E27FC236}">
              <a16:creationId xmlns:a16="http://schemas.microsoft.com/office/drawing/2014/main" id="{1C142AFC-6943-4104-B522-B15E07CAEA7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2" name="Rectangle 433">
          <a:extLst>
            <a:ext uri="{FF2B5EF4-FFF2-40B4-BE49-F238E27FC236}">
              <a16:creationId xmlns:a16="http://schemas.microsoft.com/office/drawing/2014/main" id="{3FFA13E9-55D7-4CEC-89C5-7BD41CBC94E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463" name="Rectangle 434">
          <a:extLst>
            <a:ext uri="{FF2B5EF4-FFF2-40B4-BE49-F238E27FC236}">
              <a16:creationId xmlns:a16="http://schemas.microsoft.com/office/drawing/2014/main" id="{59D6CFCA-CD58-4337-9D96-4594095847F6}"/>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4" name="Rectangle 435">
          <a:extLst>
            <a:ext uri="{FF2B5EF4-FFF2-40B4-BE49-F238E27FC236}">
              <a16:creationId xmlns:a16="http://schemas.microsoft.com/office/drawing/2014/main" id="{BBC671F3-A0A2-451A-8F5A-9D588CD68B18}"/>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5" name="Rectangle 436">
          <a:extLst>
            <a:ext uri="{FF2B5EF4-FFF2-40B4-BE49-F238E27FC236}">
              <a16:creationId xmlns:a16="http://schemas.microsoft.com/office/drawing/2014/main" id="{AA546CCD-EF2A-45CB-8B52-16A8E6B3A7D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6" name="Rectangle 437">
          <a:extLst>
            <a:ext uri="{FF2B5EF4-FFF2-40B4-BE49-F238E27FC236}">
              <a16:creationId xmlns:a16="http://schemas.microsoft.com/office/drawing/2014/main" id="{C0431989-38F3-48D7-B770-E50936ADDBEE}"/>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7" name="Rectangle 438">
          <a:extLst>
            <a:ext uri="{FF2B5EF4-FFF2-40B4-BE49-F238E27FC236}">
              <a16:creationId xmlns:a16="http://schemas.microsoft.com/office/drawing/2014/main" id="{909A6FBE-FBA1-498A-8680-5A99E696ABA0}"/>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8" name="Rectangle 439">
          <a:extLst>
            <a:ext uri="{FF2B5EF4-FFF2-40B4-BE49-F238E27FC236}">
              <a16:creationId xmlns:a16="http://schemas.microsoft.com/office/drawing/2014/main" id="{D37DC3FE-58AF-4024-B27D-495CB28F7C0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69" name="Rectangle 440">
          <a:extLst>
            <a:ext uri="{FF2B5EF4-FFF2-40B4-BE49-F238E27FC236}">
              <a16:creationId xmlns:a16="http://schemas.microsoft.com/office/drawing/2014/main" id="{9B1400E4-622D-43BA-A213-2D70AA9040E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470" name="Rectangle 441">
          <a:extLst>
            <a:ext uri="{FF2B5EF4-FFF2-40B4-BE49-F238E27FC236}">
              <a16:creationId xmlns:a16="http://schemas.microsoft.com/office/drawing/2014/main" id="{F9F9D06A-037D-40E4-8510-E9E284889A1F}"/>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71" name="Rectangle 442">
          <a:extLst>
            <a:ext uri="{FF2B5EF4-FFF2-40B4-BE49-F238E27FC236}">
              <a16:creationId xmlns:a16="http://schemas.microsoft.com/office/drawing/2014/main" id="{2618657D-3ADD-405B-9F84-03DD01C8C902}"/>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72" name="Rectangle 443">
          <a:extLst>
            <a:ext uri="{FF2B5EF4-FFF2-40B4-BE49-F238E27FC236}">
              <a16:creationId xmlns:a16="http://schemas.microsoft.com/office/drawing/2014/main" id="{C602D24A-B96C-4304-8F22-0D10333E90D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73" name="Rectangle 444">
          <a:extLst>
            <a:ext uri="{FF2B5EF4-FFF2-40B4-BE49-F238E27FC236}">
              <a16:creationId xmlns:a16="http://schemas.microsoft.com/office/drawing/2014/main" id="{1F5330BF-592E-4D40-BC89-F2BC93BAB7AD}"/>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74" name="Rectangle 445">
          <a:extLst>
            <a:ext uri="{FF2B5EF4-FFF2-40B4-BE49-F238E27FC236}">
              <a16:creationId xmlns:a16="http://schemas.microsoft.com/office/drawing/2014/main" id="{AB70A875-BB8B-47EB-B638-B536893B303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75" name="Rectangle 446">
          <a:extLst>
            <a:ext uri="{FF2B5EF4-FFF2-40B4-BE49-F238E27FC236}">
              <a16:creationId xmlns:a16="http://schemas.microsoft.com/office/drawing/2014/main" id="{220F8073-7564-4ECF-877B-788985D3E4CC}"/>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76" name="Rectangle 447">
          <a:extLst>
            <a:ext uri="{FF2B5EF4-FFF2-40B4-BE49-F238E27FC236}">
              <a16:creationId xmlns:a16="http://schemas.microsoft.com/office/drawing/2014/main" id="{067A6758-FEC7-47D3-AFE3-F7E4F3151EA6}"/>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1</xdr:row>
      <xdr:rowOff>0</xdr:rowOff>
    </xdr:from>
    <xdr:ext cx="28854" cy="132665"/>
    <xdr:sp macro="" textlink="">
      <xdr:nvSpPr>
        <xdr:cNvPr id="477" name="Rectangle 448">
          <a:extLst>
            <a:ext uri="{FF2B5EF4-FFF2-40B4-BE49-F238E27FC236}">
              <a16:creationId xmlns:a16="http://schemas.microsoft.com/office/drawing/2014/main" id="{9A857289-E42E-4EF0-9388-22EEA6FF79F6}"/>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78" name="Rectangle 449">
          <a:extLst>
            <a:ext uri="{FF2B5EF4-FFF2-40B4-BE49-F238E27FC236}">
              <a16:creationId xmlns:a16="http://schemas.microsoft.com/office/drawing/2014/main" id="{B0C8BE2E-0085-4296-8D92-ED7161681665}"/>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79" name="Rectangle 450">
          <a:extLst>
            <a:ext uri="{FF2B5EF4-FFF2-40B4-BE49-F238E27FC236}">
              <a16:creationId xmlns:a16="http://schemas.microsoft.com/office/drawing/2014/main" id="{1B50C21C-7943-4E6E-93E3-4C97FC44C08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80" name="Rectangle 451">
          <a:extLst>
            <a:ext uri="{FF2B5EF4-FFF2-40B4-BE49-F238E27FC236}">
              <a16:creationId xmlns:a16="http://schemas.microsoft.com/office/drawing/2014/main" id="{188EB99B-863E-441F-B451-A63515EBE74B}"/>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81" name="Rectangle 452">
          <a:extLst>
            <a:ext uri="{FF2B5EF4-FFF2-40B4-BE49-F238E27FC236}">
              <a16:creationId xmlns:a16="http://schemas.microsoft.com/office/drawing/2014/main" id="{1889D2F9-9B7F-4489-876C-1DEAE98EA5F1}"/>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82" name="Rectangle 453">
          <a:extLst>
            <a:ext uri="{FF2B5EF4-FFF2-40B4-BE49-F238E27FC236}">
              <a16:creationId xmlns:a16="http://schemas.microsoft.com/office/drawing/2014/main" id="{968481D9-E4A9-450E-B8CD-28798F75558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83" name="Rectangle 454">
          <a:extLst>
            <a:ext uri="{FF2B5EF4-FFF2-40B4-BE49-F238E27FC236}">
              <a16:creationId xmlns:a16="http://schemas.microsoft.com/office/drawing/2014/main" id="{4045F4F3-52B0-4585-9D48-B0AD65439F7A}"/>
            </a:ext>
          </a:extLst>
        </xdr:cNvPr>
        <xdr:cNvSpPr>
          <a:spLocks noChangeArrowheads="1"/>
        </xdr:cNvSpPr>
      </xdr:nvSpPr>
      <xdr:spPr bwMode="auto">
        <a:xfrm>
          <a:off x="7048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19050</xdr:colOff>
      <xdr:row>0</xdr:row>
      <xdr:rowOff>0</xdr:rowOff>
    </xdr:from>
    <xdr:ext cx="28854" cy="132665"/>
    <xdr:sp macro="" textlink="">
      <xdr:nvSpPr>
        <xdr:cNvPr id="2" name="Rectangle 238">
          <a:extLst>
            <a:ext uri="{FF2B5EF4-FFF2-40B4-BE49-F238E27FC236}">
              <a16:creationId xmlns:a16="http://schemas.microsoft.com/office/drawing/2014/main" id="{DFE6FEA6-2C26-4D29-9C22-3B389CB53ED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 name="Rectangle 249">
          <a:extLst>
            <a:ext uri="{FF2B5EF4-FFF2-40B4-BE49-F238E27FC236}">
              <a16:creationId xmlns:a16="http://schemas.microsoft.com/office/drawing/2014/main" id="{73FFB4A1-2868-435F-A1B5-8DA3F17ADD1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 name="Rectangle 251">
          <a:extLst>
            <a:ext uri="{FF2B5EF4-FFF2-40B4-BE49-F238E27FC236}">
              <a16:creationId xmlns:a16="http://schemas.microsoft.com/office/drawing/2014/main" id="{793D8301-CE6E-40BD-B6C7-ECA0CFA0D99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 name="Rectangle 253">
          <a:extLst>
            <a:ext uri="{FF2B5EF4-FFF2-40B4-BE49-F238E27FC236}">
              <a16:creationId xmlns:a16="http://schemas.microsoft.com/office/drawing/2014/main" id="{6EA49A5B-2762-485A-A03F-A2DB504E20B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 name="Rectangle 254">
          <a:extLst>
            <a:ext uri="{FF2B5EF4-FFF2-40B4-BE49-F238E27FC236}">
              <a16:creationId xmlns:a16="http://schemas.microsoft.com/office/drawing/2014/main" id="{FEC3E058-1136-4119-8C1D-B5D73B39B76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 name="Rectangle 255">
          <a:extLst>
            <a:ext uri="{FF2B5EF4-FFF2-40B4-BE49-F238E27FC236}">
              <a16:creationId xmlns:a16="http://schemas.microsoft.com/office/drawing/2014/main" id="{3B77FAB4-9103-479E-B64E-5D60F28007E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 name="Rectangle 257">
          <a:extLst>
            <a:ext uri="{FF2B5EF4-FFF2-40B4-BE49-F238E27FC236}">
              <a16:creationId xmlns:a16="http://schemas.microsoft.com/office/drawing/2014/main" id="{BCFE642D-619E-4F17-B818-B572292F411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 name="Rectangle 258">
          <a:extLst>
            <a:ext uri="{FF2B5EF4-FFF2-40B4-BE49-F238E27FC236}">
              <a16:creationId xmlns:a16="http://schemas.microsoft.com/office/drawing/2014/main" id="{EB8C3C59-9D59-4C17-80C9-5D1A57A1D5C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 name="Rectangle 259">
          <a:extLst>
            <a:ext uri="{FF2B5EF4-FFF2-40B4-BE49-F238E27FC236}">
              <a16:creationId xmlns:a16="http://schemas.microsoft.com/office/drawing/2014/main" id="{4180FD1B-4F5E-4564-BA5C-68B8A045C89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 name="Rectangle 260">
          <a:extLst>
            <a:ext uri="{FF2B5EF4-FFF2-40B4-BE49-F238E27FC236}">
              <a16:creationId xmlns:a16="http://schemas.microsoft.com/office/drawing/2014/main" id="{8C6974B9-E0E5-4845-AA70-EA5617003A8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 name="Rectangle 261">
          <a:extLst>
            <a:ext uri="{FF2B5EF4-FFF2-40B4-BE49-F238E27FC236}">
              <a16:creationId xmlns:a16="http://schemas.microsoft.com/office/drawing/2014/main" id="{12B0CD83-E481-4FCD-9ED8-5E4885C0A95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 name="Rectangle 262">
          <a:extLst>
            <a:ext uri="{FF2B5EF4-FFF2-40B4-BE49-F238E27FC236}">
              <a16:creationId xmlns:a16="http://schemas.microsoft.com/office/drawing/2014/main" id="{D3FA0D61-2063-4ED1-8620-1DCFA95EEFC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4" name="Rectangle 263">
          <a:extLst>
            <a:ext uri="{FF2B5EF4-FFF2-40B4-BE49-F238E27FC236}">
              <a16:creationId xmlns:a16="http://schemas.microsoft.com/office/drawing/2014/main" id="{F07BB41D-ECCA-4180-835A-67396DDAF762}"/>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 name="Rectangle 264">
          <a:extLst>
            <a:ext uri="{FF2B5EF4-FFF2-40B4-BE49-F238E27FC236}">
              <a16:creationId xmlns:a16="http://schemas.microsoft.com/office/drawing/2014/main" id="{B22D7C42-0362-448D-B394-7722317DFB1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 name="Rectangle 265">
          <a:extLst>
            <a:ext uri="{FF2B5EF4-FFF2-40B4-BE49-F238E27FC236}">
              <a16:creationId xmlns:a16="http://schemas.microsoft.com/office/drawing/2014/main" id="{2F87F3AB-0487-4716-A229-2F49D741A09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 name="Rectangle 266">
          <a:extLst>
            <a:ext uri="{FF2B5EF4-FFF2-40B4-BE49-F238E27FC236}">
              <a16:creationId xmlns:a16="http://schemas.microsoft.com/office/drawing/2014/main" id="{4D627D8A-2C6C-4711-A711-A378A50118F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 name="Rectangle 267">
          <a:extLst>
            <a:ext uri="{FF2B5EF4-FFF2-40B4-BE49-F238E27FC236}">
              <a16:creationId xmlns:a16="http://schemas.microsoft.com/office/drawing/2014/main" id="{575DDF55-2FD0-49F6-ACCB-13BB9192EE9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 name="Rectangle 268">
          <a:extLst>
            <a:ext uri="{FF2B5EF4-FFF2-40B4-BE49-F238E27FC236}">
              <a16:creationId xmlns:a16="http://schemas.microsoft.com/office/drawing/2014/main" id="{D16C52D8-9B7B-4795-A362-CCCBCA2F2EB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 name="Rectangle 269">
          <a:extLst>
            <a:ext uri="{FF2B5EF4-FFF2-40B4-BE49-F238E27FC236}">
              <a16:creationId xmlns:a16="http://schemas.microsoft.com/office/drawing/2014/main" id="{AE329C32-9C3D-49AC-B6FE-9CABA0A3220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 name="Rectangle 270">
          <a:extLst>
            <a:ext uri="{FF2B5EF4-FFF2-40B4-BE49-F238E27FC236}">
              <a16:creationId xmlns:a16="http://schemas.microsoft.com/office/drawing/2014/main" id="{450A299C-9C2B-4088-A8D9-F952280593D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 name="Rectangle 271">
          <a:extLst>
            <a:ext uri="{FF2B5EF4-FFF2-40B4-BE49-F238E27FC236}">
              <a16:creationId xmlns:a16="http://schemas.microsoft.com/office/drawing/2014/main" id="{7838742F-50FF-454A-AB65-1705D7E0BBE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 name="Rectangle 272">
          <a:extLst>
            <a:ext uri="{FF2B5EF4-FFF2-40B4-BE49-F238E27FC236}">
              <a16:creationId xmlns:a16="http://schemas.microsoft.com/office/drawing/2014/main" id="{A6D090B2-1206-4BBB-A812-CD59E232DAC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 name="Rectangle 273">
          <a:extLst>
            <a:ext uri="{FF2B5EF4-FFF2-40B4-BE49-F238E27FC236}">
              <a16:creationId xmlns:a16="http://schemas.microsoft.com/office/drawing/2014/main" id="{3135F316-BFCB-4B99-A0C7-5CA18070ECF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 name="Rectangle 274">
          <a:extLst>
            <a:ext uri="{FF2B5EF4-FFF2-40B4-BE49-F238E27FC236}">
              <a16:creationId xmlns:a16="http://schemas.microsoft.com/office/drawing/2014/main" id="{7362143E-46C1-4F9C-B49D-86163021D39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 name="Rectangle 275">
          <a:extLst>
            <a:ext uri="{FF2B5EF4-FFF2-40B4-BE49-F238E27FC236}">
              <a16:creationId xmlns:a16="http://schemas.microsoft.com/office/drawing/2014/main" id="{F5744BA9-AB21-466E-8A09-30C1460F8CA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27" name="Rectangle 276">
          <a:extLst>
            <a:ext uri="{FF2B5EF4-FFF2-40B4-BE49-F238E27FC236}">
              <a16:creationId xmlns:a16="http://schemas.microsoft.com/office/drawing/2014/main" id="{A785D25B-3C72-4712-A078-B79C4CE0946C}"/>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 name="Rectangle 277">
          <a:extLst>
            <a:ext uri="{FF2B5EF4-FFF2-40B4-BE49-F238E27FC236}">
              <a16:creationId xmlns:a16="http://schemas.microsoft.com/office/drawing/2014/main" id="{A677CBE8-BE1D-426F-A89C-1A483B70A6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 name="Rectangle 278">
          <a:extLst>
            <a:ext uri="{FF2B5EF4-FFF2-40B4-BE49-F238E27FC236}">
              <a16:creationId xmlns:a16="http://schemas.microsoft.com/office/drawing/2014/main" id="{79A27FDA-F9EE-4B54-B3FF-DE5F1C424E9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 name="Rectangle 279">
          <a:extLst>
            <a:ext uri="{FF2B5EF4-FFF2-40B4-BE49-F238E27FC236}">
              <a16:creationId xmlns:a16="http://schemas.microsoft.com/office/drawing/2014/main" id="{F24EFB6F-221E-4FB5-9298-877A23536D1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 name="Rectangle 280">
          <a:extLst>
            <a:ext uri="{FF2B5EF4-FFF2-40B4-BE49-F238E27FC236}">
              <a16:creationId xmlns:a16="http://schemas.microsoft.com/office/drawing/2014/main" id="{388C134F-0D9D-4133-BB71-F4FFFD0DCE1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 name="Rectangle 281">
          <a:extLst>
            <a:ext uri="{FF2B5EF4-FFF2-40B4-BE49-F238E27FC236}">
              <a16:creationId xmlns:a16="http://schemas.microsoft.com/office/drawing/2014/main" id="{C25D44A0-9BD7-4EC8-8885-AEF02234C34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 name="Rectangle 282">
          <a:extLst>
            <a:ext uri="{FF2B5EF4-FFF2-40B4-BE49-F238E27FC236}">
              <a16:creationId xmlns:a16="http://schemas.microsoft.com/office/drawing/2014/main" id="{2B6C2CFB-5A88-4EBE-9E7B-4F681603209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 name="Rectangle 283">
          <a:extLst>
            <a:ext uri="{FF2B5EF4-FFF2-40B4-BE49-F238E27FC236}">
              <a16:creationId xmlns:a16="http://schemas.microsoft.com/office/drawing/2014/main" id="{32C6B0D6-3D87-4FCD-9B52-393CC0B7B7C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 name="Rectangle 284">
          <a:extLst>
            <a:ext uri="{FF2B5EF4-FFF2-40B4-BE49-F238E27FC236}">
              <a16:creationId xmlns:a16="http://schemas.microsoft.com/office/drawing/2014/main" id="{489E5E9D-2E33-4B34-9205-185BAB48D70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 name="Rectangle 285">
          <a:extLst>
            <a:ext uri="{FF2B5EF4-FFF2-40B4-BE49-F238E27FC236}">
              <a16:creationId xmlns:a16="http://schemas.microsoft.com/office/drawing/2014/main" id="{744527DB-B383-48B9-9FF5-86C23007E7A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 name="Rectangle 286">
          <a:extLst>
            <a:ext uri="{FF2B5EF4-FFF2-40B4-BE49-F238E27FC236}">
              <a16:creationId xmlns:a16="http://schemas.microsoft.com/office/drawing/2014/main" id="{3A83756E-D52F-427A-9D63-E61B51DE6DC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 name="Rectangle 287">
          <a:extLst>
            <a:ext uri="{FF2B5EF4-FFF2-40B4-BE49-F238E27FC236}">
              <a16:creationId xmlns:a16="http://schemas.microsoft.com/office/drawing/2014/main" id="{D3D891A9-783D-4C1F-A1D3-992DE0F027B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 name="Rectangle 288">
          <a:extLst>
            <a:ext uri="{FF2B5EF4-FFF2-40B4-BE49-F238E27FC236}">
              <a16:creationId xmlns:a16="http://schemas.microsoft.com/office/drawing/2014/main" id="{2A5A37F9-3FA2-4C86-BE5E-298912666C8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 name="Rectangle 289">
          <a:extLst>
            <a:ext uri="{FF2B5EF4-FFF2-40B4-BE49-F238E27FC236}">
              <a16:creationId xmlns:a16="http://schemas.microsoft.com/office/drawing/2014/main" id="{ABDFE586-77E0-4663-9688-CDD0A330DEC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 name="Rectangle 290">
          <a:extLst>
            <a:ext uri="{FF2B5EF4-FFF2-40B4-BE49-F238E27FC236}">
              <a16:creationId xmlns:a16="http://schemas.microsoft.com/office/drawing/2014/main" id="{2D3F2D12-161E-48A2-8E2B-E365DEC0604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 name="Rectangle 291">
          <a:extLst>
            <a:ext uri="{FF2B5EF4-FFF2-40B4-BE49-F238E27FC236}">
              <a16:creationId xmlns:a16="http://schemas.microsoft.com/office/drawing/2014/main" id="{7E478D49-7C04-4554-8118-947A5361206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 name="Rectangle 292">
          <a:extLst>
            <a:ext uri="{FF2B5EF4-FFF2-40B4-BE49-F238E27FC236}">
              <a16:creationId xmlns:a16="http://schemas.microsoft.com/office/drawing/2014/main" id="{2ACA8C9B-261B-4C4E-874F-4D32E86CC7F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 name="Rectangle 293">
          <a:extLst>
            <a:ext uri="{FF2B5EF4-FFF2-40B4-BE49-F238E27FC236}">
              <a16:creationId xmlns:a16="http://schemas.microsoft.com/office/drawing/2014/main" id="{4FA13122-1CF5-4294-85FC-A9BDF3F7AB2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 name="Rectangle 294">
          <a:extLst>
            <a:ext uri="{FF2B5EF4-FFF2-40B4-BE49-F238E27FC236}">
              <a16:creationId xmlns:a16="http://schemas.microsoft.com/office/drawing/2014/main" id="{9B002AC4-16CA-43CB-BAF9-0FFBA03BDC8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46" name="Rectangle 295">
          <a:extLst>
            <a:ext uri="{FF2B5EF4-FFF2-40B4-BE49-F238E27FC236}">
              <a16:creationId xmlns:a16="http://schemas.microsoft.com/office/drawing/2014/main" id="{1772DC79-EBA6-42F2-813E-CE098BBCECC0}"/>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 name="Rectangle 296">
          <a:extLst>
            <a:ext uri="{FF2B5EF4-FFF2-40B4-BE49-F238E27FC236}">
              <a16:creationId xmlns:a16="http://schemas.microsoft.com/office/drawing/2014/main" id="{2AD69E86-BF45-4B0C-BD20-B43E22FB340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 name="Rectangle 297">
          <a:extLst>
            <a:ext uri="{FF2B5EF4-FFF2-40B4-BE49-F238E27FC236}">
              <a16:creationId xmlns:a16="http://schemas.microsoft.com/office/drawing/2014/main" id="{9D38EE30-8021-42C5-AEF8-DDD93D53BEE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 name="Rectangle 298">
          <a:extLst>
            <a:ext uri="{FF2B5EF4-FFF2-40B4-BE49-F238E27FC236}">
              <a16:creationId xmlns:a16="http://schemas.microsoft.com/office/drawing/2014/main" id="{46FDCE3D-A431-46FA-9475-15BF442F06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 name="Rectangle 299">
          <a:extLst>
            <a:ext uri="{FF2B5EF4-FFF2-40B4-BE49-F238E27FC236}">
              <a16:creationId xmlns:a16="http://schemas.microsoft.com/office/drawing/2014/main" id="{258583CF-EA5E-4A32-AAEE-7A69A65EC19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 name="Rectangle 300">
          <a:extLst>
            <a:ext uri="{FF2B5EF4-FFF2-40B4-BE49-F238E27FC236}">
              <a16:creationId xmlns:a16="http://schemas.microsoft.com/office/drawing/2014/main" id="{35C8D91A-E716-4FA9-AFB2-57BB29FB9AF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 name="Rectangle 301">
          <a:extLst>
            <a:ext uri="{FF2B5EF4-FFF2-40B4-BE49-F238E27FC236}">
              <a16:creationId xmlns:a16="http://schemas.microsoft.com/office/drawing/2014/main" id="{32DEB38F-24AE-4A1A-B57C-21CE3924E1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 name="Rectangle 302">
          <a:extLst>
            <a:ext uri="{FF2B5EF4-FFF2-40B4-BE49-F238E27FC236}">
              <a16:creationId xmlns:a16="http://schemas.microsoft.com/office/drawing/2014/main" id="{CF2F7863-72C6-4F8B-9415-868DF2D3B2B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 name="Rectangle 303">
          <a:extLst>
            <a:ext uri="{FF2B5EF4-FFF2-40B4-BE49-F238E27FC236}">
              <a16:creationId xmlns:a16="http://schemas.microsoft.com/office/drawing/2014/main" id="{BBD6E319-31CB-45F2-ACD6-73DE107BC38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 name="Rectangle 304">
          <a:extLst>
            <a:ext uri="{FF2B5EF4-FFF2-40B4-BE49-F238E27FC236}">
              <a16:creationId xmlns:a16="http://schemas.microsoft.com/office/drawing/2014/main" id="{49A782DC-0BD9-436E-94C6-E579F9260F0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 name="Rectangle 305">
          <a:extLst>
            <a:ext uri="{FF2B5EF4-FFF2-40B4-BE49-F238E27FC236}">
              <a16:creationId xmlns:a16="http://schemas.microsoft.com/office/drawing/2014/main" id="{1C11783F-22B6-407B-81E4-11C00D5F81D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 name="Rectangle 306">
          <a:extLst>
            <a:ext uri="{FF2B5EF4-FFF2-40B4-BE49-F238E27FC236}">
              <a16:creationId xmlns:a16="http://schemas.microsoft.com/office/drawing/2014/main" id="{5C8C98D5-E4D4-40AD-B4A5-EB436D3E6D2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 name="Rectangle 307">
          <a:extLst>
            <a:ext uri="{FF2B5EF4-FFF2-40B4-BE49-F238E27FC236}">
              <a16:creationId xmlns:a16="http://schemas.microsoft.com/office/drawing/2014/main" id="{5011DEC1-BC00-4D02-9AB5-40D0D49276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 name="Rectangle 308">
          <a:extLst>
            <a:ext uri="{FF2B5EF4-FFF2-40B4-BE49-F238E27FC236}">
              <a16:creationId xmlns:a16="http://schemas.microsoft.com/office/drawing/2014/main" id="{D75BD76E-68DF-4C75-81F4-3FFE3E9E857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 name="Rectangle 309">
          <a:extLst>
            <a:ext uri="{FF2B5EF4-FFF2-40B4-BE49-F238E27FC236}">
              <a16:creationId xmlns:a16="http://schemas.microsoft.com/office/drawing/2014/main" id="{8CF8837E-0A41-41C8-9D52-0B73B5691B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 name="Rectangle 310">
          <a:extLst>
            <a:ext uri="{FF2B5EF4-FFF2-40B4-BE49-F238E27FC236}">
              <a16:creationId xmlns:a16="http://schemas.microsoft.com/office/drawing/2014/main" id="{FA76ED73-4F22-4A4C-9D58-56C9A62E30B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 name="Rectangle 311">
          <a:extLst>
            <a:ext uri="{FF2B5EF4-FFF2-40B4-BE49-F238E27FC236}">
              <a16:creationId xmlns:a16="http://schemas.microsoft.com/office/drawing/2014/main" id="{73F9F0E6-9B29-415C-9ADF-B166CE45190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 name="Rectangle 312">
          <a:extLst>
            <a:ext uri="{FF2B5EF4-FFF2-40B4-BE49-F238E27FC236}">
              <a16:creationId xmlns:a16="http://schemas.microsoft.com/office/drawing/2014/main" id="{E446C7EA-E9FB-4CCF-8FA5-04ED32B3B02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 name="Rectangle 313">
          <a:extLst>
            <a:ext uri="{FF2B5EF4-FFF2-40B4-BE49-F238E27FC236}">
              <a16:creationId xmlns:a16="http://schemas.microsoft.com/office/drawing/2014/main" id="{05FE4448-9DFC-443A-A162-3A1FE28336C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 name="Rectangle 314">
          <a:extLst>
            <a:ext uri="{FF2B5EF4-FFF2-40B4-BE49-F238E27FC236}">
              <a16:creationId xmlns:a16="http://schemas.microsoft.com/office/drawing/2014/main" id="{D322435B-9247-4DA7-9EE3-3468C618D2C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 name="Rectangle 315">
          <a:extLst>
            <a:ext uri="{FF2B5EF4-FFF2-40B4-BE49-F238E27FC236}">
              <a16:creationId xmlns:a16="http://schemas.microsoft.com/office/drawing/2014/main" id="{18037FDB-3765-483B-9A95-90205CBAB30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 name="Rectangle 316">
          <a:extLst>
            <a:ext uri="{FF2B5EF4-FFF2-40B4-BE49-F238E27FC236}">
              <a16:creationId xmlns:a16="http://schemas.microsoft.com/office/drawing/2014/main" id="{77E9C92B-8BF6-4894-8833-775A0EFD197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 name="Rectangle 317">
          <a:extLst>
            <a:ext uri="{FF2B5EF4-FFF2-40B4-BE49-F238E27FC236}">
              <a16:creationId xmlns:a16="http://schemas.microsoft.com/office/drawing/2014/main" id="{36399CF4-BDFF-4591-A48F-936C8813B64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 name="Rectangle 318">
          <a:extLst>
            <a:ext uri="{FF2B5EF4-FFF2-40B4-BE49-F238E27FC236}">
              <a16:creationId xmlns:a16="http://schemas.microsoft.com/office/drawing/2014/main" id="{3568D5F1-7263-441E-A966-45A33AE7E52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 name="Rectangle 319">
          <a:extLst>
            <a:ext uri="{FF2B5EF4-FFF2-40B4-BE49-F238E27FC236}">
              <a16:creationId xmlns:a16="http://schemas.microsoft.com/office/drawing/2014/main" id="{DC2B50E3-E70D-49AF-9E39-1CC4B155BDF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71" name="Rectangle 320">
          <a:extLst>
            <a:ext uri="{FF2B5EF4-FFF2-40B4-BE49-F238E27FC236}">
              <a16:creationId xmlns:a16="http://schemas.microsoft.com/office/drawing/2014/main" id="{BD9A65F7-34A6-4300-8EDC-35670CBD7692}"/>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 name="Rectangle 321">
          <a:extLst>
            <a:ext uri="{FF2B5EF4-FFF2-40B4-BE49-F238E27FC236}">
              <a16:creationId xmlns:a16="http://schemas.microsoft.com/office/drawing/2014/main" id="{2917BB68-4B8D-40AA-9596-F50E14AB74C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 name="Rectangle 322">
          <a:extLst>
            <a:ext uri="{FF2B5EF4-FFF2-40B4-BE49-F238E27FC236}">
              <a16:creationId xmlns:a16="http://schemas.microsoft.com/office/drawing/2014/main" id="{B532B524-A2A8-47E1-841E-D0570B7EE5B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 name="Rectangle 323">
          <a:extLst>
            <a:ext uri="{FF2B5EF4-FFF2-40B4-BE49-F238E27FC236}">
              <a16:creationId xmlns:a16="http://schemas.microsoft.com/office/drawing/2014/main" id="{40970AB5-EC0D-42A3-9641-8A7FF620374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 name="Rectangle 324">
          <a:extLst>
            <a:ext uri="{FF2B5EF4-FFF2-40B4-BE49-F238E27FC236}">
              <a16:creationId xmlns:a16="http://schemas.microsoft.com/office/drawing/2014/main" id="{3D9CF300-3C94-4B63-9A4A-0C617516072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 name="Rectangle 325">
          <a:extLst>
            <a:ext uri="{FF2B5EF4-FFF2-40B4-BE49-F238E27FC236}">
              <a16:creationId xmlns:a16="http://schemas.microsoft.com/office/drawing/2014/main" id="{E85BE20E-B1A0-4368-8F8B-B693B7BF1DA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 name="Rectangle 326">
          <a:extLst>
            <a:ext uri="{FF2B5EF4-FFF2-40B4-BE49-F238E27FC236}">
              <a16:creationId xmlns:a16="http://schemas.microsoft.com/office/drawing/2014/main" id="{EFF0C67D-25B8-4C68-B62A-2062BA3ABE9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 name="Rectangle 327">
          <a:extLst>
            <a:ext uri="{FF2B5EF4-FFF2-40B4-BE49-F238E27FC236}">
              <a16:creationId xmlns:a16="http://schemas.microsoft.com/office/drawing/2014/main" id="{65EF3CFF-7EDC-46E7-8CF6-B967DB0759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 name="Rectangle 328">
          <a:extLst>
            <a:ext uri="{FF2B5EF4-FFF2-40B4-BE49-F238E27FC236}">
              <a16:creationId xmlns:a16="http://schemas.microsoft.com/office/drawing/2014/main" id="{FDD1EF37-CFCD-4B0D-B7F4-D2EF5E59AEA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 name="Rectangle 329">
          <a:extLst>
            <a:ext uri="{FF2B5EF4-FFF2-40B4-BE49-F238E27FC236}">
              <a16:creationId xmlns:a16="http://schemas.microsoft.com/office/drawing/2014/main" id="{48F7557A-B745-41CA-B193-5A0FB4E1CA8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 name="Rectangle 330">
          <a:extLst>
            <a:ext uri="{FF2B5EF4-FFF2-40B4-BE49-F238E27FC236}">
              <a16:creationId xmlns:a16="http://schemas.microsoft.com/office/drawing/2014/main" id="{C24CED14-DD18-4C87-86F0-95D628F0069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 name="Rectangle 331">
          <a:extLst>
            <a:ext uri="{FF2B5EF4-FFF2-40B4-BE49-F238E27FC236}">
              <a16:creationId xmlns:a16="http://schemas.microsoft.com/office/drawing/2014/main" id="{ADA6CEF4-BC19-447A-A8DC-51E7ED3E9A7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 name="Rectangle 332">
          <a:extLst>
            <a:ext uri="{FF2B5EF4-FFF2-40B4-BE49-F238E27FC236}">
              <a16:creationId xmlns:a16="http://schemas.microsoft.com/office/drawing/2014/main" id="{283E7101-E0D8-4D77-9EEA-DDFBDBB9F18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 name="Rectangle 333">
          <a:extLst>
            <a:ext uri="{FF2B5EF4-FFF2-40B4-BE49-F238E27FC236}">
              <a16:creationId xmlns:a16="http://schemas.microsoft.com/office/drawing/2014/main" id="{9B901539-B1F5-4302-8162-32B63929761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 name="Rectangle 334">
          <a:extLst>
            <a:ext uri="{FF2B5EF4-FFF2-40B4-BE49-F238E27FC236}">
              <a16:creationId xmlns:a16="http://schemas.microsoft.com/office/drawing/2014/main" id="{ACD81902-EE0C-444D-9F9C-47E994371A2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 name="Rectangle 335">
          <a:extLst>
            <a:ext uri="{FF2B5EF4-FFF2-40B4-BE49-F238E27FC236}">
              <a16:creationId xmlns:a16="http://schemas.microsoft.com/office/drawing/2014/main" id="{0535761B-15A9-4DC6-83F3-EE3B584919F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 name="Rectangle 336">
          <a:extLst>
            <a:ext uri="{FF2B5EF4-FFF2-40B4-BE49-F238E27FC236}">
              <a16:creationId xmlns:a16="http://schemas.microsoft.com/office/drawing/2014/main" id="{0FE4355F-24D1-463D-89BA-6D1F3D544C3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 name="Rectangle 337">
          <a:extLst>
            <a:ext uri="{FF2B5EF4-FFF2-40B4-BE49-F238E27FC236}">
              <a16:creationId xmlns:a16="http://schemas.microsoft.com/office/drawing/2014/main" id="{F5C93372-4849-49DD-9BE8-EBA19F2ADB9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 name="Rectangle 338">
          <a:extLst>
            <a:ext uri="{FF2B5EF4-FFF2-40B4-BE49-F238E27FC236}">
              <a16:creationId xmlns:a16="http://schemas.microsoft.com/office/drawing/2014/main" id="{535605B6-B748-4594-B5AA-25E35212A03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 name="Rectangle 339">
          <a:extLst>
            <a:ext uri="{FF2B5EF4-FFF2-40B4-BE49-F238E27FC236}">
              <a16:creationId xmlns:a16="http://schemas.microsoft.com/office/drawing/2014/main" id="{5A1F1EBC-87DE-4D01-AD91-AC553A10AAF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 name="Rectangle 340">
          <a:extLst>
            <a:ext uri="{FF2B5EF4-FFF2-40B4-BE49-F238E27FC236}">
              <a16:creationId xmlns:a16="http://schemas.microsoft.com/office/drawing/2014/main" id="{4DB1969C-3E6E-47EF-8CE4-8EF32AF2EF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 name="Rectangle 341">
          <a:extLst>
            <a:ext uri="{FF2B5EF4-FFF2-40B4-BE49-F238E27FC236}">
              <a16:creationId xmlns:a16="http://schemas.microsoft.com/office/drawing/2014/main" id="{5170C9D5-3E0D-4673-91C6-6FA64041AA2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 name="Rectangle 342">
          <a:extLst>
            <a:ext uri="{FF2B5EF4-FFF2-40B4-BE49-F238E27FC236}">
              <a16:creationId xmlns:a16="http://schemas.microsoft.com/office/drawing/2014/main" id="{CCA30A43-B14C-4A3B-8A3F-F0414636C7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 name="Rectangle 343">
          <a:extLst>
            <a:ext uri="{FF2B5EF4-FFF2-40B4-BE49-F238E27FC236}">
              <a16:creationId xmlns:a16="http://schemas.microsoft.com/office/drawing/2014/main" id="{F91490E1-0E2D-4F78-9D73-296E3DEDC04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 name="Rectangle 344">
          <a:extLst>
            <a:ext uri="{FF2B5EF4-FFF2-40B4-BE49-F238E27FC236}">
              <a16:creationId xmlns:a16="http://schemas.microsoft.com/office/drawing/2014/main" id="{0A508E08-B4CF-424F-90B8-102104F34A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 name="Rectangle 345">
          <a:extLst>
            <a:ext uri="{FF2B5EF4-FFF2-40B4-BE49-F238E27FC236}">
              <a16:creationId xmlns:a16="http://schemas.microsoft.com/office/drawing/2014/main" id="{8C7C60AA-3E3E-484A-8159-D1FAC4B9049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 name="Rectangle 346">
          <a:extLst>
            <a:ext uri="{FF2B5EF4-FFF2-40B4-BE49-F238E27FC236}">
              <a16:creationId xmlns:a16="http://schemas.microsoft.com/office/drawing/2014/main" id="{36AA927D-1780-434C-8737-B930CB99B2E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 name="Rectangle 347">
          <a:extLst>
            <a:ext uri="{FF2B5EF4-FFF2-40B4-BE49-F238E27FC236}">
              <a16:creationId xmlns:a16="http://schemas.microsoft.com/office/drawing/2014/main" id="{D3C65EF7-F876-4966-BC4A-0DDEB1A8B04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 name="Rectangle 348">
          <a:extLst>
            <a:ext uri="{FF2B5EF4-FFF2-40B4-BE49-F238E27FC236}">
              <a16:creationId xmlns:a16="http://schemas.microsoft.com/office/drawing/2014/main" id="{6A9E7228-7620-4EAA-9811-9B7943E366B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 name="Rectangle 349">
          <a:extLst>
            <a:ext uri="{FF2B5EF4-FFF2-40B4-BE49-F238E27FC236}">
              <a16:creationId xmlns:a16="http://schemas.microsoft.com/office/drawing/2014/main" id="{9180496B-DC7D-4F34-9987-23E411CFD09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 name="Rectangle 350">
          <a:extLst>
            <a:ext uri="{FF2B5EF4-FFF2-40B4-BE49-F238E27FC236}">
              <a16:creationId xmlns:a16="http://schemas.microsoft.com/office/drawing/2014/main" id="{77E178FD-B40B-4794-8298-8B47A2F45B4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02" name="Rectangle 351">
          <a:extLst>
            <a:ext uri="{FF2B5EF4-FFF2-40B4-BE49-F238E27FC236}">
              <a16:creationId xmlns:a16="http://schemas.microsoft.com/office/drawing/2014/main" id="{E61DC310-2A31-4854-A9B0-34515B0ABCF7}"/>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 name="Rectangle 352">
          <a:extLst>
            <a:ext uri="{FF2B5EF4-FFF2-40B4-BE49-F238E27FC236}">
              <a16:creationId xmlns:a16="http://schemas.microsoft.com/office/drawing/2014/main" id="{26E31478-EBBB-4F8A-B9A1-E3368286087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4" name="Rectangle 353">
          <a:extLst>
            <a:ext uri="{FF2B5EF4-FFF2-40B4-BE49-F238E27FC236}">
              <a16:creationId xmlns:a16="http://schemas.microsoft.com/office/drawing/2014/main" id="{E1168CCE-0C23-43F3-8077-44DC4D551F4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5" name="Rectangle 354">
          <a:extLst>
            <a:ext uri="{FF2B5EF4-FFF2-40B4-BE49-F238E27FC236}">
              <a16:creationId xmlns:a16="http://schemas.microsoft.com/office/drawing/2014/main" id="{7D964770-2F24-4697-BA19-04AC57B0996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6" name="Rectangle 355">
          <a:extLst>
            <a:ext uri="{FF2B5EF4-FFF2-40B4-BE49-F238E27FC236}">
              <a16:creationId xmlns:a16="http://schemas.microsoft.com/office/drawing/2014/main" id="{5D310485-3B3A-4FA1-A0F8-6E37222C01F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7" name="Rectangle 356">
          <a:extLst>
            <a:ext uri="{FF2B5EF4-FFF2-40B4-BE49-F238E27FC236}">
              <a16:creationId xmlns:a16="http://schemas.microsoft.com/office/drawing/2014/main" id="{48F8C1ED-15DB-47DA-98D2-56169FCB1BD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8" name="Rectangle 357">
          <a:extLst>
            <a:ext uri="{FF2B5EF4-FFF2-40B4-BE49-F238E27FC236}">
              <a16:creationId xmlns:a16="http://schemas.microsoft.com/office/drawing/2014/main" id="{A1317BDA-7DC8-4DBE-A13A-99CFD0DF07A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9" name="Rectangle 358">
          <a:extLst>
            <a:ext uri="{FF2B5EF4-FFF2-40B4-BE49-F238E27FC236}">
              <a16:creationId xmlns:a16="http://schemas.microsoft.com/office/drawing/2014/main" id="{09AFBCED-2539-4863-9486-D896BED9752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0" name="Rectangle 359">
          <a:extLst>
            <a:ext uri="{FF2B5EF4-FFF2-40B4-BE49-F238E27FC236}">
              <a16:creationId xmlns:a16="http://schemas.microsoft.com/office/drawing/2014/main" id="{2894668F-D7B0-4CF8-AEF4-4C315A51E5A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1" name="Rectangle 360">
          <a:extLst>
            <a:ext uri="{FF2B5EF4-FFF2-40B4-BE49-F238E27FC236}">
              <a16:creationId xmlns:a16="http://schemas.microsoft.com/office/drawing/2014/main" id="{FA37602B-C357-4A1A-950E-F7B3889B2EB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2" name="Rectangle 361">
          <a:extLst>
            <a:ext uri="{FF2B5EF4-FFF2-40B4-BE49-F238E27FC236}">
              <a16:creationId xmlns:a16="http://schemas.microsoft.com/office/drawing/2014/main" id="{ABCEE30E-7BDD-4253-B419-FEA27EA231E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3" name="Rectangle 362">
          <a:extLst>
            <a:ext uri="{FF2B5EF4-FFF2-40B4-BE49-F238E27FC236}">
              <a16:creationId xmlns:a16="http://schemas.microsoft.com/office/drawing/2014/main" id="{6BF690ED-0B45-45C4-AF92-EEA65B5BE82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4" name="Rectangle 363">
          <a:extLst>
            <a:ext uri="{FF2B5EF4-FFF2-40B4-BE49-F238E27FC236}">
              <a16:creationId xmlns:a16="http://schemas.microsoft.com/office/drawing/2014/main" id="{5DE573E5-860B-4F42-A773-F04EDD6CB23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15" name="Rectangle 364">
          <a:extLst>
            <a:ext uri="{FF2B5EF4-FFF2-40B4-BE49-F238E27FC236}">
              <a16:creationId xmlns:a16="http://schemas.microsoft.com/office/drawing/2014/main" id="{B5446D2A-FE65-43A7-9C0D-0D9A87F97879}"/>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6" name="Rectangle 365">
          <a:extLst>
            <a:ext uri="{FF2B5EF4-FFF2-40B4-BE49-F238E27FC236}">
              <a16:creationId xmlns:a16="http://schemas.microsoft.com/office/drawing/2014/main" id="{999F8AA2-6CE4-4659-89E6-BDAE841DD2D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7" name="Rectangle 366">
          <a:extLst>
            <a:ext uri="{FF2B5EF4-FFF2-40B4-BE49-F238E27FC236}">
              <a16:creationId xmlns:a16="http://schemas.microsoft.com/office/drawing/2014/main" id="{55C432F6-6595-4CB5-AB9C-045F2449060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8" name="Rectangle 367">
          <a:extLst>
            <a:ext uri="{FF2B5EF4-FFF2-40B4-BE49-F238E27FC236}">
              <a16:creationId xmlns:a16="http://schemas.microsoft.com/office/drawing/2014/main" id="{C9B7AB1F-8CFA-4B96-8DED-46F08503961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9" name="Rectangle 368">
          <a:extLst>
            <a:ext uri="{FF2B5EF4-FFF2-40B4-BE49-F238E27FC236}">
              <a16:creationId xmlns:a16="http://schemas.microsoft.com/office/drawing/2014/main" id="{BC4E2D3D-86AF-46A1-9F90-8335391A0F8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0" name="Rectangle 369">
          <a:extLst>
            <a:ext uri="{FF2B5EF4-FFF2-40B4-BE49-F238E27FC236}">
              <a16:creationId xmlns:a16="http://schemas.microsoft.com/office/drawing/2014/main" id="{6D5CC395-CDF0-4B28-9A33-9DAD3076A5F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1" name="Rectangle 370">
          <a:extLst>
            <a:ext uri="{FF2B5EF4-FFF2-40B4-BE49-F238E27FC236}">
              <a16:creationId xmlns:a16="http://schemas.microsoft.com/office/drawing/2014/main" id="{AB355D63-B3BB-427C-9D87-E1CD2784A05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2" name="Rectangle 371">
          <a:extLst>
            <a:ext uri="{FF2B5EF4-FFF2-40B4-BE49-F238E27FC236}">
              <a16:creationId xmlns:a16="http://schemas.microsoft.com/office/drawing/2014/main" id="{6F6CEBCA-6E21-4B1C-A175-B2431938340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3" name="Rectangle 372">
          <a:extLst>
            <a:ext uri="{FF2B5EF4-FFF2-40B4-BE49-F238E27FC236}">
              <a16:creationId xmlns:a16="http://schemas.microsoft.com/office/drawing/2014/main" id="{68647F25-332E-4747-93D6-BA7801132AD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4" name="Rectangle 373">
          <a:extLst>
            <a:ext uri="{FF2B5EF4-FFF2-40B4-BE49-F238E27FC236}">
              <a16:creationId xmlns:a16="http://schemas.microsoft.com/office/drawing/2014/main" id="{E1962DB6-341E-49D3-9483-D83839337DC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5" name="Rectangle 374">
          <a:extLst>
            <a:ext uri="{FF2B5EF4-FFF2-40B4-BE49-F238E27FC236}">
              <a16:creationId xmlns:a16="http://schemas.microsoft.com/office/drawing/2014/main" id="{B3924065-6877-4522-BE89-61FDCEED7E7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6" name="Rectangle 375">
          <a:extLst>
            <a:ext uri="{FF2B5EF4-FFF2-40B4-BE49-F238E27FC236}">
              <a16:creationId xmlns:a16="http://schemas.microsoft.com/office/drawing/2014/main" id="{25AB92E3-110C-4F12-A0FD-F8CAE03A4B5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7" name="Rectangle 376">
          <a:extLst>
            <a:ext uri="{FF2B5EF4-FFF2-40B4-BE49-F238E27FC236}">
              <a16:creationId xmlns:a16="http://schemas.microsoft.com/office/drawing/2014/main" id="{070E5F19-E63D-49F0-BDF6-22D92E7141A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8" name="Rectangle 377">
          <a:extLst>
            <a:ext uri="{FF2B5EF4-FFF2-40B4-BE49-F238E27FC236}">
              <a16:creationId xmlns:a16="http://schemas.microsoft.com/office/drawing/2014/main" id="{4BE1A270-302F-46EF-A45D-5BFEE384393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9" name="Rectangle 378">
          <a:extLst>
            <a:ext uri="{FF2B5EF4-FFF2-40B4-BE49-F238E27FC236}">
              <a16:creationId xmlns:a16="http://schemas.microsoft.com/office/drawing/2014/main" id="{DD60CD67-B442-4C66-B1EC-727192AAFA2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0" name="Rectangle 379">
          <a:extLst>
            <a:ext uri="{FF2B5EF4-FFF2-40B4-BE49-F238E27FC236}">
              <a16:creationId xmlns:a16="http://schemas.microsoft.com/office/drawing/2014/main" id="{48C67DEA-3990-4921-92A3-03E4FB0560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1" name="Rectangle 380">
          <a:extLst>
            <a:ext uri="{FF2B5EF4-FFF2-40B4-BE49-F238E27FC236}">
              <a16:creationId xmlns:a16="http://schemas.microsoft.com/office/drawing/2014/main" id="{D5DB156C-8C41-4F90-911D-A2D4C9D0DF8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2" name="Rectangle 381">
          <a:extLst>
            <a:ext uri="{FF2B5EF4-FFF2-40B4-BE49-F238E27FC236}">
              <a16:creationId xmlns:a16="http://schemas.microsoft.com/office/drawing/2014/main" id="{1C3EB8BA-631E-451B-BC5C-7007E851D23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3" name="Rectangle 382">
          <a:extLst>
            <a:ext uri="{FF2B5EF4-FFF2-40B4-BE49-F238E27FC236}">
              <a16:creationId xmlns:a16="http://schemas.microsoft.com/office/drawing/2014/main" id="{C65AD27F-0AF0-41D5-8C83-310847CB192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34" name="Rectangle 383">
          <a:extLst>
            <a:ext uri="{FF2B5EF4-FFF2-40B4-BE49-F238E27FC236}">
              <a16:creationId xmlns:a16="http://schemas.microsoft.com/office/drawing/2014/main" id="{9534D10D-4779-4046-8DBD-11BFE3BAF708}"/>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5" name="Rectangle 384">
          <a:extLst>
            <a:ext uri="{FF2B5EF4-FFF2-40B4-BE49-F238E27FC236}">
              <a16:creationId xmlns:a16="http://schemas.microsoft.com/office/drawing/2014/main" id="{6A109B3A-51E0-4BA0-A497-CB589CB5BDF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6" name="Rectangle 385">
          <a:extLst>
            <a:ext uri="{FF2B5EF4-FFF2-40B4-BE49-F238E27FC236}">
              <a16:creationId xmlns:a16="http://schemas.microsoft.com/office/drawing/2014/main" id="{BF4A0F5F-45FB-4FF4-A697-AB1B329E880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7" name="Rectangle 386">
          <a:extLst>
            <a:ext uri="{FF2B5EF4-FFF2-40B4-BE49-F238E27FC236}">
              <a16:creationId xmlns:a16="http://schemas.microsoft.com/office/drawing/2014/main" id="{29B9453F-A46B-427A-8013-13CA50625EB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8" name="Rectangle 387">
          <a:extLst>
            <a:ext uri="{FF2B5EF4-FFF2-40B4-BE49-F238E27FC236}">
              <a16:creationId xmlns:a16="http://schemas.microsoft.com/office/drawing/2014/main" id="{5D91ED4D-28FD-440F-87D4-43870844D2B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9" name="Rectangle 388">
          <a:extLst>
            <a:ext uri="{FF2B5EF4-FFF2-40B4-BE49-F238E27FC236}">
              <a16:creationId xmlns:a16="http://schemas.microsoft.com/office/drawing/2014/main" id="{87C76229-42FC-44D3-87FA-E40773BE82C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0" name="Rectangle 389">
          <a:extLst>
            <a:ext uri="{FF2B5EF4-FFF2-40B4-BE49-F238E27FC236}">
              <a16:creationId xmlns:a16="http://schemas.microsoft.com/office/drawing/2014/main" id="{24BED347-EB74-4171-A46E-CCC52E9EBFA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1" name="Rectangle 390">
          <a:extLst>
            <a:ext uri="{FF2B5EF4-FFF2-40B4-BE49-F238E27FC236}">
              <a16:creationId xmlns:a16="http://schemas.microsoft.com/office/drawing/2014/main" id="{B2DCF1EC-3E88-40C6-9EF8-2E7D9BC399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2" name="Rectangle 391">
          <a:extLst>
            <a:ext uri="{FF2B5EF4-FFF2-40B4-BE49-F238E27FC236}">
              <a16:creationId xmlns:a16="http://schemas.microsoft.com/office/drawing/2014/main" id="{290074DF-9623-4B9D-98D4-005939A4D7D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3" name="Rectangle 392">
          <a:extLst>
            <a:ext uri="{FF2B5EF4-FFF2-40B4-BE49-F238E27FC236}">
              <a16:creationId xmlns:a16="http://schemas.microsoft.com/office/drawing/2014/main" id="{530B81C6-30A0-434B-9313-4EECBFE66D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4" name="Rectangle 393">
          <a:extLst>
            <a:ext uri="{FF2B5EF4-FFF2-40B4-BE49-F238E27FC236}">
              <a16:creationId xmlns:a16="http://schemas.microsoft.com/office/drawing/2014/main" id="{095D6326-2DE5-43C3-9C18-79AD53B64ED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5" name="Rectangle 394">
          <a:extLst>
            <a:ext uri="{FF2B5EF4-FFF2-40B4-BE49-F238E27FC236}">
              <a16:creationId xmlns:a16="http://schemas.microsoft.com/office/drawing/2014/main" id="{D4177A7F-1CD1-4A0F-9DFA-262C4E2FAF7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6" name="Rectangle 395">
          <a:extLst>
            <a:ext uri="{FF2B5EF4-FFF2-40B4-BE49-F238E27FC236}">
              <a16:creationId xmlns:a16="http://schemas.microsoft.com/office/drawing/2014/main" id="{3CC6C627-984D-447F-8BE0-B74305FD72D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7" name="Rectangle 396">
          <a:extLst>
            <a:ext uri="{FF2B5EF4-FFF2-40B4-BE49-F238E27FC236}">
              <a16:creationId xmlns:a16="http://schemas.microsoft.com/office/drawing/2014/main" id="{6C8E260B-B344-4F16-A81F-58DC13E97FC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8" name="Rectangle 397">
          <a:extLst>
            <a:ext uri="{FF2B5EF4-FFF2-40B4-BE49-F238E27FC236}">
              <a16:creationId xmlns:a16="http://schemas.microsoft.com/office/drawing/2014/main" id="{EDC0E413-F20F-48F4-9908-D545756CE3C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9" name="Rectangle 398">
          <a:extLst>
            <a:ext uri="{FF2B5EF4-FFF2-40B4-BE49-F238E27FC236}">
              <a16:creationId xmlns:a16="http://schemas.microsoft.com/office/drawing/2014/main" id="{9F377F5F-0D5B-4953-A98F-A251B0D0C6A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0" name="Rectangle 399">
          <a:extLst>
            <a:ext uri="{FF2B5EF4-FFF2-40B4-BE49-F238E27FC236}">
              <a16:creationId xmlns:a16="http://schemas.microsoft.com/office/drawing/2014/main" id="{D0AF2C24-A6CB-441A-8BA7-DFA68B14C70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1" name="Rectangle 400">
          <a:extLst>
            <a:ext uri="{FF2B5EF4-FFF2-40B4-BE49-F238E27FC236}">
              <a16:creationId xmlns:a16="http://schemas.microsoft.com/office/drawing/2014/main" id="{A91ED860-6751-46DF-8C88-FE8B26C0BEB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2" name="Rectangle 401">
          <a:extLst>
            <a:ext uri="{FF2B5EF4-FFF2-40B4-BE49-F238E27FC236}">
              <a16:creationId xmlns:a16="http://schemas.microsoft.com/office/drawing/2014/main" id="{76001D1C-C327-4DB6-8EC7-73E90E06B49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3" name="Rectangle 402">
          <a:extLst>
            <a:ext uri="{FF2B5EF4-FFF2-40B4-BE49-F238E27FC236}">
              <a16:creationId xmlns:a16="http://schemas.microsoft.com/office/drawing/2014/main" id="{F91EA7C1-7970-47B1-BF7F-13165DDCBD2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4" name="Rectangle 403">
          <a:extLst>
            <a:ext uri="{FF2B5EF4-FFF2-40B4-BE49-F238E27FC236}">
              <a16:creationId xmlns:a16="http://schemas.microsoft.com/office/drawing/2014/main" id="{F757374F-28BB-4CE6-9797-B90616BBB4F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5" name="Rectangle 404">
          <a:extLst>
            <a:ext uri="{FF2B5EF4-FFF2-40B4-BE49-F238E27FC236}">
              <a16:creationId xmlns:a16="http://schemas.microsoft.com/office/drawing/2014/main" id="{F97096C9-0373-47F8-A70A-9A541C6E14C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6" name="Rectangle 405">
          <a:extLst>
            <a:ext uri="{FF2B5EF4-FFF2-40B4-BE49-F238E27FC236}">
              <a16:creationId xmlns:a16="http://schemas.microsoft.com/office/drawing/2014/main" id="{BEF74049-E30C-4469-9984-049CC513D9C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7" name="Rectangle 406">
          <a:extLst>
            <a:ext uri="{FF2B5EF4-FFF2-40B4-BE49-F238E27FC236}">
              <a16:creationId xmlns:a16="http://schemas.microsoft.com/office/drawing/2014/main" id="{CE0CA686-35B6-453B-B87F-56E965B3630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8" name="Rectangle 407">
          <a:extLst>
            <a:ext uri="{FF2B5EF4-FFF2-40B4-BE49-F238E27FC236}">
              <a16:creationId xmlns:a16="http://schemas.microsoft.com/office/drawing/2014/main" id="{94C358DA-C3D8-4C69-9F86-D05A94D4F9E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59" name="Rectangle 408">
          <a:extLst>
            <a:ext uri="{FF2B5EF4-FFF2-40B4-BE49-F238E27FC236}">
              <a16:creationId xmlns:a16="http://schemas.microsoft.com/office/drawing/2014/main" id="{64F12DA1-5CD3-4C89-B932-12403D9A178C}"/>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0" name="Rectangle 409">
          <a:extLst>
            <a:ext uri="{FF2B5EF4-FFF2-40B4-BE49-F238E27FC236}">
              <a16:creationId xmlns:a16="http://schemas.microsoft.com/office/drawing/2014/main" id="{5D1EA996-30A8-40D5-852B-4CB2A6CEDAB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1" name="Rectangle 410">
          <a:extLst>
            <a:ext uri="{FF2B5EF4-FFF2-40B4-BE49-F238E27FC236}">
              <a16:creationId xmlns:a16="http://schemas.microsoft.com/office/drawing/2014/main" id="{6B623A6F-9FBA-4966-9C84-00567ED69AE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2" name="Rectangle 411">
          <a:extLst>
            <a:ext uri="{FF2B5EF4-FFF2-40B4-BE49-F238E27FC236}">
              <a16:creationId xmlns:a16="http://schemas.microsoft.com/office/drawing/2014/main" id="{ED80C76C-2A98-4087-B417-6735067F99A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3" name="Rectangle 412">
          <a:extLst>
            <a:ext uri="{FF2B5EF4-FFF2-40B4-BE49-F238E27FC236}">
              <a16:creationId xmlns:a16="http://schemas.microsoft.com/office/drawing/2014/main" id="{2DCF30B9-CF82-4A5D-9B6B-13A1A253DB8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4" name="Rectangle 413">
          <a:extLst>
            <a:ext uri="{FF2B5EF4-FFF2-40B4-BE49-F238E27FC236}">
              <a16:creationId xmlns:a16="http://schemas.microsoft.com/office/drawing/2014/main" id="{2B6C1644-5990-435F-BF5E-4A475118FA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5" name="Rectangle 414">
          <a:extLst>
            <a:ext uri="{FF2B5EF4-FFF2-40B4-BE49-F238E27FC236}">
              <a16:creationId xmlns:a16="http://schemas.microsoft.com/office/drawing/2014/main" id="{FDBE6D96-53C0-4727-AB3C-57EB5C9C830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6" name="Rectangle 415">
          <a:extLst>
            <a:ext uri="{FF2B5EF4-FFF2-40B4-BE49-F238E27FC236}">
              <a16:creationId xmlns:a16="http://schemas.microsoft.com/office/drawing/2014/main" id="{E5292535-C9BB-4B99-8355-3D367AB6DBA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7" name="Rectangle 416">
          <a:extLst>
            <a:ext uri="{FF2B5EF4-FFF2-40B4-BE49-F238E27FC236}">
              <a16:creationId xmlns:a16="http://schemas.microsoft.com/office/drawing/2014/main" id="{2588EF91-E82C-44BC-9A2C-023811C995C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8" name="Rectangle 417">
          <a:extLst>
            <a:ext uri="{FF2B5EF4-FFF2-40B4-BE49-F238E27FC236}">
              <a16:creationId xmlns:a16="http://schemas.microsoft.com/office/drawing/2014/main" id="{58C78170-544F-49AA-87A7-23B3AB46578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9" name="Rectangle 418">
          <a:extLst>
            <a:ext uri="{FF2B5EF4-FFF2-40B4-BE49-F238E27FC236}">
              <a16:creationId xmlns:a16="http://schemas.microsoft.com/office/drawing/2014/main" id="{237F92C0-73C4-401E-A6F7-3C735E5C354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0" name="Rectangle 419">
          <a:extLst>
            <a:ext uri="{FF2B5EF4-FFF2-40B4-BE49-F238E27FC236}">
              <a16:creationId xmlns:a16="http://schemas.microsoft.com/office/drawing/2014/main" id="{BE6FC31A-29D9-4CF2-9882-38A0F6226FF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1" name="Rectangle 420">
          <a:extLst>
            <a:ext uri="{FF2B5EF4-FFF2-40B4-BE49-F238E27FC236}">
              <a16:creationId xmlns:a16="http://schemas.microsoft.com/office/drawing/2014/main" id="{80700C63-00A9-4F78-9CB6-3F7EC3534B4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2" name="Rectangle 421">
          <a:extLst>
            <a:ext uri="{FF2B5EF4-FFF2-40B4-BE49-F238E27FC236}">
              <a16:creationId xmlns:a16="http://schemas.microsoft.com/office/drawing/2014/main" id="{C6859957-D24E-4DA5-92CC-9A26747C52F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3" name="Rectangle 422">
          <a:extLst>
            <a:ext uri="{FF2B5EF4-FFF2-40B4-BE49-F238E27FC236}">
              <a16:creationId xmlns:a16="http://schemas.microsoft.com/office/drawing/2014/main" id="{3198CAB0-663D-4112-BF79-AB9A4CA8074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4" name="Rectangle 423">
          <a:extLst>
            <a:ext uri="{FF2B5EF4-FFF2-40B4-BE49-F238E27FC236}">
              <a16:creationId xmlns:a16="http://schemas.microsoft.com/office/drawing/2014/main" id="{2C1192FA-5CCF-476B-871A-F3A07DC2DF5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5" name="Rectangle 424">
          <a:extLst>
            <a:ext uri="{FF2B5EF4-FFF2-40B4-BE49-F238E27FC236}">
              <a16:creationId xmlns:a16="http://schemas.microsoft.com/office/drawing/2014/main" id="{FF1028B0-9C3F-4FF6-87B2-FF37723A181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6" name="Rectangle 425">
          <a:extLst>
            <a:ext uri="{FF2B5EF4-FFF2-40B4-BE49-F238E27FC236}">
              <a16:creationId xmlns:a16="http://schemas.microsoft.com/office/drawing/2014/main" id="{EE6F4B69-456F-44A3-8C74-321459C219F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7" name="Rectangle 426">
          <a:extLst>
            <a:ext uri="{FF2B5EF4-FFF2-40B4-BE49-F238E27FC236}">
              <a16:creationId xmlns:a16="http://schemas.microsoft.com/office/drawing/2014/main" id="{4E89ED26-43A8-4A7E-9C4D-4888A14357A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78" name="Rectangle 427">
          <a:extLst>
            <a:ext uri="{FF2B5EF4-FFF2-40B4-BE49-F238E27FC236}">
              <a16:creationId xmlns:a16="http://schemas.microsoft.com/office/drawing/2014/main" id="{2AF94736-A110-4457-A9DD-FEA282C12BB4}"/>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9" name="Rectangle 428">
          <a:extLst>
            <a:ext uri="{FF2B5EF4-FFF2-40B4-BE49-F238E27FC236}">
              <a16:creationId xmlns:a16="http://schemas.microsoft.com/office/drawing/2014/main" id="{A7C69EB5-92A9-4BA8-B42A-1323A460B15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0" name="Rectangle 429">
          <a:extLst>
            <a:ext uri="{FF2B5EF4-FFF2-40B4-BE49-F238E27FC236}">
              <a16:creationId xmlns:a16="http://schemas.microsoft.com/office/drawing/2014/main" id="{F929CAAF-7EA8-4392-A742-096BEF6D68B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1" name="Rectangle 430">
          <a:extLst>
            <a:ext uri="{FF2B5EF4-FFF2-40B4-BE49-F238E27FC236}">
              <a16:creationId xmlns:a16="http://schemas.microsoft.com/office/drawing/2014/main" id="{06AA4EEA-652E-4EE5-A5E8-80C9461FD4C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2" name="Rectangle 431">
          <a:extLst>
            <a:ext uri="{FF2B5EF4-FFF2-40B4-BE49-F238E27FC236}">
              <a16:creationId xmlns:a16="http://schemas.microsoft.com/office/drawing/2014/main" id="{C3AB7014-A6F5-444C-BF46-9C537264599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3" name="Rectangle 432">
          <a:extLst>
            <a:ext uri="{FF2B5EF4-FFF2-40B4-BE49-F238E27FC236}">
              <a16:creationId xmlns:a16="http://schemas.microsoft.com/office/drawing/2014/main" id="{40ABD39E-3C51-4D50-B081-73A28BEBDDC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4" name="Rectangle 433">
          <a:extLst>
            <a:ext uri="{FF2B5EF4-FFF2-40B4-BE49-F238E27FC236}">
              <a16:creationId xmlns:a16="http://schemas.microsoft.com/office/drawing/2014/main" id="{D2EC3B89-F847-4EB9-8682-112D574DB55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85" name="Rectangle 434">
          <a:extLst>
            <a:ext uri="{FF2B5EF4-FFF2-40B4-BE49-F238E27FC236}">
              <a16:creationId xmlns:a16="http://schemas.microsoft.com/office/drawing/2014/main" id="{71A206B4-3400-4F7F-AD8B-C4FAFB4A3A8D}"/>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6" name="Rectangle 435">
          <a:extLst>
            <a:ext uri="{FF2B5EF4-FFF2-40B4-BE49-F238E27FC236}">
              <a16:creationId xmlns:a16="http://schemas.microsoft.com/office/drawing/2014/main" id="{BD5067E4-B3F2-4188-B4B5-2F6F0920709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7" name="Rectangle 436">
          <a:extLst>
            <a:ext uri="{FF2B5EF4-FFF2-40B4-BE49-F238E27FC236}">
              <a16:creationId xmlns:a16="http://schemas.microsoft.com/office/drawing/2014/main" id="{EECB3A9C-4C6F-4750-AA57-A98177F300B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8" name="Rectangle 437">
          <a:extLst>
            <a:ext uri="{FF2B5EF4-FFF2-40B4-BE49-F238E27FC236}">
              <a16:creationId xmlns:a16="http://schemas.microsoft.com/office/drawing/2014/main" id="{1E9C7E34-4D56-4577-9AFB-EACE095C907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9" name="Rectangle 438">
          <a:extLst>
            <a:ext uri="{FF2B5EF4-FFF2-40B4-BE49-F238E27FC236}">
              <a16:creationId xmlns:a16="http://schemas.microsoft.com/office/drawing/2014/main" id="{DE9D9329-7FE7-43A6-B5FC-3095A5A8155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0" name="Rectangle 439">
          <a:extLst>
            <a:ext uri="{FF2B5EF4-FFF2-40B4-BE49-F238E27FC236}">
              <a16:creationId xmlns:a16="http://schemas.microsoft.com/office/drawing/2014/main" id="{9BEEF0AD-4A71-4AC5-BC9F-C0C08362FAE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1" name="Rectangle 440">
          <a:extLst>
            <a:ext uri="{FF2B5EF4-FFF2-40B4-BE49-F238E27FC236}">
              <a16:creationId xmlns:a16="http://schemas.microsoft.com/office/drawing/2014/main" id="{CF522A9C-929E-4C2D-9004-FDA0149367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92" name="Rectangle 441">
          <a:extLst>
            <a:ext uri="{FF2B5EF4-FFF2-40B4-BE49-F238E27FC236}">
              <a16:creationId xmlns:a16="http://schemas.microsoft.com/office/drawing/2014/main" id="{AEE2D855-A1E2-4C72-9CA6-ED110503819F}"/>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3" name="Rectangle 442">
          <a:extLst>
            <a:ext uri="{FF2B5EF4-FFF2-40B4-BE49-F238E27FC236}">
              <a16:creationId xmlns:a16="http://schemas.microsoft.com/office/drawing/2014/main" id="{8051B8DD-3E92-4DA0-B0D3-20F7FB2F098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4" name="Rectangle 443">
          <a:extLst>
            <a:ext uri="{FF2B5EF4-FFF2-40B4-BE49-F238E27FC236}">
              <a16:creationId xmlns:a16="http://schemas.microsoft.com/office/drawing/2014/main" id="{68970B36-A346-433E-92CB-2A9C5A8171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5" name="Rectangle 444">
          <a:extLst>
            <a:ext uri="{FF2B5EF4-FFF2-40B4-BE49-F238E27FC236}">
              <a16:creationId xmlns:a16="http://schemas.microsoft.com/office/drawing/2014/main" id="{A19D1547-2F46-45ED-969D-124B6D2B69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6" name="Rectangle 445">
          <a:extLst>
            <a:ext uri="{FF2B5EF4-FFF2-40B4-BE49-F238E27FC236}">
              <a16:creationId xmlns:a16="http://schemas.microsoft.com/office/drawing/2014/main" id="{A8CA95BF-8872-47CA-BB57-1A6CEDE20BC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7" name="Rectangle 446">
          <a:extLst>
            <a:ext uri="{FF2B5EF4-FFF2-40B4-BE49-F238E27FC236}">
              <a16:creationId xmlns:a16="http://schemas.microsoft.com/office/drawing/2014/main" id="{D1A2A8EB-5AF8-4F5D-9941-B016FA2D3F6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8" name="Rectangle 447">
          <a:extLst>
            <a:ext uri="{FF2B5EF4-FFF2-40B4-BE49-F238E27FC236}">
              <a16:creationId xmlns:a16="http://schemas.microsoft.com/office/drawing/2014/main" id="{4446124E-F5F2-49E8-838C-06535E8AFC7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99" name="Rectangle 448">
          <a:extLst>
            <a:ext uri="{FF2B5EF4-FFF2-40B4-BE49-F238E27FC236}">
              <a16:creationId xmlns:a16="http://schemas.microsoft.com/office/drawing/2014/main" id="{CC8CCF8D-3ED6-474A-958A-B14A532B7EF9}"/>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0" name="Rectangle 449">
          <a:extLst>
            <a:ext uri="{FF2B5EF4-FFF2-40B4-BE49-F238E27FC236}">
              <a16:creationId xmlns:a16="http://schemas.microsoft.com/office/drawing/2014/main" id="{22C79811-D475-4649-8E6A-039A047EAF8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1" name="Rectangle 450">
          <a:extLst>
            <a:ext uri="{FF2B5EF4-FFF2-40B4-BE49-F238E27FC236}">
              <a16:creationId xmlns:a16="http://schemas.microsoft.com/office/drawing/2014/main" id="{06321D25-6654-4089-A7B9-DFD1C033CAA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2" name="Rectangle 451">
          <a:extLst>
            <a:ext uri="{FF2B5EF4-FFF2-40B4-BE49-F238E27FC236}">
              <a16:creationId xmlns:a16="http://schemas.microsoft.com/office/drawing/2014/main" id="{56A7F649-62BC-476F-BC64-4482D7C9A17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3" name="Rectangle 452">
          <a:extLst>
            <a:ext uri="{FF2B5EF4-FFF2-40B4-BE49-F238E27FC236}">
              <a16:creationId xmlns:a16="http://schemas.microsoft.com/office/drawing/2014/main" id="{7AF66EB8-5DAF-4C69-B5DA-C5857EF851E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4" name="Rectangle 453">
          <a:extLst>
            <a:ext uri="{FF2B5EF4-FFF2-40B4-BE49-F238E27FC236}">
              <a16:creationId xmlns:a16="http://schemas.microsoft.com/office/drawing/2014/main" id="{42CD4638-B5C1-4929-9DCD-1DAFE5857E9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5" name="Rectangle 454">
          <a:extLst>
            <a:ext uri="{FF2B5EF4-FFF2-40B4-BE49-F238E27FC236}">
              <a16:creationId xmlns:a16="http://schemas.microsoft.com/office/drawing/2014/main" id="{DFF0C0ED-3D9D-4C18-81D9-E31B88B0214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06" name="Rectangle 238">
          <a:extLst>
            <a:ext uri="{FF2B5EF4-FFF2-40B4-BE49-F238E27FC236}">
              <a16:creationId xmlns:a16="http://schemas.microsoft.com/office/drawing/2014/main" id="{3EAD3D1E-964B-4B91-BA00-526B644DFE1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07" name="Rectangle 249">
          <a:extLst>
            <a:ext uri="{FF2B5EF4-FFF2-40B4-BE49-F238E27FC236}">
              <a16:creationId xmlns:a16="http://schemas.microsoft.com/office/drawing/2014/main" id="{6A01B196-37D0-4091-8012-DFAE8D644A2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08" name="Rectangle 251">
          <a:extLst>
            <a:ext uri="{FF2B5EF4-FFF2-40B4-BE49-F238E27FC236}">
              <a16:creationId xmlns:a16="http://schemas.microsoft.com/office/drawing/2014/main" id="{64D9E694-623D-4CD8-AF5C-ABA482CF7F3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09" name="Rectangle 253">
          <a:extLst>
            <a:ext uri="{FF2B5EF4-FFF2-40B4-BE49-F238E27FC236}">
              <a16:creationId xmlns:a16="http://schemas.microsoft.com/office/drawing/2014/main" id="{23171A06-3D0C-42B6-8A63-307ADE51651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0" name="Rectangle 254">
          <a:extLst>
            <a:ext uri="{FF2B5EF4-FFF2-40B4-BE49-F238E27FC236}">
              <a16:creationId xmlns:a16="http://schemas.microsoft.com/office/drawing/2014/main" id="{9341487C-8646-4EF8-95AD-77AFD24A210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1" name="Rectangle 255">
          <a:extLst>
            <a:ext uri="{FF2B5EF4-FFF2-40B4-BE49-F238E27FC236}">
              <a16:creationId xmlns:a16="http://schemas.microsoft.com/office/drawing/2014/main" id="{B5C6024A-6E66-42CB-ABF5-8CCF3DBC67D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2" name="Rectangle 257">
          <a:extLst>
            <a:ext uri="{FF2B5EF4-FFF2-40B4-BE49-F238E27FC236}">
              <a16:creationId xmlns:a16="http://schemas.microsoft.com/office/drawing/2014/main" id="{4A9243DF-4852-4BE3-9A15-AE41A3333FD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3" name="Rectangle 258">
          <a:extLst>
            <a:ext uri="{FF2B5EF4-FFF2-40B4-BE49-F238E27FC236}">
              <a16:creationId xmlns:a16="http://schemas.microsoft.com/office/drawing/2014/main" id="{A4E57465-4835-4F24-9D3C-244C0BE55D6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4" name="Rectangle 259">
          <a:extLst>
            <a:ext uri="{FF2B5EF4-FFF2-40B4-BE49-F238E27FC236}">
              <a16:creationId xmlns:a16="http://schemas.microsoft.com/office/drawing/2014/main" id="{522161DE-A9FD-40CB-BB43-A5E6CF78865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5" name="Rectangle 260">
          <a:extLst>
            <a:ext uri="{FF2B5EF4-FFF2-40B4-BE49-F238E27FC236}">
              <a16:creationId xmlns:a16="http://schemas.microsoft.com/office/drawing/2014/main" id="{5D5BC2B2-4B64-4811-AF7A-71AC0DDB083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6" name="Rectangle 261">
          <a:extLst>
            <a:ext uri="{FF2B5EF4-FFF2-40B4-BE49-F238E27FC236}">
              <a16:creationId xmlns:a16="http://schemas.microsoft.com/office/drawing/2014/main" id="{318BECB0-DFDA-4CD5-9046-AF3E9117971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7" name="Rectangle 262">
          <a:extLst>
            <a:ext uri="{FF2B5EF4-FFF2-40B4-BE49-F238E27FC236}">
              <a16:creationId xmlns:a16="http://schemas.microsoft.com/office/drawing/2014/main" id="{3657A109-1A34-4752-80EB-3E29412BF91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8</xdr:row>
      <xdr:rowOff>0</xdr:rowOff>
    </xdr:from>
    <xdr:ext cx="28854" cy="132665"/>
    <xdr:sp macro="" textlink="">
      <xdr:nvSpPr>
        <xdr:cNvPr id="218" name="Rectangle 263">
          <a:extLst>
            <a:ext uri="{FF2B5EF4-FFF2-40B4-BE49-F238E27FC236}">
              <a16:creationId xmlns:a16="http://schemas.microsoft.com/office/drawing/2014/main" id="{83435C52-34BF-458F-BF5B-77D64FC1186D}"/>
            </a:ext>
          </a:extLst>
        </xdr:cNvPr>
        <xdr:cNvSpPr>
          <a:spLocks noChangeArrowheads="1"/>
        </xdr:cNvSpPr>
      </xdr:nvSpPr>
      <xdr:spPr bwMode="auto">
        <a:xfrm>
          <a:off x="60007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19" name="Rectangle 264">
          <a:extLst>
            <a:ext uri="{FF2B5EF4-FFF2-40B4-BE49-F238E27FC236}">
              <a16:creationId xmlns:a16="http://schemas.microsoft.com/office/drawing/2014/main" id="{9903A231-4AAE-4EF2-8306-B3634800A33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0" name="Rectangle 265">
          <a:extLst>
            <a:ext uri="{FF2B5EF4-FFF2-40B4-BE49-F238E27FC236}">
              <a16:creationId xmlns:a16="http://schemas.microsoft.com/office/drawing/2014/main" id="{A5B87F33-6C15-4653-9251-6E116564394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1" name="Rectangle 266">
          <a:extLst>
            <a:ext uri="{FF2B5EF4-FFF2-40B4-BE49-F238E27FC236}">
              <a16:creationId xmlns:a16="http://schemas.microsoft.com/office/drawing/2014/main" id="{5C4EE1D5-A5C8-4F12-9199-B8AF22A40FF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2" name="Rectangle 267">
          <a:extLst>
            <a:ext uri="{FF2B5EF4-FFF2-40B4-BE49-F238E27FC236}">
              <a16:creationId xmlns:a16="http://schemas.microsoft.com/office/drawing/2014/main" id="{F5E27DFD-EE20-47EF-B332-6D9E57E4438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3" name="Rectangle 268">
          <a:extLst>
            <a:ext uri="{FF2B5EF4-FFF2-40B4-BE49-F238E27FC236}">
              <a16:creationId xmlns:a16="http://schemas.microsoft.com/office/drawing/2014/main" id="{69FD68D7-4BC8-4AFA-92E9-6799EDC20DB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4" name="Rectangle 269">
          <a:extLst>
            <a:ext uri="{FF2B5EF4-FFF2-40B4-BE49-F238E27FC236}">
              <a16:creationId xmlns:a16="http://schemas.microsoft.com/office/drawing/2014/main" id="{2C16B2DC-E736-4A44-8FCD-DF5DFC7495F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5" name="Rectangle 270">
          <a:extLst>
            <a:ext uri="{FF2B5EF4-FFF2-40B4-BE49-F238E27FC236}">
              <a16:creationId xmlns:a16="http://schemas.microsoft.com/office/drawing/2014/main" id="{3A6ACA82-6DFE-460E-8C7B-7128E1DF435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6" name="Rectangle 271">
          <a:extLst>
            <a:ext uri="{FF2B5EF4-FFF2-40B4-BE49-F238E27FC236}">
              <a16:creationId xmlns:a16="http://schemas.microsoft.com/office/drawing/2014/main" id="{A7DBD1C7-7849-4A65-9188-285D64117EB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7" name="Rectangle 272">
          <a:extLst>
            <a:ext uri="{FF2B5EF4-FFF2-40B4-BE49-F238E27FC236}">
              <a16:creationId xmlns:a16="http://schemas.microsoft.com/office/drawing/2014/main" id="{68A29A52-2D14-4CCD-92D1-A0BA19C5FD5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8" name="Rectangle 273">
          <a:extLst>
            <a:ext uri="{FF2B5EF4-FFF2-40B4-BE49-F238E27FC236}">
              <a16:creationId xmlns:a16="http://schemas.microsoft.com/office/drawing/2014/main" id="{3273125F-C148-42E6-B3B2-2A705AA9CAA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29" name="Rectangle 274">
          <a:extLst>
            <a:ext uri="{FF2B5EF4-FFF2-40B4-BE49-F238E27FC236}">
              <a16:creationId xmlns:a16="http://schemas.microsoft.com/office/drawing/2014/main" id="{927D8126-DD46-4357-8CEC-26646612E56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0" name="Rectangle 275">
          <a:extLst>
            <a:ext uri="{FF2B5EF4-FFF2-40B4-BE49-F238E27FC236}">
              <a16:creationId xmlns:a16="http://schemas.microsoft.com/office/drawing/2014/main" id="{7B8B7A72-901D-41D5-B547-5EBFE747DDC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231" name="Rectangle 276">
          <a:extLst>
            <a:ext uri="{FF2B5EF4-FFF2-40B4-BE49-F238E27FC236}">
              <a16:creationId xmlns:a16="http://schemas.microsoft.com/office/drawing/2014/main" id="{AE73926D-F995-4D27-B550-EBEC2E076B84}"/>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2" name="Rectangle 277">
          <a:extLst>
            <a:ext uri="{FF2B5EF4-FFF2-40B4-BE49-F238E27FC236}">
              <a16:creationId xmlns:a16="http://schemas.microsoft.com/office/drawing/2014/main" id="{FC037F11-9F41-47D9-835E-0AC19338B9B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3" name="Rectangle 278">
          <a:extLst>
            <a:ext uri="{FF2B5EF4-FFF2-40B4-BE49-F238E27FC236}">
              <a16:creationId xmlns:a16="http://schemas.microsoft.com/office/drawing/2014/main" id="{3CB4FDD4-3317-46A8-A28A-596D3F8B6FE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4" name="Rectangle 279">
          <a:extLst>
            <a:ext uri="{FF2B5EF4-FFF2-40B4-BE49-F238E27FC236}">
              <a16:creationId xmlns:a16="http://schemas.microsoft.com/office/drawing/2014/main" id="{3393B5F1-ADD5-422E-8469-53A54DFB5B9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5" name="Rectangle 280">
          <a:extLst>
            <a:ext uri="{FF2B5EF4-FFF2-40B4-BE49-F238E27FC236}">
              <a16:creationId xmlns:a16="http://schemas.microsoft.com/office/drawing/2014/main" id="{87F1B045-FE04-407A-9F21-AD8339B78C6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6" name="Rectangle 281">
          <a:extLst>
            <a:ext uri="{FF2B5EF4-FFF2-40B4-BE49-F238E27FC236}">
              <a16:creationId xmlns:a16="http://schemas.microsoft.com/office/drawing/2014/main" id="{C7DC14FE-780E-4C8E-9A50-BED05A671DE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7" name="Rectangle 282">
          <a:extLst>
            <a:ext uri="{FF2B5EF4-FFF2-40B4-BE49-F238E27FC236}">
              <a16:creationId xmlns:a16="http://schemas.microsoft.com/office/drawing/2014/main" id="{184B40F1-F68E-46CF-8380-6946FD8DE7E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8" name="Rectangle 283">
          <a:extLst>
            <a:ext uri="{FF2B5EF4-FFF2-40B4-BE49-F238E27FC236}">
              <a16:creationId xmlns:a16="http://schemas.microsoft.com/office/drawing/2014/main" id="{8B1A64F0-117D-4F70-A050-992A4A3E3AA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39" name="Rectangle 284">
          <a:extLst>
            <a:ext uri="{FF2B5EF4-FFF2-40B4-BE49-F238E27FC236}">
              <a16:creationId xmlns:a16="http://schemas.microsoft.com/office/drawing/2014/main" id="{50629ACC-B519-4E26-BFFD-AE3FDDB46C8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0" name="Rectangle 285">
          <a:extLst>
            <a:ext uri="{FF2B5EF4-FFF2-40B4-BE49-F238E27FC236}">
              <a16:creationId xmlns:a16="http://schemas.microsoft.com/office/drawing/2014/main" id="{D5329AAF-032E-4575-8608-F0106921220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1" name="Rectangle 286">
          <a:extLst>
            <a:ext uri="{FF2B5EF4-FFF2-40B4-BE49-F238E27FC236}">
              <a16:creationId xmlns:a16="http://schemas.microsoft.com/office/drawing/2014/main" id="{81A5ED66-5A20-4310-8E22-029C2AD9A7C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2" name="Rectangle 287">
          <a:extLst>
            <a:ext uri="{FF2B5EF4-FFF2-40B4-BE49-F238E27FC236}">
              <a16:creationId xmlns:a16="http://schemas.microsoft.com/office/drawing/2014/main" id="{634D6E48-FB7C-48EE-B7E0-35AB3A985F3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3" name="Rectangle 288">
          <a:extLst>
            <a:ext uri="{FF2B5EF4-FFF2-40B4-BE49-F238E27FC236}">
              <a16:creationId xmlns:a16="http://schemas.microsoft.com/office/drawing/2014/main" id="{9DCF8799-F498-4E38-A5C1-A619CC76239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4" name="Rectangle 289">
          <a:extLst>
            <a:ext uri="{FF2B5EF4-FFF2-40B4-BE49-F238E27FC236}">
              <a16:creationId xmlns:a16="http://schemas.microsoft.com/office/drawing/2014/main" id="{67C03696-F420-4671-B68C-7CF50374426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5" name="Rectangle 290">
          <a:extLst>
            <a:ext uri="{FF2B5EF4-FFF2-40B4-BE49-F238E27FC236}">
              <a16:creationId xmlns:a16="http://schemas.microsoft.com/office/drawing/2014/main" id="{5A091FB8-2A55-4945-B62F-31AB28A981F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6" name="Rectangle 291">
          <a:extLst>
            <a:ext uri="{FF2B5EF4-FFF2-40B4-BE49-F238E27FC236}">
              <a16:creationId xmlns:a16="http://schemas.microsoft.com/office/drawing/2014/main" id="{7DA8CF6E-1EB7-443D-A8AC-C3E037B6CF7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7" name="Rectangle 292">
          <a:extLst>
            <a:ext uri="{FF2B5EF4-FFF2-40B4-BE49-F238E27FC236}">
              <a16:creationId xmlns:a16="http://schemas.microsoft.com/office/drawing/2014/main" id="{4F16AC2C-3F56-4049-93C1-597AEA65DDC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8" name="Rectangle 293">
          <a:extLst>
            <a:ext uri="{FF2B5EF4-FFF2-40B4-BE49-F238E27FC236}">
              <a16:creationId xmlns:a16="http://schemas.microsoft.com/office/drawing/2014/main" id="{BAFB272E-CAD8-4E55-9B4B-084C2E57776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49" name="Rectangle 294">
          <a:extLst>
            <a:ext uri="{FF2B5EF4-FFF2-40B4-BE49-F238E27FC236}">
              <a16:creationId xmlns:a16="http://schemas.microsoft.com/office/drawing/2014/main" id="{A0E9C45D-57F4-4DB2-B3C1-1C69139A832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250" name="Rectangle 295">
          <a:extLst>
            <a:ext uri="{FF2B5EF4-FFF2-40B4-BE49-F238E27FC236}">
              <a16:creationId xmlns:a16="http://schemas.microsoft.com/office/drawing/2014/main" id="{D5B4F3A5-0F32-4140-BB81-57C442E5F628}"/>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1" name="Rectangle 296">
          <a:extLst>
            <a:ext uri="{FF2B5EF4-FFF2-40B4-BE49-F238E27FC236}">
              <a16:creationId xmlns:a16="http://schemas.microsoft.com/office/drawing/2014/main" id="{B2ED7549-5B62-42FB-94B9-56A6E5E6EC1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2" name="Rectangle 297">
          <a:extLst>
            <a:ext uri="{FF2B5EF4-FFF2-40B4-BE49-F238E27FC236}">
              <a16:creationId xmlns:a16="http://schemas.microsoft.com/office/drawing/2014/main" id="{691EEF1A-A79E-44D3-96A8-BE742DA3FF5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3" name="Rectangle 298">
          <a:extLst>
            <a:ext uri="{FF2B5EF4-FFF2-40B4-BE49-F238E27FC236}">
              <a16:creationId xmlns:a16="http://schemas.microsoft.com/office/drawing/2014/main" id="{093C484A-04C4-4A29-BA3D-017D44E325C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4" name="Rectangle 299">
          <a:extLst>
            <a:ext uri="{FF2B5EF4-FFF2-40B4-BE49-F238E27FC236}">
              <a16:creationId xmlns:a16="http://schemas.microsoft.com/office/drawing/2014/main" id="{49CED55D-CBD5-406A-98B2-064D6219687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5" name="Rectangle 300">
          <a:extLst>
            <a:ext uri="{FF2B5EF4-FFF2-40B4-BE49-F238E27FC236}">
              <a16:creationId xmlns:a16="http://schemas.microsoft.com/office/drawing/2014/main" id="{3893A005-D1A3-43F9-9E7D-24D36B86727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6" name="Rectangle 301">
          <a:extLst>
            <a:ext uri="{FF2B5EF4-FFF2-40B4-BE49-F238E27FC236}">
              <a16:creationId xmlns:a16="http://schemas.microsoft.com/office/drawing/2014/main" id="{E456E88F-5FCC-45D7-BC60-DE1BE862AE1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7" name="Rectangle 302">
          <a:extLst>
            <a:ext uri="{FF2B5EF4-FFF2-40B4-BE49-F238E27FC236}">
              <a16:creationId xmlns:a16="http://schemas.microsoft.com/office/drawing/2014/main" id="{242EFD67-9038-4D1D-A369-0C31DFF6BFD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8" name="Rectangle 303">
          <a:extLst>
            <a:ext uri="{FF2B5EF4-FFF2-40B4-BE49-F238E27FC236}">
              <a16:creationId xmlns:a16="http://schemas.microsoft.com/office/drawing/2014/main" id="{4091686A-1AB0-42C2-B35A-7E1E350701C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59" name="Rectangle 304">
          <a:extLst>
            <a:ext uri="{FF2B5EF4-FFF2-40B4-BE49-F238E27FC236}">
              <a16:creationId xmlns:a16="http://schemas.microsoft.com/office/drawing/2014/main" id="{C78D025A-6913-4618-B505-9507757B2F8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0" name="Rectangle 305">
          <a:extLst>
            <a:ext uri="{FF2B5EF4-FFF2-40B4-BE49-F238E27FC236}">
              <a16:creationId xmlns:a16="http://schemas.microsoft.com/office/drawing/2014/main" id="{28CA63A2-AC4E-4CB2-AECA-94075FF1478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1" name="Rectangle 306">
          <a:extLst>
            <a:ext uri="{FF2B5EF4-FFF2-40B4-BE49-F238E27FC236}">
              <a16:creationId xmlns:a16="http://schemas.microsoft.com/office/drawing/2014/main" id="{A466C4D9-9FA4-45E0-B5E1-855194C6B89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2" name="Rectangle 307">
          <a:extLst>
            <a:ext uri="{FF2B5EF4-FFF2-40B4-BE49-F238E27FC236}">
              <a16:creationId xmlns:a16="http://schemas.microsoft.com/office/drawing/2014/main" id="{272F4391-E965-44F6-8C0F-316C2E87216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3" name="Rectangle 308">
          <a:extLst>
            <a:ext uri="{FF2B5EF4-FFF2-40B4-BE49-F238E27FC236}">
              <a16:creationId xmlns:a16="http://schemas.microsoft.com/office/drawing/2014/main" id="{987AAA93-CC95-45E2-9C1C-6E4508A23D1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4" name="Rectangle 309">
          <a:extLst>
            <a:ext uri="{FF2B5EF4-FFF2-40B4-BE49-F238E27FC236}">
              <a16:creationId xmlns:a16="http://schemas.microsoft.com/office/drawing/2014/main" id="{3204DDBD-8ABE-4638-A8CC-376BECED28E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5" name="Rectangle 310">
          <a:extLst>
            <a:ext uri="{FF2B5EF4-FFF2-40B4-BE49-F238E27FC236}">
              <a16:creationId xmlns:a16="http://schemas.microsoft.com/office/drawing/2014/main" id="{21839AEF-A71E-447D-8B61-924B40E90D9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6" name="Rectangle 311">
          <a:extLst>
            <a:ext uri="{FF2B5EF4-FFF2-40B4-BE49-F238E27FC236}">
              <a16:creationId xmlns:a16="http://schemas.microsoft.com/office/drawing/2014/main" id="{C1C68D79-3711-4A45-A8C5-A01E79C7917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7" name="Rectangle 312">
          <a:extLst>
            <a:ext uri="{FF2B5EF4-FFF2-40B4-BE49-F238E27FC236}">
              <a16:creationId xmlns:a16="http://schemas.microsoft.com/office/drawing/2014/main" id="{57031570-FD92-4DF1-8B54-8D8EFD46774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8" name="Rectangle 313">
          <a:extLst>
            <a:ext uri="{FF2B5EF4-FFF2-40B4-BE49-F238E27FC236}">
              <a16:creationId xmlns:a16="http://schemas.microsoft.com/office/drawing/2014/main" id="{2F5F6B52-9FFE-4D8C-896D-5993DEDC0B0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69" name="Rectangle 314">
          <a:extLst>
            <a:ext uri="{FF2B5EF4-FFF2-40B4-BE49-F238E27FC236}">
              <a16:creationId xmlns:a16="http://schemas.microsoft.com/office/drawing/2014/main" id="{38428C94-20B7-4956-BEE6-70901A0FCE1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0" name="Rectangle 315">
          <a:extLst>
            <a:ext uri="{FF2B5EF4-FFF2-40B4-BE49-F238E27FC236}">
              <a16:creationId xmlns:a16="http://schemas.microsoft.com/office/drawing/2014/main" id="{59274176-05AA-4785-86B0-1F9E04032F0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1" name="Rectangle 316">
          <a:extLst>
            <a:ext uri="{FF2B5EF4-FFF2-40B4-BE49-F238E27FC236}">
              <a16:creationId xmlns:a16="http://schemas.microsoft.com/office/drawing/2014/main" id="{39E2615D-10DE-45E7-8257-8D177C6012B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2" name="Rectangle 317">
          <a:extLst>
            <a:ext uri="{FF2B5EF4-FFF2-40B4-BE49-F238E27FC236}">
              <a16:creationId xmlns:a16="http://schemas.microsoft.com/office/drawing/2014/main" id="{84192122-5454-4D77-BFA3-D6EC0F556A6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3" name="Rectangle 318">
          <a:extLst>
            <a:ext uri="{FF2B5EF4-FFF2-40B4-BE49-F238E27FC236}">
              <a16:creationId xmlns:a16="http://schemas.microsoft.com/office/drawing/2014/main" id="{221ADCCF-2331-4542-9C3D-418F49F2BE4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4" name="Rectangle 319">
          <a:extLst>
            <a:ext uri="{FF2B5EF4-FFF2-40B4-BE49-F238E27FC236}">
              <a16:creationId xmlns:a16="http://schemas.microsoft.com/office/drawing/2014/main" id="{054D2293-A6F8-4976-AB04-BD152F4553F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275" name="Rectangle 320">
          <a:extLst>
            <a:ext uri="{FF2B5EF4-FFF2-40B4-BE49-F238E27FC236}">
              <a16:creationId xmlns:a16="http://schemas.microsoft.com/office/drawing/2014/main" id="{931D2C52-08B6-4C2E-9C55-0F8B23269A30}"/>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6" name="Rectangle 321">
          <a:extLst>
            <a:ext uri="{FF2B5EF4-FFF2-40B4-BE49-F238E27FC236}">
              <a16:creationId xmlns:a16="http://schemas.microsoft.com/office/drawing/2014/main" id="{828115E8-CBFA-49FE-9845-46053FDA45A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7" name="Rectangle 322">
          <a:extLst>
            <a:ext uri="{FF2B5EF4-FFF2-40B4-BE49-F238E27FC236}">
              <a16:creationId xmlns:a16="http://schemas.microsoft.com/office/drawing/2014/main" id="{9DF20E61-05E8-4CBC-9055-86E50CB4809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8" name="Rectangle 323">
          <a:extLst>
            <a:ext uri="{FF2B5EF4-FFF2-40B4-BE49-F238E27FC236}">
              <a16:creationId xmlns:a16="http://schemas.microsoft.com/office/drawing/2014/main" id="{654589EE-D709-4F0D-BFC4-EF3C37F300E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79" name="Rectangle 324">
          <a:extLst>
            <a:ext uri="{FF2B5EF4-FFF2-40B4-BE49-F238E27FC236}">
              <a16:creationId xmlns:a16="http://schemas.microsoft.com/office/drawing/2014/main" id="{4C177A7B-1547-4C6B-A28D-99932DFEAC7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0" name="Rectangle 325">
          <a:extLst>
            <a:ext uri="{FF2B5EF4-FFF2-40B4-BE49-F238E27FC236}">
              <a16:creationId xmlns:a16="http://schemas.microsoft.com/office/drawing/2014/main" id="{75FF2790-9B3C-45C7-BB04-7F53F10C8B8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1" name="Rectangle 326">
          <a:extLst>
            <a:ext uri="{FF2B5EF4-FFF2-40B4-BE49-F238E27FC236}">
              <a16:creationId xmlns:a16="http://schemas.microsoft.com/office/drawing/2014/main" id="{04BEA982-E7F3-4094-9C1C-13BAF2C0C13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2" name="Rectangle 327">
          <a:extLst>
            <a:ext uri="{FF2B5EF4-FFF2-40B4-BE49-F238E27FC236}">
              <a16:creationId xmlns:a16="http://schemas.microsoft.com/office/drawing/2014/main" id="{15AD3685-67FA-4A66-8389-0232A854DEB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3" name="Rectangle 328">
          <a:extLst>
            <a:ext uri="{FF2B5EF4-FFF2-40B4-BE49-F238E27FC236}">
              <a16:creationId xmlns:a16="http://schemas.microsoft.com/office/drawing/2014/main" id="{0C7AE424-1DD0-4BF5-8BCA-452198429C5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4" name="Rectangle 329">
          <a:extLst>
            <a:ext uri="{FF2B5EF4-FFF2-40B4-BE49-F238E27FC236}">
              <a16:creationId xmlns:a16="http://schemas.microsoft.com/office/drawing/2014/main" id="{D23EDE18-E7FF-4D66-BD0F-D6B28D3B2EC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5" name="Rectangle 330">
          <a:extLst>
            <a:ext uri="{FF2B5EF4-FFF2-40B4-BE49-F238E27FC236}">
              <a16:creationId xmlns:a16="http://schemas.microsoft.com/office/drawing/2014/main" id="{7B76126B-525E-4034-9937-0398B37DCDE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6" name="Rectangle 331">
          <a:extLst>
            <a:ext uri="{FF2B5EF4-FFF2-40B4-BE49-F238E27FC236}">
              <a16:creationId xmlns:a16="http://schemas.microsoft.com/office/drawing/2014/main" id="{F3F34672-BE33-435C-B5DA-4942D0B86E1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7" name="Rectangle 332">
          <a:extLst>
            <a:ext uri="{FF2B5EF4-FFF2-40B4-BE49-F238E27FC236}">
              <a16:creationId xmlns:a16="http://schemas.microsoft.com/office/drawing/2014/main" id="{291B693A-8C24-41F7-8ABB-ACDEFD45FCD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8" name="Rectangle 333">
          <a:extLst>
            <a:ext uri="{FF2B5EF4-FFF2-40B4-BE49-F238E27FC236}">
              <a16:creationId xmlns:a16="http://schemas.microsoft.com/office/drawing/2014/main" id="{9DB63B2C-6F2D-4FAA-9211-AB223ABBD51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89" name="Rectangle 334">
          <a:extLst>
            <a:ext uri="{FF2B5EF4-FFF2-40B4-BE49-F238E27FC236}">
              <a16:creationId xmlns:a16="http://schemas.microsoft.com/office/drawing/2014/main" id="{8EF51E5C-6A8A-48BC-AEC3-16395C398CC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0" name="Rectangle 335">
          <a:extLst>
            <a:ext uri="{FF2B5EF4-FFF2-40B4-BE49-F238E27FC236}">
              <a16:creationId xmlns:a16="http://schemas.microsoft.com/office/drawing/2014/main" id="{2CDD3E35-954D-4C66-84E4-2FB066E89EE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1" name="Rectangle 336">
          <a:extLst>
            <a:ext uri="{FF2B5EF4-FFF2-40B4-BE49-F238E27FC236}">
              <a16:creationId xmlns:a16="http://schemas.microsoft.com/office/drawing/2014/main" id="{B89C459E-A1EE-4C53-80BF-B657F228DA3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2" name="Rectangle 337">
          <a:extLst>
            <a:ext uri="{FF2B5EF4-FFF2-40B4-BE49-F238E27FC236}">
              <a16:creationId xmlns:a16="http://schemas.microsoft.com/office/drawing/2014/main" id="{174A2112-2709-4BF7-B22B-A9948CD732C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3" name="Rectangle 338">
          <a:extLst>
            <a:ext uri="{FF2B5EF4-FFF2-40B4-BE49-F238E27FC236}">
              <a16:creationId xmlns:a16="http://schemas.microsoft.com/office/drawing/2014/main" id="{EB736589-1070-461C-B127-8E10BFA2141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294" name="Rectangle 339">
          <a:extLst>
            <a:ext uri="{FF2B5EF4-FFF2-40B4-BE49-F238E27FC236}">
              <a16:creationId xmlns:a16="http://schemas.microsoft.com/office/drawing/2014/main" id="{AA3F1605-D628-471B-8989-58C6879662E5}"/>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5" name="Rectangle 340">
          <a:extLst>
            <a:ext uri="{FF2B5EF4-FFF2-40B4-BE49-F238E27FC236}">
              <a16:creationId xmlns:a16="http://schemas.microsoft.com/office/drawing/2014/main" id="{484392E4-9F24-42D6-8110-FA61418BDE9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6" name="Rectangle 341">
          <a:extLst>
            <a:ext uri="{FF2B5EF4-FFF2-40B4-BE49-F238E27FC236}">
              <a16:creationId xmlns:a16="http://schemas.microsoft.com/office/drawing/2014/main" id="{996742A0-64C2-4D44-B066-FCCB393A8D2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7" name="Rectangle 342">
          <a:extLst>
            <a:ext uri="{FF2B5EF4-FFF2-40B4-BE49-F238E27FC236}">
              <a16:creationId xmlns:a16="http://schemas.microsoft.com/office/drawing/2014/main" id="{330D16FE-D26E-43B7-A48E-2374C75638F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8" name="Rectangle 343">
          <a:extLst>
            <a:ext uri="{FF2B5EF4-FFF2-40B4-BE49-F238E27FC236}">
              <a16:creationId xmlns:a16="http://schemas.microsoft.com/office/drawing/2014/main" id="{390FEB37-B40F-4741-9DC3-B9CD353760B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299" name="Rectangle 344">
          <a:extLst>
            <a:ext uri="{FF2B5EF4-FFF2-40B4-BE49-F238E27FC236}">
              <a16:creationId xmlns:a16="http://schemas.microsoft.com/office/drawing/2014/main" id="{2076A91B-C3A3-4A94-A63C-9B96BB8718B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0" name="Rectangle 345">
          <a:extLst>
            <a:ext uri="{FF2B5EF4-FFF2-40B4-BE49-F238E27FC236}">
              <a16:creationId xmlns:a16="http://schemas.microsoft.com/office/drawing/2014/main" id="{CABE16E9-231D-4118-8B26-CB7D1D31D8D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301" name="Rectangle 346">
          <a:extLst>
            <a:ext uri="{FF2B5EF4-FFF2-40B4-BE49-F238E27FC236}">
              <a16:creationId xmlns:a16="http://schemas.microsoft.com/office/drawing/2014/main" id="{41ED4885-31E5-4469-A071-9B892BA49CD9}"/>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2" name="Rectangle 347">
          <a:extLst>
            <a:ext uri="{FF2B5EF4-FFF2-40B4-BE49-F238E27FC236}">
              <a16:creationId xmlns:a16="http://schemas.microsoft.com/office/drawing/2014/main" id="{B50E6C09-807A-4CB0-A3CC-F21758A2762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3" name="Rectangle 348">
          <a:extLst>
            <a:ext uri="{FF2B5EF4-FFF2-40B4-BE49-F238E27FC236}">
              <a16:creationId xmlns:a16="http://schemas.microsoft.com/office/drawing/2014/main" id="{852CCDAE-1B2C-4C7E-ADED-A446CEEAC15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4" name="Rectangle 349">
          <a:extLst>
            <a:ext uri="{FF2B5EF4-FFF2-40B4-BE49-F238E27FC236}">
              <a16:creationId xmlns:a16="http://schemas.microsoft.com/office/drawing/2014/main" id="{662ED31E-5F39-443E-9D56-C11F5F6EBA7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5" name="Rectangle 350">
          <a:extLst>
            <a:ext uri="{FF2B5EF4-FFF2-40B4-BE49-F238E27FC236}">
              <a16:creationId xmlns:a16="http://schemas.microsoft.com/office/drawing/2014/main" id="{DC56B277-5DB6-4CCC-8F68-7BF778A9D9E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6" name="Rectangle 351">
          <a:extLst>
            <a:ext uri="{FF2B5EF4-FFF2-40B4-BE49-F238E27FC236}">
              <a16:creationId xmlns:a16="http://schemas.microsoft.com/office/drawing/2014/main" id="{D378882D-F0B9-402F-BE86-EE967835DD0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7" name="Rectangle 352">
          <a:extLst>
            <a:ext uri="{FF2B5EF4-FFF2-40B4-BE49-F238E27FC236}">
              <a16:creationId xmlns:a16="http://schemas.microsoft.com/office/drawing/2014/main" id="{F7CB9C12-2C89-4519-AF25-C02AE35EC14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8" name="Rectangle 353">
          <a:extLst>
            <a:ext uri="{FF2B5EF4-FFF2-40B4-BE49-F238E27FC236}">
              <a16:creationId xmlns:a16="http://schemas.microsoft.com/office/drawing/2014/main" id="{17BB15CA-4CB9-4CEC-B82C-9CEA488CD8A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09" name="Rectangle 354">
          <a:extLst>
            <a:ext uri="{FF2B5EF4-FFF2-40B4-BE49-F238E27FC236}">
              <a16:creationId xmlns:a16="http://schemas.microsoft.com/office/drawing/2014/main" id="{59FE2166-DDC5-4034-A4A2-9FF4C3A90C5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0" name="Rectangle 355">
          <a:extLst>
            <a:ext uri="{FF2B5EF4-FFF2-40B4-BE49-F238E27FC236}">
              <a16:creationId xmlns:a16="http://schemas.microsoft.com/office/drawing/2014/main" id="{9DFD5C97-93D1-4C71-9BD6-8522A6987E1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1" name="Rectangle 356">
          <a:extLst>
            <a:ext uri="{FF2B5EF4-FFF2-40B4-BE49-F238E27FC236}">
              <a16:creationId xmlns:a16="http://schemas.microsoft.com/office/drawing/2014/main" id="{2F09B2A1-C4DF-4DEF-91D2-0B2DD1E117B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2" name="Rectangle 357">
          <a:extLst>
            <a:ext uri="{FF2B5EF4-FFF2-40B4-BE49-F238E27FC236}">
              <a16:creationId xmlns:a16="http://schemas.microsoft.com/office/drawing/2014/main" id="{E9A7AF1B-5C2B-4E02-8422-C8348654B45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3" name="Rectangle 358">
          <a:extLst>
            <a:ext uri="{FF2B5EF4-FFF2-40B4-BE49-F238E27FC236}">
              <a16:creationId xmlns:a16="http://schemas.microsoft.com/office/drawing/2014/main" id="{8BDC5D62-39EC-41D7-AE48-62A8328F6EC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4" name="Rectangle 359">
          <a:extLst>
            <a:ext uri="{FF2B5EF4-FFF2-40B4-BE49-F238E27FC236}">
              <a16:creationId xmlns:a16="http://schemas.microsoft.com/office/drawing/2014/main" id="{DDAA301A-F4F0-4A8F-9A84-E843BB65497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5" name="Rectangle 360">
          <a:extLst>
            <a:ext uri="{FF2B5EF4-FFF2-40B4-BE49-F238E27FC236}">
              <a16:creationId xmlns:a16="http://schemas.microsoft.com/office/drawing/2014/main" id="{2CE84E24-460D-4755-8E9D-4D880BAC9B5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6" name="Rectangle 361">
          <a:extLst>
            <a:ext uri="{FF2B5EF4-FFF2-40B4-BE49-F238E27FC236}">
              <a16:creationId xmlns:a16="http://schemas.microsoft.com/office/drawing/2014/main" id="{11B02236-54C2-4ACC-9F0D-88DE84976C0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7" name="Rectangle 362">
          <a:extLst>
            <a:ext uri="{FF2B5EF4-FFF2-40B4-BE49-F238E27FC236}">
              <a16:creationId xmlns:a16="http://schemas.microsoft.com/office/drawing/2014/main" id="{007C6DBC-536C-408C-B01F-AF360FCCB19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8" name="Rectangle 363">
          <a:extLst>
            <a:ext uri="{FF2B5EF4-FFF2-40B4-BE49-F238E27FC236}">
              <a16:creationId xmlns:a16="http://schemas.microsoft.com/office/drawing/2014/main" id="{EED2092A-C9B4-43BA-991A-A575289EBE6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19" name="Rectangle 364">
          <a:extLst>
            <a:ext uri="{FF2B5EF4-FFF2-40B4-BE49-F238E27FC236}">
              <a16:creationId xmlns:a16="http://schemas.microsoft.com/office/drawing/2014/main" id="{986D01F2-129B-4477-8803-A133DCD76B9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8</xdr:row>
      <xdr:rowOff>0</xdr:rowOff>
    </xdr:from>
    <xdr:ext cx="28854" cy="132665"/>
    <xdr:sp macro="" textlink="">
      <xdr:nvSpPr>
        <xdr:cNvPr id="320" name="Rectangle 365">
          <a:extLst>
            <a:ext uri="{FF2B5EF4-FFF2-40B4-BE49-F238E27FC236}">
              <a16:creationId xmlns:a16="http://schemas.microsoft.com/office/drawing/2014/main" id="{5C914409-809D-472A-B772-8836FB4E8D3B}"/>
            </a:ext>
          </a:extLst>
        </xdr:cNvPr>
        <xdr:cNvSpPr>
          <a:spLocks noChangeArrowheads="1"/>
        </xdr:cNvSpPr>
      </xdr:nvSpPr>
      <xdr:spPr bwMode="auto">
        <a:xfrm>
          <a:off x="60007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1" name="Rectangle 366">
          <a:extLst>
            <a:ext uri="{FF2B5EF4-FFF2-40B4-BE49-F238E27FC236}">
              <a16:creationId xmlns:a16="http://schemas.microsoft.com/office/drawing/2014/main" id="{A72A6598-E8DB-4550-93A3-4433BB6F2EE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2" name="Rectangle 367">
          <a:extLst>
            <a:ext uri="{FF2B5EF4-FFF2-40B4-BE49-F238E27FC236}">
              <a16:creationId xmlns:a16="http://schemas.microsoft.com/office/drawing/2014/main" id="{101799E9-E37A-414E-A0BE-026ED77A7CC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3" name="Rectangle 368">
          <a:extLst>
            <a:ext uri="{FF2B5EF4-FFF2-40B4-BE49-F238E27FC236}">
              <a16:creationId xmlns:a16="http://schemas.microsoft.com/office/drawing/2014/main" id="{1604F2E0-45E3-4BF9-B959-5D41D160367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4" name="Rectangle 369">
          <a:extLst>
            <a:ext uri="{FF2B5EF4-FFF2-40B4-BE49-F238E27FC236}">
              <a16:creationId xmlns:a16="http://schemas.microsoft.com/office/drawing/2014/main" id="{C89EE7AE-11D2-49C7-BCDD-BD1CD40AF20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5" name="Rectangle 370">
          <a:extLst>
            <a:ext uri="{FF2B5EF4-FFF2-40B4-BE49-F238E27FC236}">
              <a16:creationId xmlns:a16="http://schemas.microsoft.com/office/drawing/2014/main" id="{62264D16-E34D-451B-9F65-8D805BE7AA1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6" name="Rectangle 371">
          <a:extLst>
            <a:ext uri="{FF2B5EF4-FFF2-40B4-BE49-F238E27FC236}">
              <a16:creationId xmlns:a16="http://schemas.microsoft.com/office/drawing/2014/main" id="{962B2D06-4AD5-485D-B4F1-CDA816DD62E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7" name="Rectangle 372">
          <a:extLst>
            <a:ext uri="{FF2B5EF4-FFF2-40B4-BE49-F238E27FC236}">
              <a16:creationId xmlns:a16="http://schemas.microsoft.com/office/drawing/2014/main" id="{67299643-0D49-43CC-AC4B-3D706F02E20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8" name="Rectangle 373">
          <a:extLst>
            <a:ext uri="{FF2B5EF4-FFF2-40B4-BE49-F238E27FC236}">
              <a16:creationId xmlns:a16="http://schemas.microsoft.com/office/drawing/2014/main" id="{4F90D407-F18E-4308-94B5-08E6F8D7928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29" name="Rectangle 374">
          <a:extLst>
            <a:ext uri="{FF2B5EF4-FFF2-40B4-BE49-F238E27FC236}">
              <a16:creationId xmlns:a16="http://schemas.microsoft.com/office/drawing/2014/main" id="{17ED10E6-2673-43D2-BE3E-B91D9B60C3E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0" name="Rectangle 375">
          <a:extLst>
            <a:ext uri="{FF2B5EF4-FFF2-40B4-BE49-F238E27FC236}">
              <a16:creationId xmlns:a16="http://schemas.microsoft.com/office/drawing/2014/main" id="{15BBD3B1-5B62-4F3F-8B3F-D332ED5D9F7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1" name="Rectangle 376">
          <a:extLst>
            <a:ext uri="{FF2B5EF4-FFF2-40B4-BE49-F238E27FC236}">
              <a16:creationId xmlns:a16="http://schemas.microsoft.com/office/drawing/2014/main" id="{07613AC6-2B5A-4EB0-A2F2-07028E0AADD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2" name="Rectangle 377">
          <a:extLst>
            <a:ext uri="{FF2B5EF4-FFF2-40B4-BE49-F238E27FC236}">
              <a16:creationId xmlns:a16="http://schemas.microsoft.com/office/drawing/2014/main" id="{0B3DCE48-F0A9-4CFE-8C2C-617BAC599DC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333" name="Rectangle 378">
          <a:extLst>
            <a:ext uri="{FF2B5EF4-FFF2-40B4-BE49-F238E27FC236}">
              <a16:creationId xmlns:a16="http://schemas.microsoft.com/office/drawing/2014/main" id="{6604D0C2-F00D-4C68-B2F5-82515A5819A4}"/>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4" name="Rectangle 379">
          <a:extLst>
            <a:ext uri="{FF2B5EF4-FFF2-40B4-BE49-F238E27FC236}">
              <a16:creationId xmlns:a16="http://schemas.microsoft.com/office/drawing/2014/main" id="{D5704E8A-AD63-4BAD-946C-6D8FE23DCE6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5" name="Rectangle 380">
          <a:extLst>
            <a:ext uri="{FF2B5EF4-FFF2-40B4-BE49-F238E27FC236}">
              <a16:creationId xmlns:a16="http://schemas.microsoft.com/office/drawing/2014/main" id="{0FA9E1FD-B36E-48D8-BA32-8B4DE188E44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6" name="Rectangle 381">
          <a:extLst>
            <a:ext uri="{FF2B5EF4-FFF2-40B4-BE49-F238E27FC236}">
              <a16:creationId xmlns:a16="http://schemas.microsoft.com/office/drawing/2014/main" id="{7FE4CD0A-FB98-4CDF-8786-4A945B96993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7" name="Rectangle 382">
          <a:extLst>
            <a:ext uri="{FF2B5EF4-FFF2-40B4-BE49-F238E27FC236}">
              <a16:creationId xmlns:a16="http://schemas.microsoft.com/office/drawing/2014/main" id="{0A1970AC-B4CF-4D53-9502-2C15CE24AC5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8" name="Rectangle 383">
          <a:extLst>
            <a:ext uri="{FF2B5EF4-FFF2-40B4-BE49-F238E27FC236}">
              <a16:creationId xmlns:a16="http://schemas.microsoft.com/office/drawing/2014/main" id="{56024CEA-0C63-40AA-9A91-1553AD6A76B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39" name="Rectangle 384">
          <a:extLst>
            <a:ext uri="{FF2B5EF4-FFF2-40B4-BE49-F238E27FC236}">
              <a16:creationId xmlns:a16="http://schemas.microsoft.com/office/drawing/2014/main" id="{4DF11391-EF87-4D75-9D5E-D99B1C94FAD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0" name="Rectangle 385">
          <a:extLst>
            <a:ext uri="{FF2B5EF4-FFF2-40B4-BE49-F238E27FC236}">
              <a16:creationId xmlns:a16="http://schemas.microsoft.com/office/drawing/2014/main" id="{ED926898-DAE5-464B-BA09-FA64A53CEEF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1" name="Rectangle 386">
          <a:extLst>
            <a:ext uri="{FF2B5EF4-FFF2-40B4-BE49-F238E27FC236}">
              <a16:creationId xmlns:a16="http://schemas.microsoft.com/office/drawing/2014/main" id="{96F3C572-24B3-4459-BB61-1A23A6B37AA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2" name="Rectangle 387">
          <a:extLst>
            <a:ext uri="{FF2B5EF4-FFF2-40B4-BE49-F238E27FC236}">
              <a16:creationId xmlns:a16="http://schemas.microsoft.com/office/drawing/2014/main" id="{29C83C7E-BD3C-4224-A1DA-0AA39F7E7B2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3" name="Rectangle 388">
          <a:extLst>
            <a:ext uri="{FF2B5EF4-FFF2-40B4-BE49-F238E27FC236}">
              <a16:creationId xmlns:a16="http://schemas.microsoft.com/office/drawing/2014/main" id="{4AD365C3-91D8-41EB-8D7E-D87188311E8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4" name="Rectangle 389">
          <a:extLst>
            <a:ext uri="{FF2B5EF4-FFF2-40B4-BE49-F238E27FC236}">
              <a16:creationId xmlns:a16="http://schemas.microsoft.com/office/drawing/2014/main" id="{00FE74F0-7864-4793-AA41-14159BD70A4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5" name="Rectangle 390">
          <a:extLst>
            <a:ext uri="{FF2B5EF4-FFF2-40B4-BE49-F238E27FC236}">
              <a16:creationId xmlns:a16="http://schemas.microsoft.com/office/drawing/2014/main" id="{E880136D-4252-4670-A7EA-ADB034CF91D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6" name="Rectangle 391">
          <a:extLst>
            <a:ext uri="{FF2B5EF4-FFF2-40B4-BE49-F238E27FC236}">
              <a16:creationId xmlns:a16="http://schemas.microsoft.com/office/drawing/2014/main" id="{6F3CE706-7ED3-4AE9-BE6D-49F7D214022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7" name="Rectangle 392">
          <a:extLst>
            <a:ext uri="{FF2B5EF4-FFF2-40B4-BE49-F238E27FC236}">
              <a16:creationId xmlns:a16="http://schemas.microsoft.com/office/drawing/2014/main" id="{FD3E021D-82B1-454D-BD8B-3FE0118BB7F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8" name="Rectangle 393">
          <a:extLst>
            <a:ext uri="{FF2B5EF4-FFF2-40B4-BE49-F238E27FC236}">
              <a16:creationId xmlns:a16="http://schemas.microsoft.com/office/drawing/2014/main" id="{DA3752C5-4047-43CD-9118-9663F56848C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49" name="Rectangle 394">
          <a:extLst>
            <a:ext uri="{FF2B5EF4-FFF2-40B4-BE49-F238E27FC236}">
              <a16:creationId xmlns:a16="http://schemas.microsoft.com/office/drawing/2014/main" id="{948CDB8A-2393-4CB3-8764-67DD446A37B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0" name="Rectangle 395">
          <a:extLst>
            <a:ext uri="{FF2B5EF4-FFF2-40B4-BE49-F238E27FC236}">
              <a16:creationId xmlns:a16="http://schemas.microsoft.com/office/drawing/2014/main" id="{8AE7480A-D0BA-445A-B57C-58FA7B81044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1" name="Rectangle 396">
          <a:extLst>
            <a:ext uri="{FF2B5EF4-FFF2-40B4-BE49-F238E27FC236}">
              <a16:creationId xmlns:a16="http://schemas.microsoft.com/office/drawing/2014/main" id="{E7A47E00-CF57-4627-89E1-DDE99C31488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352" name="Rectangle 397">
          <a:extLst>
            <a:ext uri="{FF2B5EF4-FFF2-40B4-BE49-F238E27FC236}">
              <a16:creationId xmlns:a16="http://schemas.microsoft.com/office/drawing/2014/main" id="{CFDE8557-E522-4099-9F16-7205E1437B0F}"/>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3" name="Rectangle 398">
          <a:extLst>
            <a:ext uri="{FF2B5EF4-FFF2-40B4-BE49-F238E27FC236}">
              <a16:creationId xmlns:a16="http://schemas.microsoft.com/office/drawing/2014/main" id="{6010FDE5-45AF-4327-ADC7-3B14ED46828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4" name="Rectangle 399">
          <a:extLst>
            <a:ext uri="{FF2B5EF4-FFF2-40B4-BE49-F238E27FC236}">
              <a16:creationId xmlns:a16="http://schemas.microsoft.com/office/drawing/2014/main" id="{A8D8A236-9F51-484B-BB5C-D00EF5C9ED2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5" name="Rectangle 400">
          <a:extLst>
            <a:ext uri="{FF2B5EF4-FFF2-40B4-BE49-F238E27FC236}">
              <a16:creationId xmlns:a16="http://schemas.microsoft.com/office/drawing/2014/main" id="{69F1691D-9C59-4B55-B34A-DA1C1D90C25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6" name="Rectangle 401">
          <a:extLst>
            <a:ext uri="{FF2B5EF4-FFF2-40B4-BE49-F238E27FC236}">
              <a16:creationId xmlns:a16="http://schemas.microsoft.com/office/drawing/2014/main" id="{DD15F4CA-8D1F-4170-B033-BE24AC9AC7A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7" name="Rectangle 402">
          <a:extLst>
            <a:ext uri="{FF2B5EF4-FFF2-40B4-BE49-F238E27FC236}">
              <a16:creationId xmlns:a16="http://schemas.microsoft.com/office/drawing/2014/main" id="{BCAD140B-3862-4FE3-A592-8FBF3537AF6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8" name="Rectangle 403">
          <a:extLst>
            <a:ext uri="{FF2B5EF4-FFF2-40B4-BE49-F238E27FC236}">
              <a16:creationId xmlns:a16="http://schemas.microsoft.com/office/drawing/2014/main" id="{286746C6-C60C-4FD2-B0F2-0E9B7AAABB6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59" name="Rectangle 404">
          <a:extLst>
            <a:ext uri="{FF2B5EF4-FFF2-40B4-BE49-F238E27FC236}">
              <a16:creationId xmlns:a16="http://schemas.microsoft.com/office/drawing/2014/main" id="{B3A6099B-269B-4484-BC7D-EEAE13E5B33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0" name="Rectangle 405">
          <a:extLst>
            <a:ext uri="{FF2B5EF4-FFF2-40B4-BE49-F238E27FC236}">
              <a16:creationId xmlns:a16="http://schemas.microsoft.com/office/drawing/2014/main" id="{876BEA81-EB22-4923-AB3C-BE41A6A5A43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1" name="Rectangle 406">
          <a:extLst>
            <a:ext uri="{FF2B5EF4-FFF2-40B4-BE49-F238E27FC236}">
              <a16:creationId xmlns:a16="http://schemas.microsoft.com/office/drawing/2014/main" id="{2BBF2882-8FAD-4DA1-A8BC-0A03855AA55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2" name="Rectangle 407">
          <a:extLst>
            <a:ext uri="{FF2B5EF4-FFF2-40B4-BE49-F238E27FC236}">
              <a16:creationId xmlns:a16="http://schemas.microsoft.com/office/drawing/2014/main" id="{A3CCCB87-FD41-4CE5-952A-0ABD7A405A9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3" name="Rectangle 408">
          <a:extLst>
            <a:ext uri="{FF2B5EF4-FFF2-40B4-BE49-F238E27FC236}">
              <a16:creationId xmlns:a16="http://schemas.microsoft.com/office/drawing/2014/main" id="{13E854C8-8608-45FD-B2E8-835988C954B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4" name="Rectangle 409">
          <a:extLst>
            <a:ext uri="{FF2B5EF4-FFF2-40B4-BE49-F238E27FC236}">
              <a16:creationId xmlns:a16="http://schemas.microsoft.com/office/drawing/2014/main" id="{D08A70BD-70EB-49A3-8FD2-62DF870421C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5" name="Rectangle 410">
          <a:extLst>
            <a:ext uri="{FF2B5EF4-FFF2-40B4-BE49-F238E27FC236}">
              <a16:creationId xmlns:a16="http://schemas.microsoft.com/office/drawing/2014/main" id="{305F37E4-54A7-4E77-9A1F-2A7E5A3F5FF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6" name="Rectangle 411">
          <a:extLst>
            <a:ext uri="{FF2B5EF4-FFF2-40B4-BE49-F238E27FC236}">
              <a16:creationId xmlns:a16="http://schemas.microsoft.com/office/drawing/2014/main" id="{B6C19F29-561A-4702-9D5D-D56BD22D6D2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7" name="Rectangle 412">
          <a:extLst>
            <a:ext uri="{FF2B5EF4-FFF2-40B4-BE49-F238E27FC236}">
              <a16:creationId xmlns:a16="http://schemas.microsoft.com/office/drawing/2014/main" id="{5775CEF8-EA42-44E2-8AFD-BF5FE5C011A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8" name="Rectangle 413">
          <a:extLst>
            <a:ext uri="{FF2B5EF4-FFF2-40B4-BE49-F238E27FC236}">
              <a16:creationId xmlns:a16="http://schemas.microsoft.com/office/drawing/2014/main" id="{24E911EE-ECB4-4417-9548-E2E46E93948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69" name="Rectangle 414">
          <a:extLst>
            <a:ext uri="{FF2B5EF4-FFF2-40B4-BE49-F238E27FC236}">
              <a16:creationId xmlns:a16="http://schemas.microsoft.com/office/drawing/2014/main" id="{DBA73EAD-619C-4882-B519-2BB5FCD7C0F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0" name="Rectangle 415">
          <a:extLst>
            <a:ext uri="{FF2B5EF4-FFF2-40B4-BE49-F238E27FC236}">
              <a16:creationId xmlns:a16="http://schemas.microsoft.com/office/drawing/2014/main" id="{1C1679F5-4169-4259-8C51-CCDFC775C95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1" name="Rectangle 416">
          <a:extLst>
            <a:ext uri="{FF2B5EF4-FFF2-40B4-BE49-F238E27FC236}">
              <a16:creationId xmlns:a16="http://schemas.microsoft.com/office/drawing/2014/main" id="{E55CB24A-71D1-46C8-9CC3-FABDC5476F7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2" name="Rectangle 417">
          <a:extLst>
            <a:ext uri="{FF2B5EF4-FFF2-40B4-BE49-F238E27FC236}">
              <a16:creationId xmlns:a16="http://schemas.microsoft.com/office/drawing/2014/main" id="{2AC01686-98BF-47C1-B64B-D43C5EC60C1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3" name="Rectangle 418">
          <a:extLst>
            <a:ext uri="{FF2B5EF4-FFF2-40B4-BE49-F238E27FC236}">
              <a16:creationId xmlns:a16="http://schemas.microsoft.com/office/drawing/2014/main" id="{3FBB60D7-B3E7-48A2-A45A-7E58A7BC4F1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4" name="Rectangle 419">
          <a:extLst>
            <a:ext uri="{FF2B5EF4-FFF2-40B4-BE49-F238E27FC236}">
              <a16:creationId xmlns:a16="http://schemas.microsoft.com/office/drawing/2014/main" id="{F6BC1F63-7BC1-46C7-90F4-77F7A50F3A8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5" name="Rectangle 420">
          <a:extLst>
            <a:ext uri="{FF2B5EF4-FFF2-40B4-BE49-F238E27FC236}">
              <a16:creationId xmlns:a16="http://schemas.microsoft.com/office/drawing/2014/main" id="{7EA47AAB-B0AB-4570-9B66-9A4CDFF5FAC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6" name="Rectangle 421">
          <a:extLst>
            <a:ext uri="{FF2B5EF4-FFF2-40B4-BE49-F238E27FC236}">
              <a16:creationId xmlns:a16="http://schemas.microsoft.com/office/drawing/2014/main" id="{67BE8BC3-0667-45E7-9B63-B3E92D2300B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377" name="Rectangle 422">
          <a:extLst>
            <a:ext uri="{FF2B5EF4-FFF2-40B4-BE49-F238E27FC236}">
              <a16:creationId xmlns:a16="http://schemas.microsoft.com/office/drawing/2014/main" id="{AD3F1EA6-D50D-4EB0-94B7-57882722EFC5}"/>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8" name="Rectangle 423">
          <a:extLst>
            <a:ext uri="{FF2B5EF4-FFF2-40B4-BE49-F238E27FC236}">
              <a16:creationId xmlns:a16="http://schemas.microsoft.com/office/drawing/2014/main" id="{D9D262BD-DCEB-4E0D-BCDE-6537270D9B4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79" name="Rectangle 424">
          <a:extLst>
            <a:ext uri="{FF2B5EF4-FFF2-40B4-BE49-F238E27FC236}">
              <a16:creationId xmlns:a16="http://schemas.microsoft.com/office/drawing/2014/main" id="{8EBEF102-BB19-4D32-8A68-EAABB6B3107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0" name="Rectangle 425">
          <a:extLst>
            <a:ext uri="{FF2B5EF4-FFF2-40B4-BE49-F238E27FC236}">
              <a16:creationId xmlns:a16="http://schemas.microsoft.com/office/drawing/2014/main" id="{BE0B6917-0284-4C9D-AACE-51EE5B5CD01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1" name="Rectangle 426">
          <a:extLst>
            <a:ext uri="{FF2B5EF4-FFF2-40B4-BE49-F238E27FC236}">
              <a16:creationId xmlns:a16="http://schemas.microsoft.com/office/drawing/2014/main" id="{FC352318-D944-44D1-9F3D-17BF9A90482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2" name="Rectangle 427">
          <a:extLst>
            <a:ext uri="{FF2B5EF4-FFF2-40B4-BE49-F238E27FC236}">
              <a16:creationId xmlns:a16="http://schemas.microsoft.com/office/drawing/2014/main" id="{B941AFDD-3BFD-4343-B312-033BE110547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3" name="Rectangle 428">
          <a:extLst>
            <a:ext uri="{FF2B5EF4-FFF2-40B4-BE49-F238E27FC236}">
              <a16:creationId xmlns:a16="http://schemas.microsoft.com/office/drawing/2014/main" id="{3C1C86C9-CD89-468D-9ACF-CA265F5E9B7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4" name="Rectangle 429">
          <a:extLst>
            <a:ext uri="{FF2B5EF4-FFF2-40B4-BE49-F238E27FC236}">
              <a16:creationId xmlns:a16="http://schemas.microsoft.com/office/drawing/2014/main" id="{578A5E72-09D5-4168-90F7-286C07A1821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5" name="Rectangle 430">
          <a:extLst>
            <a:ext uri="{FF2B5EF4-FFF2-40B4-BE49-F238E27FC236}">
              <a16:creationId xmlns:a16="http://schemas.microsoft.com/office/drawing/2014/main" id="{287A3662-81AE-451B-8C19-6AAEF952C4D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6" name="Rectangle 431">
          <a:extLst>
            <a:ext uri="{FF2B5EF4-FFF2-40B4-BE49-F238E27FC236}">
              <a16:creationId xmlns:a16="http://schemas.microsoft.com/office/drawing/2014/main" id="{C4FA289C-6440-4FD7-B6B8-6F8677F7A0C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7" name="Rectangle 432">
          <a:extLst>
            <a:ext uri="{FF2B5EF4-FFF2-40B4-BE49-F238E27FC236}">
              <a16:creationId xmlns:a16="http://schemas.microsoft.com/office/drawing/2014/main" id="{F368041F-47EA-4E00-8625-746D2FEB634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8" name="Rectangle 433">
          <a:extLst>
            <a:ext uri="{FF2B5EF4-FFF2-40B4-BE49-F238E27FC236}">
              <a16:creationId xmlns:a16="http://schemas.microsoft.com/office/drawing/2014/main" id="{2B88D830-03BE-4C7E-AED3-DAE670CB0BA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89" name="Rectangle 434">
          <a:extLst>
            <a:ext uri="{FF2B5EF4-FFF2-40B4-BE49-F238E27FC236}">
              <a16:creationId xmlns:a16="http://schemas.microsoft.com/office/drawing/2014/main" id="{4C457C06-3353-4CCC-841B-1B0EE39A984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0" name="Rectangle 435">
          <a:extLst>
            <a:ext uri="{FF2B5EF4-FFF2-40B4-BE49-F238E27FC236}">
              <a16:creationId xmlns:a16="http://schemas.microsoft.com/office/drawing/2014/main" id="{02CA7373-30AC-434E-B45C-5A2FB72ADFE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1" name="Rectangle 436">
          <a:extLst>
            <a:ext uri="{FF2B5EF4-FFF2-40B4-BE49-F238E27FC236}">
              <a16:creationId xmlns:a16="http://schemas.microsoft.com/office/drawing/2014/main" id="{5CCD979A-6D2F-45C7-A49D-237494438EA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2" name="Rectangle 437">
          <a:extLst>
            <a:ext uri="{FF2B5EF4-FFF2-40B4-BE49-F238E27FC236}">
              <a16:creationId xmlns:a16="http://schemas.microsoft.com/office/drawing/2014/main" id="{81EED15E-2892-4053-83D5-B1477CC7577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3" name="Rectangle 438">
          <a:extLst>
            <a:ext uri="{FF2B5EF4-FFF2-40B4-BE49-F238E27FC236}">
              <a16:creationId xmlns:a16="http://schemas.microsoft.com/office/drawing/2014/main" id="{1F2AD4F2-0813-42F4-AAC2-485C176A995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4" name="Rectangle 439">
          <a:extLst>
            <a:ext uri="{FF2B5EF4-FFF2-40B4-BE49-F238E27FC236}">
              <a16:creationId xmlns:a16="http://schemas.microsoft.com/office/drawing/2014/main" id="{576DC3C1-B592-42D5-8D77-F917A9BAC15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5" name="Rectangle 440">
          <a:extLst>
            <a:ext uri="{FF2B5EF4-FFF2-40B4-BE49-F238E27FC236}">
              <a16:creationId xmlns:a16="http://schemas.microsoft.com/office/drawing/2014/main" id="{F8284CB3-9C60-45AD-AB8B-8320AAC3FDA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6" name="Rectangle 441">
          <a:extLst>
            <a:ext uri="{FF2B5EF4-FFF2-40B4-BE49-F238E27FC236}">
              <a16:creationId xmlns:a16="http://schemas.microsoft.com/office/drawing/2014/main" id="{709792D5-9216-4C56-8F82-51AF59988EA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7" name="Rectangle 442">
          <a:extLst>
            <a:ext uri="{FF2B5EF4-FFF2-40B4-BE49-F238E27FC236}">
              <a16:creationId xmlns:a16="http://schemas.microsoft.com/office/drawing/2014/main" id="{BDA55487-A7F6-4B89-9345-3E86ABBDBEA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8" name="Rectangle 443">
          <a:extLst>
            <a:ext uri="{FF2B5EF4-FFF2-40B4-BE49-F238E27FC236}">
              <a16:creationId xmlns:a16="http://schemas.microsoft.com/office/drawing/2014/main" id="{1F45CBD3-3D9E-452F-8D1A-E3D8C940F12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399" name="Rectangle 444">
          <a:extLst>
            <a:ext uri="{FF2B5EF4-FFF2-40B4-BE49-F238E27FC236}">
              <a16:creationId xmlns:a16="http://schemas.microsoft.com/office/drawing/2014/main" id="{59F6B213-2739-49DF-8844-8868D43EC84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0" name="Rectangle 445">
          <a:extLst>
            <a:ext uri="{FF2B5EF4-FFF2-40B4-BE49-F238E27FC236}">
              <a16:creationId xmlns:a16="http://schemas.microsoft.com/office/drawing/2014/main" id="{4FA9B6A7-9400-4DA6-B73F-2EB191B6FF8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1" name="Rectangle 446">
          <a:extLst>
            <a:ext uri="{FF2B5EF4-FFF2-40B4-BE49-F238E27FC236}">
              <a16:creationId xmlns:a16="http://schemas.microsoft.com/office/drawing/2014/main" id="{D034B98B-50E9-4B97-8DEA-2DEE51168A7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2" name="Rectangle 447">
          <a:extLst>
            <a:ext uri="{FF2B5EF4-FFF2-40B4-BE49-F238E27FC236}">
              <a16:creationId xmlns:a16="http://schemas.microsoft.com/office/drawing/2014/main" id="{39AD97A3-7280-46D5-BB15-EA9B83D0772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3" name="Rectangle 448">
          <a:extLst>
            <a:ext uri="{FF2B5EF4-FFF2-40B4-BE49-F238E27FC236}">
              <a16:creationId xmlns:a16="http://schemas.microsoft.com/office/drawing/2014/main" id="{00D71666-6055-4BFB-B5D4-955D128404B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4" name="Rectangle 449">
          <a:extLst>
            <a:ext uri="{FF2B5EF4-FFF2-40B4-BE49-F238E27FC236}">
              <a16:creationId xmlns:a16="http://schemas.microsoft.com/office/drawing/2014/main" id="{D6DF5A26-DA05-476F-B136-7ED009E31F8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5" name="Rectangle 450">
          <a:extLst>
            <a:ext uri="{FF2B5EF4-FFF2-40B4-BE49-F238E27FC236}">
              <a16:creationId xmlns:a16="http://schemas.microsoft.com/office/drawing/2014/main" id="{1C4EF422-1FB2-46D2-809F-0B3801D541A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6" name="Rectangle 451">
          <a:extLst>
            <a:ext uri="{FF2B5EF4-FFF2-40B4-BE49-F238E27FC236}">
              <a16:creationId xmlns:a16="http://schemas.microsoft.com/office/drawing/2014/main" id="{655C9D08-59C5-4CD0-B87E-64DD0E37111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7" name="Rectangle 452">
          <a:extLst>
            <a:ext uri="{FF2B5EF4-FFF2-40B4-BE49-F238E27FC236}">
              <a16:creationId xmlns:a16="http://schemas.microsoft.com/office/drawing/2014/main" id="{B369131D-4F05-423F-8EBC-9D14C7D1D35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8</xdr:row>
      <xdr:rowOff>0</xdr:rowOff>
    </xdr:from>
    <xdr:ext cx="28854" cy="132665"/>
    <xdr:sp macro="" textlink="">
      <xdr:nvSpPr>
        <xdr:cNvPr id="408" name="Rectangle 453">
          <a:extLst>
            <a:ext uri="{FF2B5EF4-FFF2-40B4-BE49-F238E27FC236}">
              <a16:creationId xmlns:a16="http://schemas.microsoft.com/office/drawing/2014/main" id="{CF71D0EC-294C-420E-82F8-B185434F67A3}"/>
            </a:ext>
          </a:extLst>
        </xdr:cNvPr>
        <xdr:cNvSpPr>
          <a:spLocks noChangeArrowheads="1"/>
        </xdr:cNvSpPr>
      </xdr:nvSpPr>
      <xdr:spPr bwMode="auto">
        <a:xfrm>
          <a:off x="60007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09" name="Rectangle 454">
          <a:extLst>
            <a:ext uri="{FF2B5EF4-FFF2-40B4-BE49-F238E27FC236}">
              <a16:creationId xmlns:a16="http://schemas.microsoft.com/office/drawing/2014/main" id="{261ACF06-54AF-48F1-9542-5B19EBBEA5E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0" name="Rectangle 455">
          <a:extLst>
            <a:ext uri="{FF2B5EF4-FFF2-40B4-BE49-F238E27FC236}">
              <a16:creationId xmlns:a16="http://schemas.microsoft.com/office/drawing/2014/main" id="{D6EE60E3-97F7-44F1-9B6A-7EACBA79C61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1" name="Rectangle 456">
          <a:extLst>
            <a:ext uri="{FF2B5EF4-FFF2-40B4-BE49-F238E27FC236}">
              <a16:creationId xmlns:a16="http://schemas.microsoft.com/office/drawing/2014/main" id="{F966CD27-A30C-49E5-9A8D-822CD38E305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2" name="Rectangle 457">
          <a:extLst>
            <a:ext uri="{FF2B5EF4-FFF2-40B4-BE49-F238E27FC236}">
              <a16:creationId xmlns:a16="http://schemas.microsoft.com/office/drawing/2014/main" id="{27EE0A06-B57E-4862-B09F-B47699F8399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3" name="Rectangle 458">
          <a:extLst>
            <a:ext uri="{FF2B5EF4-FFF2-40B4-BE49-F238E27FC236}">
              <a16:creationId xmlns:a16="http://schemas.microsoft.com/office/drawing/2014/main" id="{EC098D46-B5B4-4EF6-BBC2-7D53A2A8940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4" name="Rectangle 459">
          <a:extLst>
            <a:ext uri="{FF2B5EF4-FFF2-40B4-BE49-F238E27FC236}">
              <a16:creationId xmlns:a16="http://schemas.microsoft.com/office/drawing/2014/main" id="{D27775BA-AE4B-43A8-B89D-EB4735EC039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5" name="Rectangle 460">
          <a:extLst>
            <a:ext uri="{FF2B5EF4-FFF2-40B4-BE49-F238E27FC236}">
              <a16:creationId xmlns:a16="http://schemas.microsoft.com/office/drawing/2014/main" id="{96AEE061-288F-44EB-A2F3-B7EE5144989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6" name="Rectangle 461">
          <a:extLst>
            <a:ext uri="{FF2B5EF4-FFF2-40B4-BE49-F238E27FC236}">
              <a16:creationId xmlns:a16="http://schemas.microsoft.com/office/drawing/2014/main" id="{6C1673A0-B95B-4C1E-927E-99E23D6D238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7" name="Rectangle 462">
          <a:extLst>
            <a:ext uri="{FF2B5EF4-FFF2-40B4-BE49-F238E27FC236}">
              <a16:creationId xmlns:a16="http://schemas.microsoft.com/office/drawing/2014/main" id="{39E37D87-6166-41F8-AD93-15AA510C2292}"/>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8" name="Rectangle 463">
          <a:extLst>
            <a:ext uri="{FF2B5EF4-FFF2-40B4-BE49-F238E27FC236}">
              <a16:creationId xmlns:a16="http://schemas.microsoft.com/office/drawing/2014/main" id="{E20DA8BD-13B7-4AF7-B2A6-B0DBD53B3CE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19" name="Rectangle 464">
          <a:extLst>
            <a:ext uri="{FF2B5EF4-FFF2-40B4-BE49-F238E27FC236}">
              <a16:creationId xmlns:a16="http://schemas.microsoft.com/office/drawing/2014/main" id="{435BC3B9-708D-4FD6-9BE2-19777410112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0" name="Rectangle 465">
          <a:extLst>
            <a:ext uri="{FF2B5EF4-FFF2-40B4-BE49-F238E27FC236}">
              <a16:creationId xmlns:a16="http://schemas.microsoft.com/office/drawing/2014/main" id="{DC4A45FB-D78B-4DE5-8724-E68FB32E40F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421" name="Rectangle 466">
          <a:extLst>
            <a:ext uri="{FF2B5EF4-FFF2-40B4-BE49-F238E27FC236}">
              <a16:creationId xmlns:a16="http://schemas.microsoft.com/office/drawing/2014/main" id="{614A31BF-5EC4-4AED-95BC-C0C178206D5B}"/>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2" name="Rectangle 467">
          <a:extLst>
            <a:ext uri="{FF2B5EF4-FFF2-40B4-BE49-F238E27FC236}">
              <a16:creationId xmlns:a16="http://schemas.microsoft.com/office/drawing/2014/main" id="{5D6F93A0-17EF-47B1-B015-2B94BB065E7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3" name="Rectangle 468">
          <a:extLst>
            <a:ext uri="{FF2B5EF4-FFF2-40B4-BE49-F238E27FC236}">
              <a16:creationId xmlns:a16="http://schemas.microsoft.com/office/drawing/2014/main" id="{6C414B98-07BF-4586-ACCC-749B8A2DC2F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4" name="Rectangle 469">
          <a:extLst>
            <a:ext uri="{FF2B5EF4-FFF2-40B4-BE49-F238E27FC236}">
              <a16:creationId xmlns:a16="http://schemas.microsoft.com/office/drawing/2014/main" id="{A8E15B6D-A7E4-4D3D-8966-DE471F60B60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5" name="Rectangle 470">
          <a:extLst>
            <a:ext uri="{FF2B5EF4-FFF2-40B4-BE49-F238E27FC236}">
              <a16:creationId xmlns:a16="http://schemas.microsoft.com/office/drawing/2014/main" id="{E1950E81-4A27-4191-9870-D29DD57D26A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6" name="Rectangle 471">
          <a:extLst>
            <a:ext uri="{FF2B5EF4-FFF2-40B4-BE49-F238E27FC236}">
              <a16:creationId xmlns:a16="http://schemas.microsoft.com/office/drawing/2014/main" id="{374CCB97-9F0E-4227-8E05-1E37D655B7F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7" name="Rectangle 472">
          <a:extLst>
            <a:ext uri="{FF2B5EF4-FFF2-40B4-BE49-F238E27FC236}">
              <a16:creationId xmlns:a16="http://schemas.microsoft.com/office/drawing/2014/main" id="{9C779C7D-5D6C-4EEF-827B-A7EB6964296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8" name="Rectangle 473">
          <a:extLst>
            <a:ext uri="{FF2B5EF4-FFF2-40B4-BE49-F238E27FC236}">
              <a16:creationId xmlns:a16="http://schemas.microsoft.com/office/drawing/2014/main" id="{EF9D79DD-17CC-4AE6-90E5-A5FCDF151E9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29" name="Rectangle 474">
          <a:extLst>
            <a:ext uri="{FF2B5EF4-FFF2-40B4-BE49-F238E27FC236}">
              <a16:creationId xmlns:a16="http://schemas.microsoft.com/office/drawing/2014/main" id="{E3DDD037-BDDF-4EE9-9991-0B421A4F91B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0" name="Rectangle 475">
          <a:extLst>
            <a:ext uri="{FF2B5EF4-FFF2-40B4-BE49-F238E27FC236}">
              <a16:creationId xmlns:a16="http://schemas.microsoft.com/office/drawing/2014/main" id="{1A2EFCC0-9D29-43D3-BA59-0EEC5D4F690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1" name="Rectangle 476">
          <a:extLst>
            <a:ext uri="{FF2B5EF4-FFF2-40B4-BE49-F238E27FC236}">
              <a16:creationId xmlns:a16="http://schemas.microsoft.com/office/drawing/2014/main" id="{E2C7E430-7D4B-4829-A559-1BAE9A2BEFD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2" name="Rectangle 477">
          <a:extLst>
            <a:ext uri="{FF2B5EF4-FFF2-40B4-BE49-F238E27FC236}">
              <a16:creationId xmlns:a16="http://schemas.microsoft.com/office/drawing/2014/main" id="{63D908B4-2D56-446E-9F33-F7A4BC7532D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3" name="Rectangle 478">
          <a:extLst>
            <a:ext uri="{FF2B5EF4-FFF2-40B4-BE49-F238E27FC236}">
              <a16:creationId xmlns:a16="http://schemas.microsoft.com/office/drawing/2014/main" id="{4D9E68B4-DEAF-4CD1-B797-AA0631233FC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4" name="Rectangle 479">
          <a:extLst>
            <a:ext uri="{FF2B5EF4-FFF2-40B4-BE49-F238E27FC236}">
              <a16:creationId xmlns:a16="http://schemas.microsoft.com/office/drawing/2014/main" id="{9240653B-3BEE-4FA4-B465-520F8504999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5" name="Rectangle 480">
          <a:extLst>
            <a:ext uri="{FF2B5EF4-FFF2-40B4-BE49-F238E27FC236}">
              <a16:creationId xmlns:a16="http://schemas.microsoft.com/office/drawing/2014/main" id="{5ABAC658-FAB9-4058-811D-CF6077EB729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6" name="Rectangle 481">
          <a:extLst>
            <a:ext uri="{FF2B5EF4-FFF2-40B4-BE49-F238E27FC236}">
              <a16:creationId xmlns:a16="http://schemas.microsoft.com/office/drawing/2014/main" id="{C2461193-F7AA-4C1A-80AA-EBA9076B669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7" name="Rectangle 482">
          <a:extLst>
            <a:ext uri="{FF2B5EF4-FFF2-40B4-BE49-F238E27FC236}">
              <a16:creationId xmlns:a16="http://schemas.microsoft.com/office/drawing/2014/main" id="{770E55A4-C39A-48FB-B7A5-90D142C929E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8" name="Rectangle 483">
          <a:extLst>
            <a:ext uri="{FF2B5EF4-FFF2-40B4-BE49-F238E27FC236}">
              <a16:creationId xmlns:a16="http://schemas.microsoft.com/office/drawing/2014/main" id="{63DB84BB-F754-4D6A-8D68-877CD9FC67B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39" name="Rectangle 484">
          <a:extLst>
            <a:ext uri="{FF2B5EF4-FFF2-40B4-BE49-F238E27FC236}">
              <a16:creationId xmlns:a16="http://schemas.microsoft.com/office/drawing/2014/main" id="{C100683A-30C9-4E15-9451-F1949E1D9A8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440" name="Rectangle 485">
          <a:extLst>
            <a:ext uri="{FF2B5EF4-FFF2-40B4-BE49-F238E27FC236}">
              <a16:creationId xmlns:a16="http://schemas.microsoft.com/office/drawing/2014/main" id="{900CC2EF-781A-45EF-A970-AA21D4380373}"/>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1" name="Rectangle 486">
          <a:extLst>
            <a:ext uri="{FF2B5EF4-FFF2-40B4-BE49-F238E27FC236}">
              <a16:creationId xmlns:a16="http://schemas.microsoft.com/office/drawing/2014/main" id="{68DD2EA7-0AC8-4EC0-9182-B60B1C6E97E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2" name="Rectangle 487">
          <a:extLst>
            <a:ext uri="{FF2B5EF4-FFF2-40B4-BE49-F238E27FC236}">
              <a16:creationId xmlns:a16="http://schemas.microsoft.com/office/drawing/2014/main" id="{9C9ADFB6-A2FB-4709-84D1-78D68EEF1CC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3" name="Rectangle 488">
          <a:extLst>
            <a:ext uri="{FF2B5EF4-FFF2-40B4-BE49-F238E27FC236}">
              <a16:creationId xmlns:a16="http://schemas.microsoft.com/office/drawing/2014/main" id="{BFA26C4E-DD20-4DAA-8E9C-BE420E58D67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4" name="Rectangle 489">
          <a:extLst>
            <a:ext uri="{FF2B5EF4-FFF2-40B4-BE49-F238E27FC236}">
              <a16:creationId xmlns:a16="http://schemas.microsoft.com/office/drawing/2014/main" id="{EA7EEA5E-D489-47B7-9698-56B91E3D9CB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5" name="Rectangle 490">
          <a:extLst>
            <a:ext uri="{FF2B5EF4-FFF2-40B4-BE49-F238E27FC236}">
              <a16:creationId xmlns:a16="http://schemas.microsoft.com/office/drawing/2014/main" id="{4626A7DF-359D-40BB-B0CD-6CBD941A723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6" name="Rectangle 491">
          <a:extLst>
            <a:ext uri="{FF2B5EF4-FFF2-40B4-BE49-F238E27FC236}">
              <a16:creationId xmlns:a16="http://schemas.microsoft.com/office/drawing/2014/main" id="{A23EEE0D-C180-481F-955F-48DA0A389D3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7" name="Rectangle 492">
          <a:extLst>
            <a:ext uri="{FF2B5EF4-FFF2-40B4-BE49-F238E27FC236}">
              <a16:creationId xmlns:a16="http://schemas.microsoft.com/office/drawing/2014/main" id="{29449E03-BE7C-4CF6-AAB4-DF25D17E3E7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8" name="Rectangle 493">
          <a:extLst>
            <a:ext uri="{FF2B5EF4-FFF2-40B4-BE49-F238E27FC236}">
              <a16:creationId xmlns:a16="http://schemas.microsoft.com/office/drawing/2014/main" id="{A5ECE404-64C6-468C-A402-BD45882D81D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49" name="Rectangle 494">
          <a:extLst>
            <a:ext uri="{FF2B5EF4-FFF2-40B4-BE49-F238E27FC236}">
              <a16:creationId xmlns:a16="http://schemas.microsoft.com/office/drawing/2014/main" id="{56A3FC1D-8AF1-450B-A275-3892DFD7212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0" name="Rectangle 495">
          <a:extLst>
            <a:ext uri="{FF2B5EF4-FFF2-40B4-BE49-F238E27FC236}">
              <a16:creationId xmlns:a16="http://schemas.microsoft.com/office/drawing/2014/main" id="{EF528DEC-39D6-46AA-8232-81E727709C5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1" name="Rectangle 496">
          <a:extLst>
            <a:ext uri="{FF2B5EF4-FFF2-40B4-BE49-F238E27FC236}">
              <a16:creationId xmlns:a16="http://schemas.microsoft.com/office/drawing/2014/main" id="{3B7BEC1E-F3C6-486E-AF09-C1539B69BA2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2" name="Rectangle 497">
          <a:extLst>
            <a:ext uri="{FF2B5EF4-FFF2-40B4-BE49-F238E27FC236}">
              <a16:creationId xmlns:a16="http://schemas.microsoft.com/office/drawing/2014/main" id="{67C44319-C923-4D69-9527-62722420B8ED}"/>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3" name="Rectangle 498">
          <a:extLst>
            <a:ext uri="{FF2B5EF4-FFF2-40B4-BE49-F238E27FC236}">
              <a16:creationId xmlns:a16="http://schemas.microsoft.com/office/drawing/2014/main" id="{3F8FB280-07C5-4076-BB16-9807B6EC5FA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4" name="Rectangle 499">
          <a:extLst>
            <a:ext uri="{FF2B5EF4-FFF2-40B4-BE49-F238E27FC236}">
              <a16:creationId xmlns:a16="http://schemas.microsoft.com/office/drawing/2014/main" id="{FCC644C9-03CA-4A5B-93E7-59B68CCFA49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5" name="Rectangle 500">
          <a:extLst>
            <a:ext uri="{FF2B5EF4-FFF2-40B4-BE49-F238E27FC236}">
              <a16:creationId xmlns:a16="http://schemas.microsoft.com/office/drawing/2014/main" id="{05EBB0AE-6A79-4727-AE5C-BD7CC969C1F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6" name="Rectangle 501">
          <a:extLst>
            <a:ext uri="{FF2B5EF4-FFF2-40B4-BE49-F238E27FC236}">
              <a16:creationId xmlns:a16="http://schemas.microsoft.com/office/drawing/2014/main" id="{0E0BE487-B6D2-4D05-9E46-89199C4C0F01}"/>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7" name="Rectangle 502">
          <a:extLst>
            <a:ext uri="{FF2B5EF4-FFF2-40B4-BE49-F238E27FC236}">
              <a16:creationId xmlns:a16="http://schemas.microsoft.com/office/drawing/2014/main" id="{30F7954A-4EEA-4653-8464-36ACB37E755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8" name="Rectangle 503">
          <a:extLst>
            <a:ext uri="{FF2B5EF4-FFF2-40B4-BE49-F238E27FC236}">
              <a16:creationId xmlns:a16="http://schemas.microsoft.com/office/drawing/2014/main" id="{B33EEE57-0DBF-4E25-8AB9-5CA15100D7C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59" name="Rectangle 504">
          <a:extLst>
            <a:ext uri="{FF2B5EF4-FFF2-40B4-BE49-F238E27FC236}">
              <a16:creationId xmlns:a16="http://schemas.microsoft.com/office/drawing/2014/main" id="{5646E6E4-8741-4DB5-AF00-A3CD9206A0CE}"/>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0" name="Rectangle 505">
          <a:extLst>
            <a:ext uri="{FF2B5EF4-FFF2-40B4-BE49-F238E27FC236}">
              <a16:creationId xmlns:a16="http://schemas.microsoft.com/office/drawing/2014/main" id="{52527BA1-CABD-4F4A-9D5A-48D9905378B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1" name="Rectangle 506">
          <a:extLst>
            <a:ext uri="{FF2B5EF4-FFF2-40B4-BE49-F238E27FC236}">
              <a16:creationId xmlns:a16="http://schemas.microsoft.com/office/drawing/2014/main" id="{E6B7940F-9444-47D5-88DF-547EA730BA4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2" name="Rectangle 507">
          <a:extLst>
            <a:ext uri="{FF2B5EF4-FFF2-40B4-BE49-F238E27FC236}">
              <a16:creationId xmlns:a16="http://schemas.microsoft.com/office/drawing/2014/main" id="{34D791EE-084A-47C7-A098-9A0ADF920459}"/>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3" name="Rectangle 508">
          <a:extLst>
            <a:ext uri="{FF2B5EF4-FFF2-40B4-BE49-F238E27FC236}">
              <a16:creationId xmlns:a16="http://schemas.microsoft.com/office/drawing/2014/main" id="{C7F5597F-36DC-43CD-AE07-90072B3B6428}"/>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4" name="Rectangle 509">
          <a:extLst>
            <a:ext uri="{FF2B5EF4-FFF2-40B4-BE49-F238E27FC236}">
              <a16:creationId xmlns:a16="http://schemas.microsoft.com/office/drawing/2014/main" id="{478224A6-2964-4219-A953-BA4F72684C8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8</xdr:row>
      <xdr:rowOff>0</xdr:rowOff>
    </xdr:from>
    <xdr:ext cx="28854" cy="132665"/>
    <xdr:sp macro="" textlink="">
      <xdr:nvSpPr>
        <xdr:cNvPr id="465" name="Rectangle 510">
          <a:extLst>
            <a:ext uri="{FF2B5EF4-FFF2-40B4-BE49-F238E27FC236}">
              <a16:creationId xmlns:a16="http://schemas.microsoft.com/office/drawing/2014/main" id="{92EEC9A3-C0DD-461D-860D-76C5192AD300}"/>
            </a:ext>
          </a:extLst>
        </xdr:cNvPr>
        <xdr:cNvSpPr>
          <a:spLocks noChangeArrowheads="1"/>
        </xdr:cNvSpPr>
      </xdr:nvSpPr>
      <xdr:spPr bwMode="auto">
        <a:xfrm>
          <a:off x="590550"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6" name="Rectangle 511">
          <a:extLst>
            <a:ext uri="{FF2B5EF4-FFF2-40B4-BE49-F238E27FC236}">
              <a16:creationId xmlns:a16="http://schemas.microsoft.com/office/drawing/2014/main" id="{DBB9CD86-C797-42DA-BAD9-28590B3BEE6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7" name="Rectangle 512">
          <a:extLst>
            <a:ext uri="{FF2B5EF4-FFF2-40B4-BE49-F238E27FC236}">
              <a16:creationId xmlns:a16="http://schemas.microsoft.com/office/drawing/2014/main" id="{8FCEDD5D-7CA5-4A7B-B713-07F6C27BA035}"/>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8" name="Rectangle 513">
          <a:extLst>
            <a:ext uri="{FF2B5EF4-FFF2-40B4-BE49-F238E27FC236}">
              <a16:creationId xmlns:a16="http://schemas.microsoft.com/office/drawing/2014/main" id="{CD0AE055-0E60-4159-AB70-65EBB71ED78B}"/>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69" name="Rectangle 514">
          <a:extLst>
            <a:ext uri="{FF2B5EF4-FFF2-40B4-BE49-F238E27FC236}">
              <a16:creationId xmlns:a16="http://schemas.microsoft.com/office/drawing/2014/main" id="{1B68C31A-9013-4ADC-A7BF-78FE2E016C8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0" name="Rectangle 515">
          <a:extLst>
            <a:ext uri="{FF2B5EF4-FFF2-40B4-BE49-F238E27FC236}">
              <a16:creationId xmlns:a16="http://schemas.microsoft.com/office/drawing/2014/main" id="{4FE03D6F-97FD-4D69-A392-7936E6F1B3EA}"/>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1" name="Rectangle 516">
          <a:extLst>
            <a:ext uri="{FF2B5EF4-FFF2-40B4-BE49-F238E27FC236}">
              <a16:creationId xmlns:a16="http://schemas.microsoft.com/office/drawing/2014/main" id="{19DA2D01-C8B3-4349-840F-8F75D510D70C}"/>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2" name="Rectangle 517">
          <a:extLst>
            <a:ext uri="{FF2B5EF4-FFF2-40B4-BE49-F238E27FC236}">
              <a16:creationId xmlns:a16="http://schemas.microsoft.com/office/drawing/2014/main" id="{D678F750-AAE9-49FD-AF20-4F539E0E406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3" name="Rectangle 518">
          <a:extLst>
            <a:ext uri="{FF2B5EF4-FFF2-40B4-BE49-F238E27FC236}">
              <a16:creationId xmlns:a16="http://schemas.microsoft.com/office/drawing/2014/main" id="{428ECA40-CE45-4E28-B84C-A48A8EC7520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4" name="Rectangle 519">
          <a:extLst>
            <a:ext uri="{FF2B5EF4-FFF2-40B4-BE49-F238E27FC236}">
              <a16:creationId xmlns:a16="http://schemas.microsoft.com/office/drawing/2014/main" id="{026AAF50-364C-4FF8-ABB1-857D5D5BB96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5" name="Rectangle 520">
          <a:extLst>
            <a:ext uri="{FF2B5EF4-FFF2-40B4-BE49-F238E27FC236}">
              <a16:creationId xmlns:a16="http://schemas.microsoft.com/office/drawing/2014/main" id="{F6A07339-831F-4D3A-857E-DD37A740653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6" name="Rectangle 521">
          <a:extLst>
            <a:ext uri="{FF2B5EF4-FFF2-40B4-BE49-F238E27FC236}">
              <a16:creationId xmlns:a16="http://schemas.microsoft.com/office/drawing/2014/main" id="{CB6465FD-593A-4D4C-9424-91BF317E4310}"/>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7" name="Rectangle 522">
          <a:extLst>
            <a:ext uri="{FF2B5EF4-FFF2-40B4-BE49-F238E27FC236}">
              <a16:creationId xmlns:a16="http://schemas.microsoft.com/office/drawing/2014/main" id="{83312AD2-366C-4E0A-B53E-ABB49C244E53}"/>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8" name="Rectangle 523">
          <a:extLst>
            <a:ext uri="{FF2B5EF4-FFF2-40B4-BE49-F238E27FC236}">
              <a16:creationId xmlns:a16="http://schemas.microsoft.com/office/drawing/2014/main" id="{9F0029E1-C424-470F-80FF-F4619D3A6FA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79" name="Rectangle 524">
          <a:extLst>
            <a:ext uri="{FF2B5EF4-FFF2-40B4-BE49-F238E27FC236}">
              <a16:creationId xmlns:a16="http://schemas.microsoft.com/office/drawing/2014/main" id="{A27E7097-7597-4266-98EB-4D8709754387}"/>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80" name="Rectangle 525">
          <a:extLst>
            <a:ext uri="{FF2B5EF4-FFF2-40B4-BE49-F238E27FC236}">
              <a16:creationId xmlns:a16="http://schemas.microsoft.com/office/drawing/2014/main" id="{905CEDDB-2DC6-41DB-B6FE-2ACCE38F65F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81" name="Rectangle 526">
          <a:extLst>
            <a:ext uri="{FF2B5EF4-FFF2-40B4-BE49-F238E27FC236}">
              <a16:creationId xmlns:a16="http://schemas.microsoft.com/office/drawing/2014/main" id="{6A27E260-A180-4ECA-A36E-3A2B16849896}"/>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82" name="Rectangle 527">
          <a:extLst>
            <a:ext uri="{FF2B5EF4-FFF2-40B4-BE49-F238E27FC236}">
              <a16:creationId xmlns:a16="http://schemas.microsoft.com/office/drawing/2014/main" id="{E955C3A2-1B57-4B1A-9B6F-B517C94235CF}"/>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8</xdr:row>
      <xdr:rowOff>0</xdr:rowOff>
    </xdr:from>
    <xdr:ext cx="28854" cy="132665"/>
    <xdr:sp macro="" textlink="">
      <xdr:nvSpPr>
        <xdr:cNvPr id="483" name="Rectangle 528">
          <a:extLst>
            <a:ext uri="{FF2B5EF4-FFF2-40B4-BE49-F238E27FC236}">
              <a16:creationId xmlns:a16="http://schemas.microsoft.com/office/drawing/2014/main" id="{46262AF1-134A-4D58-BD3F-ADE31747BFC4}"/>
            </a:ext>
          </a:extLst>
        </xdr:cNvPr>
        <xdr:cNvSpPr>
          <a:spLocks noChangeArrowheads="1"/>
        </xdr:cNvSpPr>
      </xdr:nvSpPr>
      <xdr:spPr bwMode="auto">
        <a:xfrm>
          <a:off x="581025" y="13144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84" name="Rectangle 238">
          <a:extLst>
            <a:ext uri="{FF2B5EF4-FFF2-40B4-BE49-F238E27FC236}">
              <a16:creationId xmlns:a16="http://schemas.microsoft.com/office/drawing/2014/main" id="{89741713-2970-46CC-9855-26E494EFC4F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85" name="Rectangle 249">
          <a:extLst>
            <a:ext uri="{FF2B5EF4-FFF2-40B4-BE49-F238E27FC236}">
              <a16:creationId xmlns:a16="http://schemas.microsoft.com/office/drawing/2014/main" id="{66354C08-4588-4601-BADD-0E8883129BA0}"/>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86" name="Rectangle 251">
          <a:extLst>
            <a:ext uri="{FF2B5EF4-FFF2-40B4-BE49-F238E27FC236}">
              <a16:creationId xmlns:a16="http://schemas.microsoft.com/office/drawing/2014/main" id="{17DEB898-2D41-4678-980A-957DA0FB0BB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87" name="Rectangle 253">
          <a:extLst>
            <a:ext uri="{FF2B5EF4-FFF2-40B4-BE49-F238E27FC236}">
              <a16:creationId xmlns:a16="http://schemas.microsoft.com/office/drawing/2014/main" id="{5FA0250D-9CAA-467B-9FA1-733E988769D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88" name="Rectangle 254">
          <a:extLst>
            <a:ext uri="{FF2B5EF4-FFF2-40B4-BE49-F238E27FC236}">
              <a16:creationId xmlns:a16="http://schemas.microsoft.com/office/drawing/2014/main" id="{02CE3E02-B90F-40BC-98B2-0EF0286A766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89" name="Rectangle 255">
          <a:extLst>
            <a:ext uri="{FF2B5EF4-FFF2-40B4-BE49-F238E27FC236}">
              <a16:creationId xmlns:a16="http://schemas.microsoft.com/office/drawing/2014/main" id="{C850D6E9-B21B-41EA-9D20-D234B8F3D1F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0" name="Rectangle 257">
          <a:extLst>
            <a:ext uri="{FF2B5EF4-FFF2-40B4-BE49-F238E27FC236}">
              <a16:creationId xmlns:a16="http://schemas.microsoft.com/office/drawing/2014/main" id="{F63EAB5F-7ED5-418B-86DD-26C65DEFB22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1" name="Rectangle 258">
          <a:extLst>
            <a:ext uri="{FF2B5EF4-FFF2-40B4-BE49-F238E27FC236}">
              <a16:creationId xmlns:a16="http://schemas.microsoft.com/office/drawing/2014/main" id="{E7A0F6EA-BA37-40ED-BBBB-60B67728F65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2" name="Rectangle 259">
          <a:extLst>
            <a:ext uri="{FF2B5EF4-FFF2-40B4-BE49-F238E27FC236}">
              <a16:creationId xmlns:a16="http://schemas.microsoft.com/office/drawing/2014/main" id="{F1AC9182-2D1F-4380-969E-2289FFA5042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3" name="Rectangle 260">
          <a:extLst>
            <a:ext uri="{FF2B5EF4-FFF2-40B4-BE49-F238E27FC236}">
              <a16:creationId xmlns:a16="http://schemas.microsoft.com/office/drawing/2014/main" id="{55B54657-C103-420C-91FA-25A52A85668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4" name="Rectangle 261">
          <a:extLst>
            <a:ext uri="{FF2B5EF4-FFF2-40B4-BE49-F238E27FC236}">
              <a16:creationId xmlns:a16="http://schemas.microsoft.com/office/drawing/2014/main" id="{6D13247F-C28E-4593-A6A0-A91EF648A55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5" name="Rectangle 262">
          <a:extLst>
            <a:ext uri="{FF2B5EF4-FFF2-40B4-BE49-F238E27FC236}">
              <a16:creationId xmlns:a16="http://schemas.microsoft.com/office/drawing/2014/main" id="{A6E986AB-AA11-4B8A-A54D-7525AF02A92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7</xdr:row>
      <xdr:rowOff>0</xdr:rowOff>
    </xdr:from>
    <xdr:ext cx="28854" cy="132665"/>
    <xdr:sp macro="" textlink="">
      <xdr:nvSpPr>
        <xdr:cNvPr id="496" name="Rectangle 263">
          <a:extLst>
            <a:ext uri="{FF2B5EF4-FFF2-40B4-BE49-F238E27FC236}">
              <a16:creationId xmlns:a16="http://schemas.microsoft.com/office/drawing/2014/main" id="{960CCB02-6E33-4B90-B2FA-C3F9E5DCACDC}"/>
            </a:ext>
          </a:extLst>
        </xdr:cNvPr>
        <xdr:cNvSpPr>
          <a:spLocks noChangeArrowheads="1"/>
        </xdr:cNvSpPr>
      </xdr:nvSpPr>
      <xdr:spPr bwMode="auto">
        <a:xfrm>
          <a:off x="60007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7" name="Rectangle 264">
          <a:extLst>
            <a:ext uri="{FF2B5EF4-FFF2-40B4-BE49-F238E27FC236}">
              <a16:creationId xmlns:a16="http://schemas.microsoft.com/office/drawing/2014/main" id="{286A90A4-A973-4AFA-A64C-660CD6D376B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8" name="Rectangle 265">
          <a:extLst>
            <a:ext uri="{FF2B5EF4-FFF2-40B4-BE49-F238E27FC236}">
              <a16:creationId xmlns:a16="http://schemas.microsoft.com/office/drawing/2014/main" id="{D97F1A03-DA9B-4886-A583-43B38B171B2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499" name="Rectangle 266">
          <a:extLst>
            <a:ext uri="{FF2B5EF4-FFF2-40B4-BE49-F238E27FC236}">
              <a16:creationId xmlns:a16="http://schemas.microsoft.com/office/drawing/2014/main" id="{121049A1-7CDF-4AD5-AE54-BD9B4798FC6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0" name="Rectangle 267">
          <a:extLst>
            <a:ext uri="{FF2B5EF4-FFF2-40B4-BE49-F238E27FC236}">
              <a16:creationId xmlns:a16="http://schemas.microsoft.com/office/drawing/2014/main" id="{F52164C8-DE6B-46BC-B6AE-19D2620B309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1" name="Rectangle 268">
          <a:extLst>
            <a:ext uri="{FF2B5EF4-FFF2-40B4-BE49-F238E27FC236}">
              <a16:creationId xmlns:a16="http://schemas.microsoft.com/office/drawing/2014/main" id="{35C31AF9-F492-41AF-BB7E-9777E2BF254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2" name="Rectangle 269">
          <a:extLst>
            <a:ext uri="{FF2B5EF4-FFF2-40B4-BE49-F238E27FC236}">
              <a16:creationId xmlns:a16="http://schemas.microsoft.com/office/drawing/2014/main" id="{C160FA3B-BD53-4AA8-9847-F0EC5C6C95C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3" name="Rectangle 270">
          <a:extLst>
            <a:ext uri="{FF2B5EF4-FFF2-40B4-BE49-F238E27FC236}">
              <a16:creationId xmlns:a16="http://schemas.microsoft.com/office/drawing/2014/main" id="{B969ACED-D34C-4A24-A73B-E4BFAD7DAAB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4" name="Rectangle 271">
          <a:extLst>
            <a:ext uri="{FF2B5EF4-FFF2-40B4-BE49-F238E27FC236}">
              <a16:creationId xmlns:a16="http://schemas.microsoft.com/office/drawing/2014/main" id="{29A2CF36-EBBD-4A63-8EDD-9A55B1AF9D1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5" name="Rectangle 272">
          <a:extLst>
            <a:ext uri="{FF2B5EF4-FFF2-40B4-BE49-F238E27FC236}">
              <a16:creationId xmlns:a16="http://schemas.microsoft.com/office/drawing/2014/main" id="{A7365F5C-F4EB-442A-B883-3969216DCAC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6" name="Rectangle 273">
          <a:extLst>
            <a:ext uri="{FF2B5EF4-FFF2-40B4-BE49-F238E27FC236}">
              <a16:creationId xmlns:a16="http://schemas.microsoft.com/office/drawing/2014/main" id="{48787CF4-D7BC-4763-8E44-0E487644554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7" name="Rectangle 274">
          <a:extLst>
            <a:ext uri="{FF2B5EF4-FFF2-40B4-BE49-F238E27FC236}">
              <a16:creationId xmlns:a16="http://schemas.microsoft.com/office/drawing/2014/main" id="{EE7B8BFF-D713-408F-B07C-F5CE2FECBB0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08" name="Rectangle 275">
          <a:extLst>
            <a:ext uri="{FF2B5EF4-FFF2-40B4-BE49-F238E27FC236}">
              <a16:creationId xmlns:a16="http://schemas.microsoft.com/office/drawing/2014/main" id="{70477186-B5C5-4FFE-9435-83DC4C02BA3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509" name="Rectangle 276">
          <a:extLst>
            <a:ext uri="{FF2B5EF4-FFF2-40B4-BE49-F238E27FC236}">
              <a16:creationId xmlns:a16="http://schemas.microsoft.com/office/drawing/2014/main" id="{FA280F56-3E0B-45B7-BE26-E0EB14788FF9}"/>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0" name="Rectangle 277">
          <a:extLst>
            <a:ext uri="{FF2B5EF4-FFF2-40B4-BE49-F238E27FC236}">
              <a16:creationId xmlns:a16="http://schemas.microsoft.com/office/drawing/2014/main" id="{008FDD90-311B-4ED9-8B76-5512E7EF406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1" name="Rectangle 278">
          <a:extLst>
            <a:ext uri="{FF2B5EF4-FFF2-40B4-BE49-F238E27FC236}">
              <a16:creationId xmlns:a16="http://schemas.microsoft.com/office/drawing/2014/main" id="{6C60051B-CE46-4E48-A038-518E065108B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2" name="Rectangle 279">
          <a:extLst>
            <a:ext uri="{FF2B5EF4-FFF2-40B4-BE49-F238E27FC236}">
              <a16:creationId xmlns:a16="http://schemas.microsoft.com/office/drawing/2014/main" id="{15F3DD50-E226-442A-99AC-CA85C9AB2E3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3" name="Rectangle 280">
          <a:extLst>
            <a:ext uri="{FF2B5EF4-FFF2-40B4-BE49-F238E27FC236}">
              <a16:creationId xmlns:a16="http://schemas.microsoft.com/office/drawing/2014/main" id="{27232BEB-C1AC-4DD1-A92F-75C210094ED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4" name="Rectangle 281">
          <a:extLst>
            <a:ext uri="{FF2B5EF4-FFF2-40B4-BE49-F238E27FC236}">
              <a16:creationId xmlns:a16="http://schemas.microsoft.com/office/drawing/2014/main" id="{F330D329-B4C5-49FC-9CD4-D43BAEE01D1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5" name="Rectangle 282">
          <a:extLst>
            <a:ext uri="{FF2B5EF4-FFF2-40B4-BE49-F238E27FC236}">
              <a16:creationId xmlns:a16="http://schemas.microsoft.com/office/drawing/2014/main" id="{7F4DB21F-D960-4296-8B88-D3CE4EF832C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6" name="Rectangle 283">
          <a:extLst>
            <a:ext uri="{FF2B5EF4-FFF2-40B4-BE49-F238E27FC236}">
              <a16:creationId xmlns:a16="http://schemas.microsoft.com/office/drawing/2014/main" id="{33C892A9-2A56-4C27-94A3-9DEBB8D9930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7" name="Rectangle 284">
          <a:extLst>
            <a:ext uri="{FF2B5EF4-FFF2-40B4-BE49-F238E27FC236}">
              <a16:creationId xmlns:a16="http://schemas.microsoft.com/office/drawing/2014/main" id="{543AD2F2-16FD-4D5B-BD6E-02A633676B5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8" name="Rectangle 285">
          <a:extLst>
            <a:ext uri="{FF2B5EF4-FFF2-40B4-BE49-F238E27FC236}">
              <a16:creationId xmlns:a16="http://schemas.microsoft.com/office/drawing/2014/main" id="{157811AA-47DF-4F76-A4A3-76B6BC0A9CC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19" name="Rectangle 286">
          <a:extLst>
            <a:ext uri="{FF2B5EF4-FFF2-40B4-BE49-F238E27FC236}">
              <a16:creationId xmlns:a16="http://schemas.microsoft.com/office/drawing/2014/main" id="{2D803219-BB20-47BA-B790-161950EB3CB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0" name="Rectangle 287">
          <a:extLst>
            <a:ext uri="{FF2B5EF4-FFF2-40B4-BE49-F238E27FC236}">
              <a16:creationId xmlns:a16="http://schemas.microsoft.com/office/drawing/2014/main" id="{51E2AD17-A9C4-4DBC-9096-82DE1149193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1" name="Rectangle 288">
          <a:extLst>
            <a:ext uri="{FF2B5EF4-FFF2-40B4-BE49-F238E27FC236}">
              <a16:creationId xmlns:a16="http://schemas.microsoft.com/office/drawing/2014/main" id="{16C483F7-398D-45F0-883D-84ED2979C1E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2" name="Rectangle 289">
          <a:extLst>
            <a:ext uri="{FF2B5EF4-FFF2-40B4-BE49-F238E27FC236}">
              <a16:creationId xmlns:a16="http://schemas.microsoft.com/office/drawing/2014/main" id="{F17078BE-838E-4CED-9FC1-2C121279E1E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3" name="Rectangle 290">
          <a:extLst>
            <a:ext uri="{FF2B5EF4-FFF2-40B4-BE49-F238E27FC236}">
              <a16:creationId xmlns:a16="http://schemas.microsoft.com/office/drawing/2014/main" id="{957D0A0D-FFE3-478E-B171-7C761E9A7FA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4" name="Rectangle 291">
          <a:extLst>
            <a:ext uri="{FF2B5EF4-FFF2-40B4-BE49-F238E27FC236}">
              <a16:creationId xmlns:a16="http://schemas.microsoft.com/office/drawing/2014/main" id="{F2044FEF-C304-49A6-8853-04687E470E4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5" name="Rectangle 292">
          <a:extLst>
            <a:ext uri="{FF2B5EF4-FFF2-40B4-BE49-F238E27FC236}">
              <a16:creationId xmlns:a16="http://schemas.microsoft.com/office/drawing/2014/main" id="{79E409CD-4A2B-4FC0-B480-F0409B35AE0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6" name="Rectangle 293">
          <a:extLst>
            <a:ext uri="{FF2B5EF4-FFF2-40B4-BE49-F238E27FC236}">
              <a16:creationId xmlns:a16="http://schemas.microsoft.com/office/drawing/2014/main" id="{81C92E16-418C-4CF9-B39F-3FFEC5B01D9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7" name="Rectangle 294">
          <a:extLst>
            <a:ext uri="{FF2B5EF4-FFF2-40B4-BE49-F238E27FC236}">
              <a16:creationId xmlns:a16="http://schemas.microsoft.com/office/drawing/2014/main" id="{41F77F9A-7004-46B7-ABE3-458D2B79DCD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528" name="Rectangle 295">
          <a:extLst>
            <a:ext uri="{FF2B5EF4-FFF2-40B4-BE49-F238E27FC236}">
              <a16:creationId xmlns:a16="http://schemas.microsoft.com/office/drawing/2014/main" id="{C4B34600-81E8-4311-9ABF-5E809F33E68F}"/>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29" name="Rectangle 296">
          <a:extLst>
            <a:ext uri="{FF2B5EF4-FFF2-40B4-BE49-F238E27FC236}">
              <a16:creationId xmlns:a16="http://schemas.microsoft.com/office/drawing/2014/main" id="{A1646F76-559A-4492-AFC1-7FB57C9D58E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0" name="Rectangle 297">
          <a:extLst>
            <a:ext uri="{FF2B5EF4-FFF2-40B4-BE49-F238E27FC236}">
              <a16:creationId xmlns:a16="http://schemas.microsoft.com/office/drawing/2014/main" id="{32364983-0542-4B93-A1C4-FC8CA65FDBD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1" name="Rectangle 298">
          <a:extLst>
            <a:ext uri="{FF2B5EF4-FFF2-40B4-BE49-F238E27FC236}">
              <a16:creationId xmlns:a16="http://schemas.microsoft.com/office/drawing/2014/main" id="{14229E22-30C5-4E2B-8A7E-64DA32B4B0C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2" name="Rectangle 299">
          <a:extLst>
            <a:ext uri="{FF2B5EF4-FFF2-40B4-BE49-F238E27FC236}">
              <a16:creationId xmlns:a16="http://schemas.microsoft.com/office/drawing/2014/main" id="{79D59B92-0EF1-400B-93D1-6896B06F599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3" name="Rectangle 300">
          <a:extLst>
            <a:ext uri="{FF2B5EF4-FFF2-40B4-BE49-F238E27FC236}">
              <a16:creationId xmlns:a16="http://schemas.microsoft.com/office/drawing/2014/main" id="{4B4BB9DB-B7BB-4ED7-A157-706032461FA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4" name="Rectangle 301">
          <a:extLst>
            <a:ext uri="{FF2B5EF4-FFF2-40B4-BE49-F238E27FC236}">
              <a16:creationId xmlns:a16="http://schemas.microsoft.com/office/drawing/2014/main" id="{91B19706-3633-4AE6-B9A5-20186A5C809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5" name="Rectangle 302">
          <a:extLst>
            <a:ext uri="{FF2B5EF4-FFF2-40B4-BE49-F238E27FC236}">
              <a16:creationId xmlns:a16="http://schemas.microsoft.com/office/drawing/2014/main" id="{A307756F-94F8-4A66-BB85-09EEB502630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6" name="Rectangle 303">
          <a:extLst>
            <a:ext uri="{FF2B5EF4-FFF2-40B4-BE49-F238E27FC236}">
              <a16:creationId xmlns:a16="http://schemas.microsoft.com/office/drawing/2014/main" id="{41ABE661-20EA-4798-B303-8285EB05991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7" name="Rectangle 304">
          <a:extLst>
            <a:ext uri="{FF2B5EF4-FFF2-40B4-BE49-F238E27FC236}">
              <a16:creationId xmlns:a16="http://schemas.microsoft.com/office/drawing/2014/main" id="{AB4CD0B2-0192-418C-9645-20B5FC2AD9F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8" name="Rectangle 305">
          <a:extLst>
            <a:ext uri="{FF2B5EF4-FFF2-40B4-BE49-F238E27FC236}">
              <a16:creationId xmlns:a16="http://schemas.microsoft.com/office/drawing/2014/main" id="{D12FF9FB-705A-42FB-8112-ED9B2D1D621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39" name="Rectangle 306">
          <a:extLst>
            <a:ext uri="{FF2B5EF4-FFF2-40B4-BE49-F238E27FC236}">
              <a16:creationId xmlns:a16="http://schemas.microsoft.com/office/drawing/2014/main" id="{1DD50EE6-ECFC-4379-BD33-A39FF33CB04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0" name="Rectangle 307">
          <a:extLst>
            <a:ext uri="{FF2B5EF4-FFF2-40B4-BE49-F238E27FC236}">
              <a16:creationId xmlns:a16="http://schemas.microsoft.com/office/drawing/2014/main" id="{F6ACB09C-B63D-4FEC-8B07-550138A5503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1" name="Rectangle 308">
          <a:extLst>
            <a:ext uri="{FF2B5EF4-FFF2-40B4-BE49-F238E27FC236}">
              <a16:creationId xmlns:a16="http://schemas.microsoft.com/office/drawing/2014/main" id="{5D679918-26B6-457C-B73E-1575C70DD310}"/>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2" name="Rectangle 309">
          <a:extLst>
            <a:ext uri="{FF2B5EF4-FFF2-40B4-BE49-F238E27FC236}">
              <a16:creationId xmlns:a16="http://schemas.microsoft.com/office/drawing/2014/main" id="{820047AF-E4B8-4D03-9079-EC0E213FDDF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3" name="Rectangle 310">
          <a:extLst>
            <a:ext uri="{FF2B5EF4-FFF2-40B4-BE49-F238E27FC236}">
              <a16:creationId xmlns:a16="http://schemas.microsoft.com/office/drawing/2014/main" id="{4E5BDA60-3E8D-4FDA-BC95-31536BAE181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4" name="Rectangle 311">
          <a:extLst>
            <a:ext uri="{FF2B5EF4-FFF2-40B4-BE49-F238E27FC236}">
              <a16:creationId xmlns:a16="http://schemas.microsoft.com/office/drawing/2014/main" id="{0C2ED18B-C601-41A7-9504-BF60AAFC332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5" name="Rectangle 312">
          <a:extLst>
            <a:ext uri="{FF2B5EF4-FFF2-40B4-BE49-F238E27FC236}">
              <a16:creationId xmlns:a16="http://schemas.microsoft.com/office/drawing/2014/main" id="{29AAE9AA-0CC9-4F3D-9BE5-E03BB6DB627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6" name="Rectangle 313">
          <a:extLst>
            <a:ext uri="{FF2B5EF4-FFF2-40B4-BE49-F238E27FC236}">
              <a16:creationId xmlns:a16="http://schemas.microsoft.com/office/drawing/2014/main" id="{0B81D01D-9520-434C-BD6D-9CCA119A6BD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7" name="Rectangle 314">
          <a:extLst>
            <a:ext uri="{FF2B5EF4-FFF2-40B4-BE49-F238E27FC236}">
              <a16:creationId xmlns:a16="http://schemas.microsoft.com/office/drawing/2014/main" id="{AD827C0C-07F7-41C0-B279-F3424B3E036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8" name="Rectangle 315">
          <a:extLst>
            <a:ext uri="{FF2B5EF4-FFF2-40B4-BE49-F238E27FC236}">
              <a16:creationId xmlns:a16="http://schemas.microsoft.com/office/drawing/2014/main" id="{0CA7FF3C-73A3-48D5-8A60-90684955BD5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49" name="Rectangle 316">
          <a:extLst>
            <a:ext uri="{FF2B5EF4-FFF2-40B4-BE49-F238E27FC236}">
              <a16:creationId xmlns:a16="http://schemas.microsoft.com/office/drawing/2014/main" id="{DB720059-63AD-4495-9784-271EEF35A8F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0" name="Rectangle 317">
          <a:extLst>
            <a:ext uri="{FF2B5EF4-FFF2-40B4-BE49-F238E27FC236}">
              <a16:creationId xmlns:a16="http://schemas.microsoft.com/office/drawing/2014/main" id="{53D8EA13-D1B6-4959-87C9-143ED98A843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1" name="Rectangle 318">
          <a:extLst>
            <a:ext uri="{FF2B5EF4-FFF2-40B4-BE49-F238E27FC236}">
              <a16:creationId xmlns:a16="http://schemas.microsoft.com/office/drawing/2014/main" id="{2F60E2BC-FFA4-4D1F-AFCA-2716792405E0}"/>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2" name="Rectangle 319">
          <a:extLst>
            <a:ext uri="{FF2B5EF4-FFF2-40B4-BE49-F238E27FC236}">
              <a16:creationId xmlns:a16="http://schemas.microsoft.com/office/drawing/2014/main" id="{48E45113-FB64-497E-B567-B39CB224EFE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553" name="Rectangle 320">
          <a:extLst>
            <a:ext uri="{FF2B5EF4-FFF2-40B4-BE49-F238E27FC236}">
              <a16:creationId xmlns:a16="http://schemas.microsoft.com/office/drawing/2014/main" id="{A38BE545-111F-453E-ACD0-479132112FFC}"/>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4" name="Rectangle 321">
          <a:extLst>
            <a:ext uri="{FF2B5EF4-FFF2-40B4-BE49-F238E27FC236}">
              <a16:creationId xmlns:a16="http://schemas.microsoft.com/office/drawing/2014/main" id="{B8EB5AFD-BE1D-4F37-B298-92D098C0B04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5" name="Rectangle 322">
          <a:extLst>
            <a:ext uri="{FF2B5EF4-FFF2-40B4-BE49-F238E27FC236}">
              <a16:creationId xmlns:a16="http://schemas.microsoft.com/office/drawing/2014/main" id="{F885AE47-38AB-421C-8C38-C027A676DC8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6" name="Rectangle 323">
          <a:extLst>
            <a:ext uri="{FF2B5EF4-FFF2-40B4-BE49-F238E27FC236}">
              <a16:creationId xmlns:a16="http://schemas.microsoft.com/office/drawing/2014/main" id="{B1A99506-1500-4496-8100-F789C1CB718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7" name="Rectangle 324">
          <a:extLst>
            <a:ext uri="{FF2B5EF4-FFF2-40B4-BE49-F238E27FC236}">
              <a16:creationId xmlns:a16="http://schemas.microsoft.com/office/drawing/2014/main" id="{67EA5E65-72D9-4249-B7AA-68A6B15F1E2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8" name="Rectangle 325">
          <a:extLst>
            <a:ext uri="{FF2B5EF4-FFF2-40B4-BE49-F238E27FC236}">
              <a16:creationId xmlns:a16="http://schemas.microsoft.com/office/drawing/2014/main" id="{06A8C152-6319-4874-A764-6C303C494EA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59" name="Rectangle 326">
          <a:extLst>
            <a:ext uri="{FF2B5EF4-FFF2-40B4-BE49-F238E27FC236}">
              <a16:creationId xmlns:a16="http://schemas.microsoft.com/office/drawing/2014/main" id="{8D49895F-236D-45AF-AD02-C0CBD7A743C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0" name="Rectangle 327">
          <a:extLst>
            <a:ext uri="{FF2B5EF4-FFF2-40B4-BE49-F238E27FC236}">
              <a16:creationId xmlns:a16="http://schemas.microsoft.com/office/drawing/2014/main" id="{10876629-6461-4CA4-82E7-9A451EAEC47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1" name="Rectangle 328">
          <a:extLst>
            <a:ext uri="{FF2B5EF4-FFF2-40B4-BE49-F238E27FC236}">
              <a16:creationId xmlns:a16="http://schemas.microsoft.com/office/drawing/2014/main" id="{D3176B5F-358C-4A36-93DE-1F668141B02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2" name="Rectangle 329">
          <a:extLst>
            <a:ext uri="{FF2B5EF4-FFF2-40B4-BE49-F238E27FC236}">
              <a16:creationId xmlns:a16="http://schemas.microsoft.com/office/drawing/2014/main" id="{7BEC2DE8-54D0-4884-9573-72AD5FD1D8A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3" name="Rectangle 330">
          <a:extLst>
            <a:ext uri="{FF2B5EF4-FFF2-40B4-BE49-F238E27FC236}">
              <a16:creationId xmlns:a16="http://schemas.microsoft.com/office/drawing/2014/main" id="{CF2A8DE9-EE93-4BFD-93C5-A5C60186BE0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4" name="Rectangle 331">
          <a:extLst>
            <a:ext uri="{FF2B5EF4-FFF2-40B4-BE49-F238E27FC236}">
              <a16:creationId xmlns:a16="http://schemas.microsoft.com/office/drawing/2014/main" id="{8A087AFC-9C8B-4D67-8A1E-6DAB60FD1CA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5" name="Rectangle 332">
          <a:extLst>
            <a:ext uri="{FF2B5EF4-FFF2-40B4-BE49-F238E27FC236}">
              <a16:creationId xmlns:a16="http://schemas.microsoft.com/office/drawing/2014/main" id="{624360F4-E2D8-4DF7-A87C-2BAEC296E97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6" name="Rectangle 333">
          <a:extLst>
            <a:ext uri="{FF2B5EF4-FFF2-40B4-BE49-F238E27FC236}">
              <a16:creationId xmlns:a16="http://schemas.microsoft.com/office/drawing/2014/main" id="{45BBB33A-7730-44EF-879C-542F98C115F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7" name="Rectangle 334">
          <a:extLst>
            <a:ext uri="{FF2B5EF4-FFF2-40B4-BE49-F238E27FC236}">
              <a16:creationId xmlns:a16="http://schemas.microsoft.com/office/drawing/2014/main" id="{E3AA7F27-7363-48A0-932F-56FCF19B360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8" name="Rectangle 335">
          <a:extLst>
            <a:ext uri="{FF2B5EF4-FFF2-40B4-BE49-F238E27FC236}">
              <a16:creationId xmlns:a16="http://schemas.microsoft.com/office/drawing/2014/main" id="{93FF6D3F-2C20-4AFC-9CBF-588DBE78568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69" name="Rectangle 336">
          <a:extLst>
            <a:ext uri="{FF2B5EF4-FFF2-40B4-BE49-F238E27FC236}">
              <a16:creationId xmlns:a16="http://schemas.microsoft.com/office/drawing/2014/main" id="{01FFC87B-BAFF-479F-8EBA-4D9A30CD333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70" name="Rectangle 337">
          <a:extLst>
            <a:ext uri="{FF2B5EF4-FFF2-40B4-BE49-F238E27FC236}">
              <a16:creationId xmlns:a16="http://schemas.microsoft.com/office/drawing/2014/main" id="{CAC76C50-7214-4B26-BBCF-54704DF14FF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71" name="Rectangle 338">
          <a:extLst>
            <a:ext uri="{FF2B5EF4-FFF2-40B4-BE49-F238E27FC236}">
              <a16:creationId xmlns:a16="http://schemas.microsoft.com/office/drawing/2014/main" id="{345311F7-94CA-4CD6-B963-5C0AA8E36DD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572" name="Rectangle 339">
          <a:extLst>
            <a:ext uri="{FF2B5EF4-FFF2-40B4-BE49-F238E27FC236}">
              <a16:creationId xmlns:a16="http://schemas.microsoft.com/office/drawing/2014/main" id="{51ADB277-FCA5-4A0E-AAAD-24A6FD9C9616}"/>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73" name="Rectangle 340">
          <a:extLst>
            <a:ext uri="{FF2B5EF4-FFF2-40B4-BE49-F238E27FC236}">
              <a16:creationId xmlns:a16="http://schemas.microsoft.com/office/drawing/2014/main" id="{12C9F5F0-CBB8-4484-B7A9-19FB444D0E9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74" name="Rectangle 341">
          <a:extLst>
            <a:ext uri="{FF2B5EF4-FFF2-40B4-BE49-F238E27FC236}">
              <a16:creationId xmlns:a16="http://schemas.microsoft.com/office/drawing/2014/main" id="{BA33AED8-0764-41A0-B470-A86CD18B5C9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75" name="Rectangle 342">
          <a:extLst>
            <a:ext uri="{FF2B5EF4-FFF2-40B4-BE49-F238E27FC236}">
              <a16:creationId xmlns:a16="http://schemas.microsoft.com/office/drawing/2014/main" id="{1BB41AFC-BF6F-4961-9509-9B1E853E3EE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76" name="Rectangle 343">
          <a:extLst>
            <a:ext uri="{FF2B5EF4-FFF2-40B4-BE49-F238E27FC236}">
              <a16:creationId xmlns:a16="http://schemas.microsoft.com/office/drawing/2014/main" id="{B192A1FC-BD34-4F44-B004-C3B12691900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77" name="Rectangle 344">
          <a:extLst>
            <a:ext uri="{FF2B5EF4-FFF2-40B4-BE49-F238E27FC236}">
              <a16:creationId xmlns:a16="http://schemas.microsoft.com/office/drawing/2014/main" id="{1CF9B8D8-C69E-46BC-B16B-F4750196FA9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78" name="Rectangle 345">
          <a:extLst>
            <a:ext uri="{FF2B5EF4-FFF2-40B4-BE49-F238E27FC236}">
              <a16:creationId xmlns:a16="http://schemas.microsoft.com/office/drawing/2014/main" id="{6113A732-323D-4CB2-8165-7B835283225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579" name="Rectangle 346">
          <a:extLst>
            <a:ext uri="{FF2B5EF4-FFF2-40B4-BE49-F238E27FC236}">
              <a16:creationId xmlns:a16="http://schemas.microsoft.com/office/drawing/2014/main" id="{87986B3E-7221-43B8-AAE1-FB79F75464BB}"/>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0" name="Rectangle 347">
          <a:extLst>
            <a:ext uri="{FF2B5EF4-FFF2-40B4-BE49-F238E27FC236}">
              <a16:creationId xmlns:a16="http://schemas.microsoft.com/office/drawing/2014/main" id="{84E62A99-C4C1-4BB3-BB25-8583320581A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1" name="Rectangle 348">
          <a:extLst>
            <a:ext uri="{FF2B5EF4-FFF2-40B4-BE49-F238E27FC236}">
              <a16:creationId xmlns:a16="http://schemas.microsoft.com/office/drawing/2014/main" id="{6F3E9BFA-DAB5-47B1-BB87-74447474C6E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2" name="Rectangle 349">
          <a:extLst>
            <a:ext uri="{FF2B5EF4-FFF2-40B4-BE49-F238E27FC236}">
              <a16:creationId xmlns:a16="http://schemas.microsoft.com/office/drawing/2014/main" id="{C3D7394C-8122-4DCA-89AF-9F9260A3D3A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3" name="Rectangle 350">
          <a:extLst>
            <a:ext uri="{FF2B5EF4-FFF2-40B4-BE49-F238E27FC236}">
              <a16:creationId xmlns:a16="http://schemas.microsoft.com/office/drawing/2014/main" id="{4CE7FB77-CE03-4569-AEC9-96A8EB80B07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4" name="Rectangle 351">
          <a:extLst>
            <a:ext uri="{FF2B5EF4-FFF2-40B4-BE49-F238E27FC236}">
              <a16:creationId xmlns:a16="http://schemas.microsoft.com/office/drawing/2014/main" id="{76144D8B-5E37-4CD5-9E22-53D07D7B9C8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5" name="Rectangle 352">
          <a:extLst>
            <a:ext uri="{FF2B5EF4-FFF2-40B4-BE49-F238E27FC236}">
              <a16:creationId xmlns:a16="http://schemas.microsoft.com/office/drawing/2014/main" id="{C6CBF663-80BF-4304-8FE9-1C4B6593EE2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6" name="Rectangle 353">
          <a:extLst>
            <a:ext uri="{FF2B5EF4-FFF2-40B4-BE49-F238E27FC236}">
              <a16:creationId xmlns:a16="http://schemas.microsoft.com/office/drawing/2014/main" id="{0DFE7C95-C028-4E01-938E-08B4024592F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7" name="Rectangle 354">
          <a:extLst>
            <a:ext uri="{FF2B5EF4-FFF2-40B4-BE49-F238E27FC236}">
              <a16:creationId xmlns:a16="http://schemas.microsoft.com/office/drawing/2014/main" id="{7030C148-6033-4A2E-BDAD-3F17D29CCBF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8" name="Rectangle 355">
          <a:extLst>
            <a:ext uri="{FF2B5EF4-FFF2-40B4-BE49-F238E27FC236}">
              <a16:creationId xmlns:a16="http://schemas.microsoft.com/office/drawing/2014/main" id="{F3C3842D-E515-4613-B219-B4DAF2A5538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89" name="Rectangle 356">
          <a:extLst>
            <a:ext uri="{FF2B5EF4-FFF2-40B4-BE49-F238E27FC236}">
              <a16:creationId xmlns:a16="http://schemas.microsoft.com/office/drawing/2014/main" id="{233EB769-05FF-4AC2-9D19-58807A986738}"/>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0" name="Rectangle 357">
          <a:extLst>
            <a:ext uri="{FF2B5EF4-FFF2-40B4-BE49-F238E27FC236}">
              <a16:creationId xmlns:a16="http://schemas.microsoft.com/office/drawing/2014/main" id="{157732D0-9985-41E8-990A-0B7BE332396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1" name="Rectangle 358">
          <a:extLst>
            <a:ext uri="{FF2B5EF4-FFF2-40B4-BE49-F238E27FC236}">
              <a16:creationId xmlns:a16="http://schemas.microsoft.com/office/drawing/2014/main" id="{D59B3488-A472-465F-85AE-0FE20168572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2" name="Rectangle 359">
          <a:extLst>
            <a:ext uri="{FF2B5EF4-FFF2-40B4-BE49-F238E27FC236}">
              <a16:creationId xmlns:a16="http://schemas.microsoft.com/office/drawing/2014/main" id="{A6AF2C70-392B-4131-B501-296F714B1A9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3" name="Rectangle 360">
          <a:extLst>
            <a:ext uri="{FF2B5EF4-FFF2-40B4-BE49-F238E27FC236}">
              <a16:creationId xmlns:a16="http://schemas.microsoft.com/office/drawing/2014/main" id="{EB60F6EA-7F71-408F-BB5C-6C1968E4270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4" name="Rectangle 361">
          <a:extLst>
            <a:ext uri="{FF2B5EF4-FFF2-40B4-BE49-F238E27FC236}">
              <a16:creationId xmlns:a16="http://schemas.microsoft.com/office/drawing/2014/main" id="{84B0CED9-408C-47F9-8F27-087D22BE5AE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5" name="Rectangle 362">
          <a:extLst>
            <a:ext uri="{FF2B5EF4-FFF2-40B4-BE49-F238E27FC236}">
              <a16:creationId xmlns:a16="http://schemas.microsoft.com/office/drawing/2014/main" id="{DBD56573-08B6-4829-BAFA-A873F4D0264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6" name="Rectangle 363">
          <a:extLst>
            <a:ext uri="{FF2B5EF4-FFF2-40B4-BE49-F238E27FC236}">
              <a16:creationId xmlns:a16="http://schemas.microsoft.com/office/drawing/2014/main" id="{62F1872A-682A-4009-8809-9F43EA5C0E7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7" name="Rectangle 364">
          <a:extLst>
            <a:ext uri="{FF2B5EF4-FFF2-40B4-BE49-F238E27FC236}">
              <a16:creationId xmlns:a16="http://schemas.microsoft.com/office/drawing/2014/main" id="{C4FDBA72-91FB-4212-B571-F982436C9B3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7</xdr:row>
      <xdr:rowOff>0</xdr:rowOff>
    </xdr:from>
    <xdr:ext cx="28854" cy="132665"/>
    <xdr:sp macro="" textlink="">
      <xdr:nvSpPr>
        <xdr:cNvPr id="598" name="Rectangle 365">
          <a:extLst>
            <a:ext uri="{FF2B5EF4-FFF2-40B4-BE49-F238E27FC236}">
              <a16:creationId xmlns:a16="http://schemas.microsoft.com/office/drawing/2014/main" id="{1BEA16F2-9905-493F-89C3-9B485B3EB8E0}"/>
            </a:ext>
          </a:extLst>
        </xdr:cNvPr>
        <xdr:cNvSpPr>
          <a:spLocks noChangeArrowheads="1"/>
        </xdr:cNvSpPr>
      </xdr:nvSpPr>
      <xdr:spPr bwMode="auto">
        <a:xfrm>
          <a:off x="60007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599" name="Rectangle 366">
          <a:extLst>
            <a:ext uri="{FF2B5EF4-FFF2-40B4-BE49-F238E27FC236}">
              <a16:creationId xmlns:a16="http://schemas.microsoft.com/office/drawing/2014/main" id="{454CAFE1-A657-4AC7-B28F-CFE66DC0732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0" name="Rectangle 367">
          <a:extLst>
            <a:ext uri="{FF2B5EF4-FFF2-40B4-BE49-F238E27FC236}">
              <a16:creationId xmlns:a16="http://schemas.microsoft.com/office/drawing/2014/main" id="{B98FF6A6-B102-4CED-9647-53864CD2D79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1" name="Rectangle 368">
          <a:extLst>
            <a:ext uri="{FF2B5EF4-FFF2-40B4-BE49-F238E27FC236}">
              <a16:creationId xmlns:a16="http://schemas.microsoft.com/office/drawing/2014/main" id="{6156C4AB-F6EF-4BA9-A183-BC885E677D6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2" name="Rectangle 369">
          <a:extLst>
            <a:ext uri="{FF2B5EF4-FFF2-40B4-BE49-F238E27FC236}">
              <a16:creationId xmlns:a16="http://schemas.microsoft.com/office/drawing/2014/main" id="{900AC712-BEE1-4783-9F3B-6CBA88D0991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3" name="Rectangle 370">
          <a:extLst>
            <a:ext uri="{FF2B5EF4-FFF2-40B4-BE49-F238E27FC236}">
              <a16:creationId xmlns:a16="http://schemas.microsoft.com/office/drawing/2014/main" id="{5D7E7F7F-8937-4CBF-BE00-AA1A9E5E3A5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4" name="Rectangle 371">
          <a:extLst>
            <a:ext uri="{FF2B5EF4-FFF2-40B4-BE49-F238E27FC236}">
              <a16:creationId xmlns:a16="http://schemas.microsoft.com/office/drawing/2014/main" id="{1DB8E45E-E429-4202-9FB6-C64AA80E264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5" name="Rectangle 372">
          <a:extLst>
            <a:ext uri="{FF2B5EF4-FFF2-40B4-BE49-F238E27FC236}">
              <a16:creationId xmlns:a16="http://schemas.microsoft.com/office/drawing/2014/main" id="{A58C22D0-FA68-40D8-BE56-C587E4712DD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6" name="Rectangle 373">
          <a:extLst>
            <a:ext uri="{FF2B5EF4-FFF2-40B4-BE49-F238E27FC236}">
              <a16:creationId xmlns:a16="http://schemas.microsoft.com/office/drawing/2014/main" id="{54F6196A-549C-4EE6-B295-1841C6704F7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7" name="Rectangle 374">
          <a:extLst>
            <a:ext uri="{FF2B5EF4-FFF2-40B4-BE49-F238E27FC236}">
              <a16:creationId xmlns:a16="http://schemas.microsoft.com/office/drawing/2014/main" id="{E0B655F7-CC00-43B4-BC96-03648A7DCBD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8" name="Rectangle 375">
          <a:extLst>
            <a:ext uri="{FF2B5EF4-FFF2-40B4-BE49-F238E27FC236}">
              <a16:creationId xmlns:a16="http://schemas.microsoft.com/office/drawing/2014/main" id="{525A3367-E980-4762-B9B4-3D7EF28ED66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09" name="Rectangle 376">
          <a:extLst>
            <a:ext uri="{FF2B5EF4-FFF2-40B4-BE49-F238E27FC236}">
              <a16:creationId xmlns:a16="http://schemas.microsoft.com/office/drawing/2014/main" id="{E058BC91-6516-42E3-90F2-24901DAD78A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0" name="Rectangle 377">
          <a:extLst>
            <a:ext uri="{FF2B5EF4-FFF2-40B4-BE49-F238E27FC236}">
              <a16:creationId xmlns:a16="http://schemas.microsoft.com/office/drawing/2014/main" id="{F797CA5D-1B04-44F3-B6F9-7336B7D08D4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611" name="Rectangle 378">
          <a:extLst>
            <a:ext uri="{FF2B5EF4-FFF2-40B4-BE49-F238E27FC236}">
              <a16:creationId xmlns:a16="http://schemas.microsoft.com/office/drawing/2014/main" id="{5E0C0590-302E-4DE5-A3B7-30A96D0C7EDE}"/>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2" name="Rectangle 379">
          <a:extLst>
            <a:ext uri="{FF2B5EF4-FFF2-40B4-BE49-F238E27FC236}">
              <a16:creationId xmlns:a16="http://schemas.microsoft.com/office/drawing/2014/main" id="{86117858-A06C-434B-A615-6E32F09C654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3" name="Rectangle 380">
          <a:extLst>
            <a:ext uri="{FF2B5EF4-FFF2-40B4-BE49-F238E27FC236}">
              <a16:creationId xmlns:a16="http://schemas.microsoft.com/office/drawing/2014/main" id="{71B245C9-7FF3-4D42-BF35-0D5C2718B5A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4" name="Rectangle 381">
          <a:extLst>
            <a:ext uri="{FF2B5EF4-FFF2-40B4-BE49-F238E27FC236}">
              <a16:creationId xmlns:a16="http://schemas.microsoft.com/office/drawing/2014/main" id="{1AA1C7CE-290A-4168-BD54-D72866FB346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5" name="Rectangle 382">
          <a:extLst>
            <a:ext uri="{FF2B5EF4-FFF2-40B4-BE49-F238E27FC236}">
              <a16:creationId xmlns:a16="http://schemas.microsoft.com/office/drawing/2014/main" id="{2793D5F9-5630-4E82-AA70-579BC4996DC8}"/>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6" name="Rectangle 383">
          <a:extLst>
            <a:ext uri="{FF2B5EF4-FFF2-40B4-BE49-F238E27FC236}">
              <a16:creationId xmlns:a16="http://schemas.microsoft.com/office/drawing/2014/main" id="{60061F7B-4BBA-464A-9F19-A3D1AFC41A5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7" name="Rectangle 384">
          <a:extLst>
            <a:ext uri="{FF2B5EF4-FFF2-40B4-BE49-F238E27FC236}">
              <a16:creationId xmlns:a16="http://schemas.microsoft.com/office/drawing/2014/main" id="{2933974C-AD08-4887-9F8D-3151FEFC9A6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8" name="Rectangle 385">
          <a:extLst>
            <a:ext uri="{FF2B5EF4-FFF2-40B4-BE49-F238E27FC236}">
              <a16:creationId xmlns:a16="http://schemas.microsoft.com/office/drawing/2014/main" id="{F3CFD5DF-37AC-4C91-AA08-D7BB162E37C0}"/>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19" name="Rectangle 386">
          <a:extLst>
            <a:ext uri="{FF2B5EF4-FFF2-40B4-BE49-F238E27FC236}">
              <a16:creationId xmlns:a16="http://schemas.microsoft.com/office/drawing/2014/main" id="{D282D243-85EF-49C5-8DAC-B9E23C10FEC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0" name="Rectangle 387">
          <a:extLst>
            <a:ext uri="{FF2B5EF4-FFF2-40B4-BE49-F238E27FC236}">
              <a16:creationId xmlns:a16="http://schemas.microsoft.com/office/drawing/2014/main" id="{4A223C5E-48B2-4B95-98FE-CE61607C6C9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1" name="Rectangle 388">
          <a:extLst>
            <a:ext uri="{FF2B5EF4-FFF2-40B4-BE49-F238E27FC236}">
              <a16:creationId xmlns:a16="http://schemas.microsoft.com/office/drawing/2014/main" id="{2F298BD4-DF3B-4A7C-B4B8-EFF2570B21A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2" name="Rectangle 389">
          <a:extLst>
            <a:ext uri="{FF2B5EF4-FFF2-40B4-BE49-F238E27FC236}">
              <a16:creationId xmlns:a16="http://schemas.microsoft.com/office/drawing/2014/main" id="{3ADA1697-6132-4C2C-998A-C1DF9BE878B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3" name="Rectangle 390">
          <a:extLst>
            <a:ext uri="{FF2B5EF4-FFF2-40B4-BE49-F238E27FC236}">
              <a16:creationId xmlns:a16="http://schemas.microsoft.com/office/drawing/2014/main" id="{9B9D0064-03B4-41C1-AA62-08BBED79DC2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4" name="Rectangle 391">
          <a:extLst>
            <a:ext uri="{FF2B5EF4-FFF2-40B4-BE49-F238E27FC236}">
              <a16:creationId xmlns:a16="http://schemas.microsoft.com/office/drawing/2014/main" id="{4258A410-4F47-411C-BB0A-9D8F0D1F8C7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5" name="Rectangle 392">
          <a:extLst>
            <a:ext uri="{FF2B5EF4-FFF2-40B4-BE49-F238E27FC236}">
              <a16:creationId xmlns:a16="http://schemas.microsoft.com/office/drawing/2014/main" id="{A625E3FB-525A-4478-A540-DCB81398263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6" name="Rectangle 393">
          <a:extLst>
            <a:ext uri="{FF2B5EF4-FFF2-40B4-BE49-F238E27FC236}">
              <a16:creationId xmlns:a16="http://schemas.microsoft.com/office/drawing/2014/main" id="{6EC15A32-AFFC-4205-B926-9101C68B93D8}"/>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7" name="Rectangle 394">
          <a:extLst>
            <a:ext uri="{FF2B5EF4-FFF2-40B4-BE49-F238E27FC236}">
              <a16:creationId xmlns:a16="http://schemas.microsoft.com/office/drawing/2014/main" id="{B24E7FB7-917E-4E6F-A3BC-9CB6B048E9A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8" name="Rectangle 395">
          <a:extLst>
            <a:ext uri="{FF2B5EF4-FFF2-40B4-BE49-F238E27FC236}">
              <a16:creationId xmlns:a16="http://schemas.microsoft.com/office/drawing/2014/main" id="{ABCD3261-A0C0-4F5A-B37A-DF6157BE1C7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29" name="Rectangle 396">
          <a:extLst>
            <a:ext uri="{FF2B5EF4-FFF2-40B4-BE49-F238E27FC236}">
              <a16:creationId xmlns:a16="http://schemas.microsoft.com/office/drawing/2014/main" id="{03E4A62E-9C67-45FB-B2E6-89839CE9C19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630" name="Rectangle 397">
          <a:extLst>
            <a:ext uri="{FF2B5EF4-FFF2-40B4-BE49-F238E27FC236}">
              <a16:creationId xmlns:a16="http://schemas.microsoft.com/office/drawing/2014/main" id="{0F0FD33D-E312-40AB-B4B6-1142F191B218}"/>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1" name="Rectangle 398">
          <a:extLst>
            <a:ext uri="{FF2B5EF4-FFF2-40B4-BE49-F238E27FC236}">
              <a16:creationId xmlns:a16="http://schemas.microsoft.com/office/drawing/2014/main" id="{0C6EDB25-D5DE-4D27-A6F0-D1EACD17A37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2" name="Rectangle 399">
          <a:extLst>
            <a:ext uri="{FF2B5EF4-FFF2-40B4-BE49-F238E27FC236}">
              <a16:creationId xmlns:a16="http://schemas.microsoft.com/office/drawing/2014/main" id="{A85DA0C3-8312-40B4-AD03-407755432F3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3" name="Rectangle 400">
          <a:extLst>
            <a:ext uri="{FF2B5EF4-FFF2-40B4-BE49-F238E27FC236}">
              <a16:creationId xmlns:a16="http://schemas.microsoft.com/office/drawing/2014/main" id="{3D502F70-27B6-417E-AAE4-50179B77FF0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4" name="Rectangle 401">
          <a:extLst>
            <a:ext uri="{FF2B5EF4-FFF2-40B4-BE49-F238E27FC236}">
              <a16:creationId xmlns:a16="http://schemas.microsoft.com/office/drawing/2014/main" id="{67C4CF8A-1DC4-44E5-AF23-44A981CFAF4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5" name="Rectangle 402">
          <a:extLst>
            <a:ext uri="{FF2B5EF4-FFF2-40B4-BE49-F238E27FC236}">
              <a16:creationId xmlns:a16="http://schemas.microsoft.com/office/drawing/2014/main" id="{7697B2B1-B3B9-4990-904A-7AAF1E423BD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6" name="Rectangle 403">
          <a:extLst>
            <a:ext uri="{FF2B5EF4-FFF2-40B4-BE49-F238E27FC236}">
              <a16:creationId xmlns:a16="http://schemas.microsoft.com/office/drawing/2014/main" id="{BBF3C330-327A-4140-BF99-3A31EC2630E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7" name="Rectangle 404">
          <a:extLst>
            <a:ext uri="{FF2B5EF4-FFF2-40B4-BE49-F238E27FC236}">
              <a16:creationId xmlns:a16="http://schemas.microsoft.com/office/drawing/2014/main" id="{D8E50F03-1091-4568-BB77-24E89E366B3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8" name="Rectangle 405">
          <a:extLst>
            <a:ext uri="{FF2B5EF4-FFF2-40B4-BE49-F238E27FC236}">
              <a16:creationId xmlns:a16="http://schemas.microsoft.com/office/drawing/2014/main" id="{0A5A1635-3361-402F-8C39-2028F3951DB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39" name="Rectangle 406">
          <a:extLst>
            <a:ext uri="{FF2B5EF4-FFF2-40B4-BE49-F238E27FC236}">
              <a16:creationId xmlns:a16="http://schemas.microsoft.com/office/drawing/2014/main" id="{9F06D0DA-ADEF-40F2-A93D-6867D2D3E22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0" name="Rectangle 407">
          <a:extLst>
            <a:ext uri="{FF2B5EF4-FFF2-40B4-BE49-F238E27FC236}">
              <a16:creationId xmlns:a16="http://schemas.microsoft.com/office/drawing/2014/main" id="{2288C039-8BFF-4FE7-9120-F1545BB5BE98}"/>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1" name="Rectangle 408">
          <a:extLst>
            <a:ext uri="{FF2B5EF4-FFF2-40B4-BE49-F238E27FC236}">
              <a16:creationId xmlns:a16="http://schemas.microsoft.com/office/drawing/2014/main" id="{E64005F2-51BD-4133-8AEE-0CE6220CEEE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2" name="Rectangle 409">
          <a:extLst>
            <a:ext uri="{FF2B5EF4-FFF2-40B4-BE49-F238E27FC236}">
              <a16:creationId xmlns:a16="http://schemas.microsoft.com/office/drawing/2014/main" id="{08305BA7-1876-4826-BFCE-807A0DAC15E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3" name="Rectangle 410">
          <a:extLst>
            <a:ext uri="{FF2B5EF4-FFF2-40B4-BE49-F238E27FC236}">
              <a16:creationId xmlns:a16="http://schemas.microsoft.com/office/drawing/2014/main" id="{E59DB10C-FD0C-410D-BA57-A2B060DAFEF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4" name="Rectangle 411">
          <a:extLst>
            <a:ext uri="{FF2B5EF4-FFF2-40B4-BE49-F238E27FC236}">
              <a16:creationId xmlns:a16="http://schemas.microsoft.com/office/drawing/2014/main" id="{0E810962-54DD-406D-AEC7-794999C6F70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5" name="Rectangle 412">
          <a:extLst>
            <a:ext uri="{FF2B5EF4-FFF2-40B4-BE49-F238E27FC236}">
              <a16:creationId xmlns:a16="http://schemas.microsoft.com/office/drawing/2014/main" id="{0CB6D7C8-A52A-4D4F-AD4D-A1E8ACA481B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6" name="Rectangle 413">
          <a:extLst>
            <a:ext uri="{FF2B5EF4-FFF2-40B4-BE49-F238E27FC236}">
              <a16:creationId xmlns:a16="http://schemas.microsoft.com/office/drawing/2014/main" id="{EC30E8E4-7A59-4100-9050-1B492DA5A200}"/>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7" name="Rectangle 414">
          <a:extLst>
            <a:ext uri="{FF2B5EF4-FFF2-40B4-BE49-F238E27FC236}">
              <a16:creationId xmlns:a16="http://schemas.microsoft.com/office/drawing/2014/main" id="{81CFB14F-E5A9-4526-A10D-90AEA6928B7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8" name="Rectangle 415">
          <a:extLst>
            <a:ext uri="{FF2B5EF4-FFF2-40B4-BE49-F238E27FC236}">
              <a16:creationId xmlns:a16="http://schemas.microsoft.com/office/drawing/2014/main" id="{FAE40FD5-D02F-4B3A-8AE9-85115C6C031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49" name="Rectangle 416">
          <a:extLst>
            <a:ext uri="{FF2B5EF4-FFF2-40B4-BE49-F238E27FC236}">
              <a16:creationId xmlns:a16="http://schemas.microsoft.com/office/drawing/2014/main" id="{525E33A7-DE7F-4175-A850-363203E467A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0" name="Rectangle 417">
          <a:extLst>
            <a:ext uri="{FF2B5EF4-FFF2-40B4-BE49-F238E27FC236}">
              <a16:creationId xmlns:a16="http://schemas.microsoft.com/office/drawing/2014/main" id="{50FA789F-5AE6-48BC-9C21-5F638D85665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1" name="Rectangle 418">
          <a:extLst>
            <a:ext uri="{FF2B5EF4-FFF2-40B4-BE49-F238E27FC236}">
              <a16:creationId xmlns:a16="http://schemas.microsoft.com/office/drawing/2014/main" id="{60761202-CCD3-4D88-8BA0-16711D2B439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2" name="Rectangle 419">
          <a:extLst>
            <a:ext uri="{FF2B5EF4-FFF2-40B4-BE49-F238E27FC236}">
              <a16:creationId xmlns:a16="http://schemas.microsoft.com/office/drawing/2014/main" id="{55167E22-6796-4521-9C8D-D31AEEE8BBD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3" name="Rectangle 420">
          <a:extLst>
            <a:ext uri="{FF2B5EF4-FFF2-40B4-BE49-F238E27FC236}">
              <a16:creationId xmlns:a16="http://schemas.microsoft.com/office/drawing/2014/main" id="{386DDC64-3408-4BAE-AED8-9F914871549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4" name="Rectangle 421">
          <a:extLst>
            <a:ext uri="{FF2B5EF4-FFF2-40B4-BE49-F238E27FC236}">
              <a16:creationId xmlns:a16="http://schemas.microsoft.com/office/drawing/2014/main" id="{A6508BBB-7E67-4E76-A46C-30C4598495D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655" name="Rectangle 422">
          <a:extLst>
            <a:ext uri="{FF2B5EF4-FFF2-40B4-BE49-F238E27FC236}">
              <a16:creationId xmlns:a16="http://schemas.microsoft.com/office/drawing/2014/main" id="{A1A50D3D-B18B-40CB-AA31-28D337FC252E}"/>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6" name="Rectangle 423">
          <a:extLst>
            <a:ext uri="{FF2B5EF4-FFF2-40B4-BE49-F238E27FC236}">
              <a16:creationId xmlns:a16="http://schemas.microsoft.com/office/drawing/2014/main" id="{3AC83FF2-D7BC-40DC-97C6-F437B49F9BC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7" name="Rectangle 424">
          <a:extLst>
            <a:ext uri="{FF2B5EF4-FFF2-40B4-BE49-F238E27FC236}">
              <a16:creationId xmlns:a16="http://schemas.microsoft.com/office/drawing/2014/main" id="{295941B9-0079-4715-8449-E7625A3231E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8" name="Rectangle 425">
          <a:extLst>
            <a:ext uri="{FF2B5EF4-FFF2-40B4-BE49-F238E27FC236}">
              <a16:creationId xmlns:a16="http://schemas.microsoft.com/office/drawing/2014/main" id="{3DE5A13F-5A25-4AFD-A98E-B640056E3F6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59" name="Rectangle 426">
          <a:extLst>
            <a:ext uri="{FF2B5EF4-FFF2-40B4-BE49-F238E27FC236}">
              <a16:creationId xmlns:a16="http://schemas.microsoft.com/office/drawing/2014/main" id="{1762585F-19CF-42D3-9063-036BFEAA128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0" name="Rectangle 427">
          <a:extLst>
            <a:ext uri="{FF2B5EF4-FFF2-40B4-BE49-F238E27FC236}">
              <a16:creationId xmlns:a16="http://schemas.microsoft.com/office/drawing/2014/main" id="{3F6CF4BA-DF22-411A-B87D-4B1B261F502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1" name="Rectangle 428">
          <a:extLst>
            <a:ext uri="{FF2B5EF4-FFF2-40B4-BE49-F238E27FC236}">
              <a16:creationId xmlns:a16="http://schemas.microsoft.com/office/drawing/2014/main" id="{3B241183-5BDB-4212-88CD-E0AEAA9A7F3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2" name="Rectangle 429">
          <a:extLst>
            <a:ext uri="{FF2B5EF4-FFF2-40B4-BE49-F238E27FC236}">
              <a16:creationId xmlns:a16="http://schemas.microsoft.com/office/drawing/2014/main" id="{2110CE2C-24A6-4710-AA90-6AAAB8345E1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3" name="Rectangle 430">
          <a:extLst>
            <a:ext uri="{FF2B5EF4-FFF2-40B4-BE49-F238E27FC236}">
              <a16:creationId xmlns:a16="http://schemas.microsoft.com/office/drawing/2014/main" id="{50F5863C-5340-491A-9C1A-A34930F59E9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4" name="Rectangle 431">
          <a:extLst>
            <a:ext uri="{FF2B5EF4-FFF2-40B4-BE49-F238E27FC236}">
              <a16:creationId xmlns:a16="http://schemas.microsoft.com/office/drawing/2014/main" id="{9BBB58BB-E9C3-4CAD-8F6F-C24B50FB193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5" name="Rectangle 432">
          <a:extLst>
            <a:ext uri="{FF2B5EF4-FFF2-40B4-BE49-F238E27FC236}">
              <a16:creationId xmlns:a16="http://schemas.microsoft.com/office/drawing/2014/main" id="{89A650D6-FA48-42A0-8806-7E0380352F7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6" name="Rectangle 433">
          <a:extLst>
            <a:ext uri="{FF2B5EF4-FFF2-40B4-BE49-F238E27FC236}">
              <a16:creationId xmlns:a16="http://schemas.microsoft.com/office/drawing/2014/main" id="{1157D357-E21D-411C-85E1-26642EEA76B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7" name="Rectangle 434">
          <a:extLst>
            <a:ext uri="{FF2B5EF4-FFF2-40B4-BE49-F238E27FC236}">
              <a16:creationId xmlns:a16="http://schemas.microsoft.com/office/drawing/2014/main" id="{6C95037D-5017-43EA-B1B9-1C75451BE0E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8" name="Rectangle 435">
          <a:extLst>
            <a:ext uri="{FF2B5EF4-FFF2-40B4-BE49-F238E27FC236}">
              <a16:creationId xmlns:a16="http://schemas.microsoft.com/office/drawing/2014/main" id="{3ECD8582-E364-4467-988C-D4E8987B124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69" name="Rectangle 436">
          <a:extLst>
            <a:ext uri="{FF2B5EF4-FFF2-40B4-BE49-F238E27FC236}">
              <a16:creationId xmlns:a16="http://schemas.microsoft.com/office/drawing/2014/main" id="{5540009D-DB74-4CF8-B450-C79045AEE7C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0" name="Rectangle 437">
          <a:extLst>
            <a:ext uri="{FF2B5EF4-FFF2-40B4-BE49-F238E27FC236}">
              <a16:creationId xmlns:a16="http://schemas.microsoft.com/office/drawing/2014/main" id="{92034BC1-1EDB-468E-ABAD-67A8FC8B2AB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1" name="Rectangle 438">
          <a:extLst>
            <a:ext uri="{FF2B5EF4-FFF2-40B4-BE49-F238E27FC236}">
              <a16:creationId xmlns:a16="http://schemas.microsoft.com/office/drawing/2014/main" id="{2F248F02-7DD1-46F8-95CD-3DFC1764601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2" name="Rectangle 439">
          <a:extLst>
            <a:ext uri="{FF2B5EF4-FFF2-40B4-BE49-F238E27FC236}">
              <a16:creationId xmlns:a16="http://schemas.microsoft.com/office/drawing/2014/main" id="{638F4625-F4C5-4C09-BE33-9F40FA7975F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3" name="Rectangle 440">
          <a:extLst>
            <a:ext uri="{FF2B5EF4-FFF2-40B4-BE49-F238E27FC236}">
              <a16:creationId xmlns:a16="http://schemas.microsoft.com/office/drawing/2014/main" id="{48096773-BED4-4F59-B1C8-7C4448F9614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4" name="Rectangle 441">
          <a:extLst>
            <a:ext uri="{FF2B5EF4-FFF2-40B4-BE49-F238E27FC236}">
              <a16:creationId xmlns:a16="http://schemas.microsoft.com/office/drawing/2014/main" id="{3CAFC10F-368C-44FA-B78C-B26F0FBEA39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5" name="Rectangle 442">
          <a:extLst>
            <a:ext uri="{FF2B5EF4-FFF2-40B4-BE49-F238E27FC236}">
              <a16:creationId xmlns:a16="http://schemas.microsoft.com/office/drawing/2014/main" id="{3204A6F8-F5E5-4AC4-8471-CB263929786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6" name="Rectangle 443">
          <a:extLst>
            <a:ext uri="{FF2B5EF4-FFF2-40B4-BE49-F238E27FC236}">
              <a16:creationId xmlns:a16="http://schemas.microsoft.com/office/drawing/2014/main" id="{F886AA52-44C4-4070-A652-AB1D42999EC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7" name="Rectangle 444">
          <a:extLst>
            <a:ext uri="{FF2B5EF4-FFF2-40B4-BE49-F238E27FC236}">
              <a16:creationId xmlns:a16="http://schemas.microsoft.com/office/drawing/2014/main" id="{E7745720-54D1-4098-A965-4BAC2930D6D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8" name="Rectangle 445">
          <a:extLst>
            <a:ext uri="{FF2B5EF4-FFF2-40B4-BE49-F238E27FC236}">
              <a16:creationId xmlns:a16="http://schemas.microsoft.com/office/drawing/2014/main" id="{857D1F92-C80A-48B5-BCD0-2DAB5151364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79" name="Rectangle 446">
          <a:extLst>
            <a:ext uri="{FF2B5EF4-FFF2-40B4-BE49-F238E27FC236}">
              <a16:creationId xmlns:a16="http://schemas.microsoft.com/office/drawing/2014/main" id="{695F9DC9-2226-42FF-BB8E-CE963FFD8E0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0" name="Rectangle 447">
          <a:extLst>
            <a:ext uri="{FF2B5EF4-FFF2-40B4-BE49-F238E27FC236}">
              <a16:creationId xmlns:a16="http://schemas.microsoft.com/office/drawing/2014/main" id="{22CC8D22-D621-4728-B377-6A28C2562F1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1" name="Rectangle 448">
          <a:extLst>
            <a:ext uri="{FF2B5EF4-FFF2-40B4-BE49-F238E27FC236}">
              <a16:creationId xmlns:a16="http://schemas.microsoft.com/office/drawing/2014/main" id="{ACBDD6F9-E25A-450F-BC2F-D5AFEFB58F6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2" name="Rectangle 449">
          <a:extLst>
            <a:ext uri="{FF2B5EF4-FFF2-40B4-BE49-F238E27FC236}">
              <a16:creationId xmlns:a16="http://schemas.microsoft.com/office/drawing/2014/main" id="{4021F30D-EE41-4FF9-BA83-271D1691440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3" name="Rectangle 450">
          <a:extLst>
            <a:ext uri="{FF2B5EF4-FFF2-40B4-BE49-F238E27FC236}">
              <a16:creationId xmlns:a16="http://schemas.microsoft.com/office/drawing/2014/main" id="{18265FD6-729E-40FA-BC53-2A790D61085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4" name="Rectangle 451">
          <a:extLst>
            <a:ext uri="{FF2B5EF4-FFF2-40B4-BE49-F238E27FC236}">
              <a16:creationId xmlns:a16="http://schemas.microsoft.com/office/drawing/2014/main" id="{D74CFE88-1A14-483F-A073-D867FEDB107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5" name="Rectangle 452">
          <a:extLst>
            <a:ext uri="{FF2B5EF4-FFF2-40B4-BE49-F238E27FC236}">
              <a16:creationId xmlns:a16="http://schemas.microsoft.com/office/drawing/2014/main" id="{C3D1CACF-F797-4BC7-B72C-F3CEDB30FB6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7</xdr:row>
      <xdr:rowOff>0</xdr:rowOff>
    </xdr:from>
    <xdr:ext cx="28854" cy="132665"/>
    <xdr:sp macro="" textlink="">
      <xdr:nvSpPr>
        <xdr:cNvPr id="686" name="Rectangle 453">
          <a:extLst>
            <a:ext uri="{FF2B5EF4-FFF2-40B4-BE49-F238E27FC236}">
              <a16:creationId xmlns:a16="http://schemas.microsoft.com/office/drawing/2014/main" id="{FAC1EE6B-1C15-41E7-81D6-283D54DA5092}"/>
            </a:ext>
          </a:extLst>
        </xdr:cNvPr>
        <xdr:cNvSpPr>
          <a:spLocks noChangeArrowheads="1"/>
        </xdr:cNvSpPr>
      </xdr:nvSpPr>
      <xdr:spPr bwMode="auto">
        <a:xfrm>
          <a:off x="60007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7" name="Rectangle 454">
          <a:extLst>
            <a:ext uri="{FF2B5EF4-FFF2-40B4-BE49-F238E27FC236}">
              <a16:creationId xmlns:a16="http://schemas.microsoft.com/office/drawing/2014/main" id="{2AB51C60-107B-490D-9E31-CCBE5437CF9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8" name="Rectangle 455">
          <a:extLst>
            <a:ext uri="{FF2B5EF4-FFF2-40B4-BE49-F238E27FC236}">
              <a16:creationId xmlns:a16="http://schemas.microsoft.com/office/drawing/2014/main" id="{218089B1-CC72-41B4-BBCE-61AE40D9F23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89" name="Rectangle 456">
          <a:extLst>
            <a:ext uri="{FF2B5EF4-FFF2-40B4-BE49-F238E27FC236}">
              <a16:creationId xmlns:a16="http://schemas.microsoft.com/office/drawing/2014/main" id="{89A4F0D8-6FFD-477D-A75C-BFB55778593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0" name="Rectangle 457">
          <a:extLst>
            <a:ext uri="{FF2B5EF4-FFF2-40B4-BE49-F238E27FC236}">
              <a16:creationId xmlns:a16="http://schemas.microsoft.com/office/drawing/2014/main" id="{A9D4BDDC-4AE8-45FD-A5A2-AFA11D8D66B8}"/>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1" name="Rectangle 458">
          <a:extLst>
            <a:ext uri="{FF2B5EF4-FFF2-40B4-BE49-F238E27FC236}">
              <a16:creationId xmlns:a16="http://schemas.microsoft.com/office/drawing/2014/main" id="{71BA271D-1B25-455D-A8E0-7E2BCF61CEF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2" name="Rectangle 459">
          <a:extLst>
            <a:ext uri="{FF2B5EF4-FFF2-40B4-BE49-F238E27FC236}">
              <a16:creationId xmlns:a16="http://schemas.microsoft.com/office/drawing/2014/main" id="{117DDF34-F769-4537-927B-C567F761326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3" name="Rectangle 460">
          <a:extLst>
            <a:ext uri="{FF2B5EF4-FFF2-40B4-BE49-F238E27FC236}">
              <a16:creationId xmlns:a16="http://schemas.microsoft.com/office/drawing/2014/main" id="{EB048D14-5992-45C8-AD34-52AEEB716388}"/>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4" name="Rectangle 461">
          <a:extLst>
            <a:ext uri="{FF2B5EF4-FFF2-40B4-BE49-F238E27FC236}">
              <a16:creationId xmlns:a16="http://schemas.microsoft.com/office/drawing/2014/main" id="{71F32D43-A003-4C15-8B50-37C978AE234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5" name="Rectangle 462">
          <a:extLst>
            <a:ext uri="{FF2B5EF4-FFF2-40B4-BE49-F238E27FC236}">
              <a16:creationId xmlns:a16="http://schemas.microsoft.com/office/drawing/2014/main" id="{6D1FA955-740C-49C4-9537-D01B0EC7AD9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6" name="Rectangle 463">
          <a:extLst>
            <a:ext uri="{FF2B5EF4-FFF2-40B4-BE49-F238E27FC236}">
              <a16:creationId xmlns:a16="http://schemas.microsoft.com/office/drawing/2014/main" id="{56DB33E1-9D10-46FC-A86F-E6751DA51D0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7" name="Rectangle 464">
          <a:extLst>
            <a:ext uri="{FF2B5EF4-FFF2-40B4-BE49-F238E27FC236}">
              <a16:creationId xmlns:a16="http://schemas.microsoft.com/office/drawing/2014/main" id="{5B2C8C44-33D1-40AD-8CFD-41F8DF1F4D6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698" name="Rectangle 465">
          <a:extLst>
            <a:ext uri="{FF2B5EF4-FFF2-40B4-BE49-F238E27FC236}">
              <a16:creationId xmlns:a16="http://schemas.microsoft.com/office/drawing/2014/main" id="{F0FA02D0-E1FF-4678-8704-C6C4EB27D36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699" name="Rectangle 466">
          <a:extLst>
            <a:ext uri="{FF2B5EF4-FFF2-40B4-BE49-F238E27FC236}">
              <a16:creationId xmlns:a16="http://schemas.microsoft.com/office/drawing/2014/main" id="{AD6C3106-A16D-47AA-8FC0-7224E7CDC972}"/>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0" name="Rectangle 467">
          <a:extLst>
            <a:ext uri="{FF2B5EF4-FFF2-40B4-BE49-F238E27FC236}">
              <a16:creationId xmlns:a16="http://schemas.microsoft.com/office/drawing/2014/main" id="{A6F0CA85-6C7C-430E-8E4D-4957A43A745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1" name="Rectangle 468">
          <a:extLst>
            <a:ext uri="{FF2B5EF4-FFF2-40B4-BE49-F238E27FC236}">
              <a16:creationId xmlns:a16="http://schemas.microsoft.com/office/drawing/2014/main" id="{2A819627-BDC0-4421-9B8E-FA48FE75ED3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2" name="Rectangle 469">
          <a:extLst>
            <a:ext uri="{FF2B5EF4-FFF2-40B4-BE49-F238E27FC236}">
              <a16:creationId xmlns:a16="http://schemas.microsoft.com/office/drawing/2014/main" id="{4B3C88E0-3FA6-4EBE-B643-190A31E66F5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3" name="Rectangle 470">
          <a:extLst>
            <a:ext uri="{FF2B5EF4-FFF2-40B4-BE49-F238E27FC236}">
              <a16:creationId xmlns:a16="http://schemas.microsoft.com/office/drawing/2014/main" id="{B50A4B2A-BDD6-494A-9F43-E5E4AB36E61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4" name="Rectangle 471">
          <a:extLst>
            <a:ext uri="{FF2B5EF4-FFF2-40B4-BE49-F238E27FC236}">
              <a16:creationId xmlns:a16="http://schemas.microsoft.com/office/drawing/2014/main" id="{AB1D15C2-DB8B-4A29-A812-09C9A618924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5" name="Rectangle 472">
          <a:extLst>
            <a:ext uri="{FF2B5EF4-FFF2-40B4-BE49-F238E27FC236}">
              <a16:creationId xmlns:a16="http://schemas.microsoft.com/office/drawing/2014/main" id="{ED20BFA1-C099-4130-ABFD-450C9400C1F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6" name="Rectangle 473">
          <a:extLst>
            <a:ext uri="{FF2B5EF4-FFF2-40B4-BE49-F238E27FC236}">
              <a16:creationId xmlns:a16="http://schemas.microsoft.com/office/drawing/2014/main" id="{7EDF2EA3-7F0E-4637-A13A-0E135AB6A8B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7" name="Rectangle 474">
          <a:extLst>
            <a:ext uri="{FF2B5EF4-FFF2-40B4-BE49-F238E27FC236}">
              <a16:creationId xmlns:a16="http://schemas.microsoft.com/office/drawing/2014/main" id="{6A9B064D-37C3-49C4-B983-A306E8FE2C5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8" name="Rectangle 475">
          <a:extLst>
            <a:ext uri="{FF2B5EF4-FFF2-40B4-BE49-F238E27FC236}">
              <a16:creationId xmlns:a16="http://schemas.microsoft.com/office/drawing/2014/main" id="{89E45C8C-4ADC-47FD-8056-DF71564B22D8}"/>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09" name="Rectangle 476">
          <a:extLst>
            <a:ext uri="{FF2B5EF4-FFF2-40B4-BE49-F238E27FC236}">
              <a16:creationId xmlns:a16="http://schemas.microsoft.com/office/drawing/2014/main" id="{4A2375BE-5B94-4259-80F8-F67DD5B378D8}"/>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0" name="Rectangle 477">
          <a:extLst>
            <a:ext uri="{FF2B5EF4-FFF2-40B4-BE49-F238E27FC236}">
              <a16:creationId xmlns:a16="http://schemas.microsoft.com/office/drawing/2014/main" id="{2D9EB911-4C20-460A-86A0-F3252A06CC2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1" name="Rectangle 478">
          <a:extLst>
            <a:ext uri="{FF2B5EF4-FFF2-40B4-BE49-F238E27FC236}">
              <a16:creationId xmlns:a16="http://schemas.microsoft.com/office/drawing/2014/main" id="{E1860B1A-6B8C-43A8-A9CA-B170F21266DA}"/>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2" name="Rectangle 479">
          <a:extLst>
            <a:ext uri="{FF2B5EF4-FFF2-40B4-BE49-F238E27FC236}">
              <a16:creationId xmlns:a16="http://schemas.microsoft.com/office/drawing/2014/main" id="{ABA98DF7-49DD-4E0F-A3B7-663A70B0A9B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3" name="Rectangle 480">
          <a:extLst>
            <a:ext uri="{FF2B5EF4-FFF2-40B4-BE49-F238E27FC236}">
              <a16:creationId xmlns:a16="http://schemas.microsoft.com/office/drawing/2014/main" id="{CA476215-2DC8-4C52-97A9-10D27EDEA86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4" name="Rectangle 481">
          <a:extLst>
            <a:ext uri="{FF2B5EF4-FFF2-40B4-BE49-F238E27FC236}">
              <a16:creationId xmlns:a16="http://schemas.microsoft.com/office/drawing/2014/main" id="{88ABFA42-0A56-4FEE-8AFC-17C3248A164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5" name="Rectangle 482">
          <a:extLst>
            <a:ext uri="{FF2B5EF4-FFF2-40B4-BE49-F238E27FC236}">
              <a16:creationId xmlns:a16="http://schemas.microsoft.com/office/drawing/2014/main" id="{17347F4E-7E8A-4A16-9E54-B50FDA7C920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6" name="Rectangle 483">
          <a:extLst>
            <a:ext uri="{FF2B5EF4-FFF2-40B4-BE49-F238E27FC236}">
              <a16:creationId xmlns:a16="http://schemas.microsoft.com/office/drawing/2014/main" id="{C8A0C15A-B566-40A6-8324-54D17BB9C87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7" name="Rectangle 484">
          <a:extLst>
            <a:ext uri="{FF2B5EF4-FFF2-40B4-BE49-F238E27FC236}">
              <a16:creationId xmlns:a16="http://schemas.microsoft.com/office/drawing/2014/main" id="{84E4461E-FD67-4165-983E-A81285150B24}"/>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718" name="Rectangle 485">
          <a:extLst>
            <a:ext uri="{FF2B5EF4-FFF2-40B4-BE49-F238E27FC236}">
              <a16:creationId xmlns:a16="http://schemas.microsoft.com/office/drawing/2014/main" id="{F087DB18-2B45-4DF7-BA43-AFB9E76C8D11}"/>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19" name="Rectangle 486">
          <a:extLst>
            <a:ext uri="{FF2B5EF4-FFF2-40B4-BE49-F238E27FC236}">
              <a16:creationId xmlns:a16="http://schemas.microsoft.com/office/drawing/2014/main" id="{2F692EE3-9926-40DF-A041-E4FF79CEB3F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0" name="Rectangle 487">
          <a:extLst>
            <a:ext uri="{FF2B5EF4-FFF2-40B4-BE49-F238E27FC236}">
              <a16:creationId xmlns:a16="http://schemas.microsoft.com/office/drawing/2014/main" id="{EB3EAEA7-1205-48A9-9A68-19AB821A9510}"/>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1" name="Rectangle 488">
          <a:extLst>
            <a:ext uri="{FF2B5EF4-FFF2-40B4-BE49-F238E27FC236}">
              <a16:creationId xmlns:a16="http://schemas.microsoft.com/office/drawing/2014/main" id="{F487BAD7-C912-4F9A-96A3-5C760E470EF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2" name="Rectangle 489">
          <a:extLst>
            <a:ext uri="{FF2B5EF4-FFF2-40B4-BE49-F238E27FC236}">
              <a16:creationId xmlns:a16="http://schemas.microsoft.com/office/drawing/2014/main" id="{CB16FC29-DF8C-414F-8894-B6F1D52E271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3" name="Rectangle 490">
          <a:extLst>
            <a:ext uri="{FF2B5EF4-FFF2-40B4-BE49-F238E27FC236}">
              <a16:creationId xmlns:a16="http://schemas.microsoft.com/office/drawing/2014/main" id="{A07BF702-2D5A-476C-AC69-F43C3CAD8E8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4" name="Rectangle 491">
          <a:extLst>
            <a:ext uri="{FF2B5EF4-FFF2-40B4-BE49-F238E27FC236}">
              <a16:creationId xmlns:a16="http://schemas.microsoft.com/office/drawing/2014/main" id="{7CBB1B0C-A591-4AC8-A576-F8BEC217DE4C}"/>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5" name="Rectangle 492">
          <a:extLst>
            <a:ext uri="{FF2B5EF4-FFF2-40B4-BE49-F238E27FC236}">
              <a16:creationId xmlns:a16="http://schemas.microsoft.com/office/drawing/2014/main" id="{27ED89AC-1D26-450D-B82A-2E97DBE3B5D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6" name="Rectangle 493">
          <a:extLst>
            <a:ext uri="{FF2B5EF4-FFF2-40B4-BE49-F238E27FC236}">
              <a16:creationId xmlns:a16="http://schemas.microsoft.com/office/drawing/2014/main" id="{CEAE50D4-EC35-4B9D-9D53-91223B75BBB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7" name="Rectangle 494">
          <a:extLst>
            <a:ext uri="{FF2B5EF4-FFF2-40B4-BE49-F238E27FC236}">
              <a16:creationId xmlns:a16="http://schemas.microsoft.com/office/drawing/2014/main" id="{69B17D5A-45EA-4EDF-AC47-A07FFF3F6DB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8" name="Rectangle 495">
          <a:extLst>
            <a:ext uri="{FF2B5EF4-FFF2-40B4-BE49-F238E27FC236}">
              <a16:creationId xmlns:a16="http://schemas.microsoft.com/office/drawing/2014/main" id="{D89C4E0E-6C9A-42A2-BF39-D2146FEBEBF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29" name="Rectangle 496">
          <a:extLst>
            <a:ext uri="{FF2B5EF4-FFF2-40B4-BE49-F238E27FC236}">
              <a16:creationId xmlns:a16="http://schemas.microsoft.com/office/drawing/2014/main" id="{96E3E7FE-CB3C-4B0A-901F-3908AE4E7A5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0" name="Rectangle 497">
          <a:extLst>
            <a:ext uri="{FF2B5EF4-FFF2-40B4-BE49-F238E27FC236}">
              <a16:creationId xmlns:a16="http://schemas.microsoft.com/office/drawing/2014/main" id="{8E1BC51B-1230-401E-961C-49560BD184D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1" name="Rectangle 498">
          <a:extLst>
            <a:ext uri="{FF2B5EF4-FFF2-40B4-BE49-F238E27FC236}">
              <a16:creationId xmlns:a16="http://schemas.microsoft.com/office/drawing/2014/main" id="{ECD72B26-8AA6-4800-8495-F7D8E764625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2" name="Rectangle 499">
          <a:extLst>
            <a:ext uri="{FF2B5EF4-FFF2-40B4-BE49-F238E27FC236}">
              <a16:creationId xmlns:a16="http://schemas.microsoft.com/office/drawing/2014/main" id="{C04300B2-B321-4C0B-881C-E0D91C5103B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3" name="Rectangle 500">
          <a:extLst>
            <a:ext uri="{FF2B5EF4-FFF2-40B4-BE49-F238E27FC236}">
              <a16:creationId xmlns:a16="http://schemas.microsoft.com/office/drawing/2014/main" id="{BB9C4290-65B8-4F7B-89D6-BBCAF26F64D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4" name="Rectangle 501">
          <a:extLst>
            <a:ext uri="{FF2B5EF4-FFF2-40B4-BE49-F238E27FC236}">
              <a16:creationId xmlns:a16="http://schemas.microsoft.com/office/drawing/2014/main" id="{6D01BAD5-4452-411C-A7D7-83DC174B59E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5" name="Rectangle 502">
          <a:extLst>
            <a:ext uri="{FF2B5EF4-FFF2-40B4-BE49-F238E27FC236}">
              <a16:creationId xmlns:a16="http://schemas.microsoft.com/office/drawing/2014/main" id="{5FF0C9CD-BE9B-4711-9FE8-023AD675A82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6" name="Rectangle 503">
          <a:extLst>
            <a:ext uri="{FF2B5EF4-FFF2-40B4-BE49-F238E27FC236}">
              <a16:creationId xmlns:a16="http://schemas.microsoft.com/office/drawing/2014/main" id="{48D77312-4CB0-45F3-9199-C544B11DA2C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7" name="Rectangle 504">
          <a:extLst>
            <a:ext uri="{FF2B5EF4-FFF2-40B4-BE49-F238E27FC236}">
              <a16:creationId xmlns:a16="http://schemas.microsoft.com/office/drawing/2014/main" id="{1EDBB52C-6D10-45ED-9C24-5E4F7D124407}"/>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8" name="Rectangle 505">
          <a:extLst>
            <a:ext uri="{FF2B5EF4-FFF2-40B4-BE49-F238E27FC236}">
              <a16:creationId xmlns:a16="http://schemas.microsoft.com/office/drawing/2014/main" id="{39931BB7-285C-43A9-8B14-0F8E04D35A0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39" name="Rectangle 506">
          <a:extLst>
            <a:ext uri="{FF2B5EF4-FFF2-40B4-BE49-F238E27FC236}">
              <a16:creationId xmlns:a16="http://schemas.microsoft.com/office/drawing/2014/main" id="{08B56FB5-4160-4E09-B2E8-77638E52209F}"/>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0" name="Rectangle 507">
          <a:extLst>
            <a:ext uri="{FF2B5EF4-FFF2-40B4-BE49-F238E27FC236}">
              <a16:creationId xmlns:a16="http://schemas.microsoft.com/office/drawing/2014/main" id="{54A36D94-C830-4075-AFCF-40DF66A8636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1" name="Rectangle 508">
          <a:extLst>
            <a:ext uri="{FF2B5EF4-FFF2-40B4-BE49-F238E27FC236}">
              <a16:creationId xmlns:a16="http://schemas.microsoft.com/office/drawing/2014/main" id="{B160574C-4C73-4F2E-91B2-4671988AE32D}"/>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2" name="Rectangle 509">
          <a:extLst>
            <a:ext uri="{FF2B5EF4-FFF2-40B4-BE49-F238E27FC236}">
              <a16:creationId xmlns:a16="http://schemas.microsoft.com/office/drawing/2014/main" id="{6279F296-F867-4C48-BF11-6C0C2D22A96E}"/>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7</xdr:row>
      <xdr:rowOff>0</xdr:rowOff>
    </xdr:from>
    <xdr:ext cx="28854" cy="132665"/>
    <xdr:sp macro="" textlink="">
      <xdr:nvSpPr>
        <xdr:cNvPr id="743" name="Rectangle 510">
          <a:extLst>
            <a:ext uri="{FF2B5EF4-FFF2-40B4-BE49-F238E27FC236}">
              <a16:creationId xmlns:a16="http://schemas.microsoft.com/office/drawing/2014/main" id="{6247C298-A64B-4F7B-B551-B938AED3AE83}"/>
            </a:ext>
          </a:extLst>
        </xdr:cNvPr>
        <xdr:cNvSpPr>
          <a:spLocks noChangeArrowheads="1"/>
        </xdr:cNvSpPr>
      </xdr:nvSpPr>
      <xdr:spPr bwMode="auto">
        <a:xfrm>
          <a:off x="590550"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4" name="Rectangle 511">
          <a:extLst>
            <a:ext uri="{FF2B5EF4-FFF2-40B4-BE49-F238E27FC236}">
              <a16:creationId xmlns:a16="http://schemas.microsoft.com/office/drawing/2014/main" id="{9402D6C8-2375-4F69-A042-969E863ACA4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5" name="Rectangle 512">
          <a:extLst>
            <a:ext uri="{FF2B5EF4-FFF2-40B4-BE49-F238E27FC236}">
              <a16:creationId xmlns:a16="http://schemas.microsoft.com/office/drawing/2014/main" id="{A2158EF7-26EA-4C40-8EE0-11395A6CD49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6" name="Rectangle 513">
          <a:extLst>
            <a:ext uri="{FF2B5EF4-FFF2-40B4-BE49-F238E27FC236}">
              <a16:creationId xmlns:a16="http://schemas.microsoft.com/office/drawing/2014/main" id="{45265418-38C2-4A3D-BCFE-0D3BF1BBBA8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7" name="Rectangle 514">
          <a:extLst>
            <a:ext uri="{FF2B5EF4-FFF2-40B4-BE49-F238E27FC236}">
              <a16:creationId xmlns:a16="http://schemas.microsoft.com/office/drawing/2014/main" id="{44815B2D-4879-41D6-B2A2-D17C086611D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8" name="Rectangle 515">
          <a:extLst>
            <a:ext uri="{FF2B5EF4-FFF2-40B4-BE49-F238E27FC236}">
              <a16:creationId xmlns:a16="http://schemas.microsoft.com/office/drawing/2014/main" id="{36E752C8-C51E-4B6A-B339-36D04659F27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49" name="Rectangle 516">
          <a:extLst>
            <a:ext uri="{FF2B5EF4-FFF2-40B4-BE49-F238E27FC236}">
              <a16:creationId xmlns:a16="http://schemas.microsoft.com/office/drawing/2014/main" id="{2AF790F0-6C15-49C1-924C-243E2C2DF10B}"/>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0" name="Rectangle 517">
          <a:extLst>
            <a:ext uri="{FF2B5EF4-FFF2-40B4-BE49-F238E27FC236}">
              <a16:creationId xmlns:a16="http://schemas.microsoft.com/office/drawing/2014/main" id="{3C86A5F8-D3A1-4D05-AD4D-900FD570EE5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1" name="Rectangle 518">
          <a:extLst>
            <a:ext uri="{FF2B5EF4-FFF2-40B4-BE49-F238E27FC236}">
              <a16:creationId xmlns:a16="http://schemas.microsoft.com/office/drawing/2014/main" id="{6CAE2172-7F22-4245-A298-7435684C9BD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2" name="Rectangle 519">
          <a:extLst>
            <a:ext uri="{FF2B5EF4-FFF2-40B4-BE49-F238E27FC236}">
              <a16:creationId xmlns:a16="http://schemas.microsoft.com/office/drawing/2014/main" id="{F7F423D4-684B-4660-96F0-53DC092A69C0}"/>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3" name="Rectangle 520">
          <a:extLst>
            <a:ext uri="{FF2B5EF4-FFF2-40B4-BE49-F238E27FC236}">
              <a16:creationId xmlns:a16="http://schemas.microsoft.com/office/drawing/2014/main" id="{2A574560-3BCF-4B30-B149-6129DBAA528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4" name="Rectangle 521">
          <a:extLst>
            <a:ext uri="{FF2B5EF4-FFF2-40B4-BE49-F238E27FC236}">
              <a16:creationId xmlns:a16="http://schemas.microsoft.com/office/drawing/2014/main" id="{EE01C353-1C0A-42C9-BAB7-A9642D9D1195}"/>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5" name="Rectangle 522">
          <a:extLst>
            <a:ext uri="{FF2B5EF4-FFF2-40B4-BE49-F238E27FC236}">
              <a16:creationId xmlns:a16="http://schemas.microsoft.com/office/drawing/2014/main" id="{5EE456AE-DC9C-47ED-B743-069D37E11961}"/>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6" name="Rectangle 523">
          <a:extLst>
            <a:ext uri="{FF2B5EF4-FFF2-40B4-BE49-F238E27FC236}">
              <a16:creationId xmlns:a16="http://schemas.microsoft.com/office/drawing/2014/main" id="{C7C65936-9590-4373-9FCC-D5801E9B1BD3}"/>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7" name="Rectangle 524">
          <a:extLst>
            <a:ext uri="{FF2B5EF4-FFF2-40B4-BE49-F238E27FC236}">
              <a16:creationId xmlns:a16="http://schemas.microsoft.com/office/drawing/2014/main" id="{E3702A9B-A87B-4679-A56E-C5419902976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8" name="Rectangle 525">
          <a:extLst>
            <a:ext uri="{FF2B5EF4-FFF2-40B4-BE49-F238E27FC236}">
              <a16:creationId xmlns:a16="http://schemas.microsoft.com/office/drawing/2014/main" id="{E9A8C16D-5A9C-4932-B761-1C852504BBB0}"/>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59" name="Rectangle 526">
          <a:extLst>
            <a:ext uri="{FF2B5EF4-FFF2-40B4-BE49-F238E27FC236}">
              <a16:creationId xmlns:a16="http://schemas.microsoft.com/office/drawing/2014/main" id="{DD2B6F95-E559-47D0-94FB-1E28712FBF89}"/>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60" name="Rectangle 527">
          <a:extLst>
            <a:ext uri="{FF2B5EF4-FFF2-40B4-BE49-F238E27FC236}">
              <a16:creationId xmlns:a16="http://schemas.microsoft.com/office/drawing/2014/main" id="{F8FEA18D-70DB-4D7F-BCD6-738518D97752}"/>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7</xdr:row>
      <xdr:rowOff>0</xdr:rowOff>
    </xdr:from>
    <xdr:ext cx="28854" cy="132665"/>
    <xdr:sp macro="" textlink="">
      <xdr:nvSpPr>
        <xdr:cNvPr id="761" name="Rectangle 528">
          <a:extLst>
            <a:ext uri="{FF2B5EF4-FFF2-40B4-BE49-F238E27FC236}">
              <a16:creationId xmlns:a16="http://schemas.microsoft.com/office/drawing/2014/main" id="{82F9FEB0-BC6E-47D8-9237-51575218D5D6}"/>
            </a:ext>
          </a:extLst>
        </xdr:cNvPr>
        <xdr:cNvSpPr>
          <a:spLocks noChangeArrowheads="1"/>
        </xdr:cNvSpPr>
      </xdr:nvSpPr>
      <xdr:spPr bwMode="auto">
        <a:xfrm>
          <a:off x="581025" y="11430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2" name="Rectangle 238">
          <a:extLst>
            <a:ext uri="{FF2B5EF4-FFF2-40B4-BE49-F238E27FC236}">
              <a16:creationId xmlns:a16="http://schemas.microsoft.com/office/drawing/2014/main" id="{C0FD29B3-19F4-4686-994E-666F1579A17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3" name="Rectangle 249">
          <a:extLst>
            <a:ext uri="{FF2B5EF4-FFF2-40B4-BE49-F238E27FC236}">
              <a16:creationId xmlns:a16="http://schemas.microsoft.com/office/drawing/2014/main" id="{88ACBD8F-30B4-4828-BE24-436CFF660D4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4" name="Rectangle 251">
          <a:extLst>
            <a:ext uri="{FF2B5EF4-FFF2-40B4-BE49-F238E27FC236}">
              <a16:creationId xmlns:a16="http://schemas.microsoft.com/office/drawing/2014/main" id="{49A93E8D-DA2F-4677-ADB3-C1CB21D8C2A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5" name="Rectangle 253">
          <a:extLst>
            <a:ext uri="{FF2B5EF4-FFF2-40B4-BE49-F238E27FC236}">
              <a16:creationId xmlns:a16="http://schemas.microsoft.com/office/drawing/2014/main" id="{B11702FB-987F-4750-99A1-2EB1EBB4CD1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6" name="Rectangle 254">
          <a:extLst>
            <a:ext uri="{FF2B5EF4-FFF2-40B4-BE49-F238E27FC236}">
              <a16:creationId xmlns:a16="http://schemas.microsoft.com/office/drawing/2014/main" id="{1BF20011-5F18-4368-AF9F-9BF6B940951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7" name="Rectangle 255">
          <a:extLst>
            <a:ext uri="{FF2B5EF4-FFF2-40B4-BE49-F238E27FC236}">
              <a16:creationId xmlns:a16="http://schemas.microsoft.com/office/drawing/2014/main" id="{ED8B0810-0976-4740-878C-94590B461CA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8" name="Rectangle 257">
          <a:extLst>
            <a:ext uri="{FF2B5EF4-FFF2-40B4-BE49-F238E27FC236}">
              <a16:creationId xmlns:a16="http://schemas.microsoft.com/office/drawing/2014/main" id="{B2378B24-E54B-4230-B478-1484FD26D31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69" name="Rectangle 258">
          <a:extLst>
            <a:ext uri="{FF2B5EF4-FFF2-40B4-BE49-F238E27FC236}">
              <a16:creationId xmlns:a16="http://schemas.microsoft.com/office/drawing/2014/main" id="{2DE2E435-5324-492A-B629-8FC8FCD3326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0" name="Rectangle 259">
          <a:extLst>
            <a:ext uri="{FF2B5EF4-FFF2-40B4-BE49-F238E27FC236}">
              <a16:creationId xmlns:a16="http://schemas.microsoft.com/office/drawing/2014/main" id="{9E51693E-0E71-472A-8617-61766024DD9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1" name="Rectangle 260">
          <a:extLst>
            <a:ext uri="{FF2B5EF4-FFF2-40B4-BE49-F238E27FC236}">
              <a16:creationId xmlns:a16="http://schemas.microsoft.com/office/drawing/2014/main" id="{068D794A-1FB3-4B05-9C64-DD344F259F8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2" name="Rectangle 261">
          <a:extLst>
            <a:ext uri="{FF2B5EF4-FFF2-40B4-BE49-F238E27FC236}">
              <a16:creationId xmlns:a16="http://schemas.microsoft.com/office/drawing/2014/main" id="{AC269C6A-3D37-4714-8544-E3C6517043F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3" name="Rectangle 262">
          <a:extLst>
            <a:ext uri="{FF2B5EF4-FFF2-40B4-BE49-F238E27FC236}">
              <a16:creationId xmlns:a16="http://schemas.microsoft.com/office/drawing/2014/main" id="{1F390E44-6A33-4DEA-839A-31D52ABFC3C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5</xdr:row>
      <xdr:rowOff>0</xdr:rowOff>
    </xdr:from>
    <xdr:ext cx="28854" cy="132665"/>
    <xdr:sp macro="" textlink="">
      <xdr:nvSpPr>
        <xdr:cNvPr id="774" name="Rectangle 263">
          <a:extLst>
            <a:ext uri="{FF2B5EF4-FFF2-40B4-BE49-F238E27FC236}">
              <a16:creationId xmlns:a16="http://schemas.microsoft.com/office/drawing/2014/main" id="{C5FB940F-0207-49DC-B82E-08A68E057F8B}"/>
            </a:ext>
          </a:extLst>
        </xdr:cNvPr>
        <xdr:cNvSpPr>
          <a:spLocks noChangeArrowheads="1"/>
        </xdr:cNvSpPr>
      </xdr:nvSpPr>
      <xdr:spPr bwMode="auto">
        <a:xfrm>
          <a:off x="60007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5" name="Rectangle 264">
          <a:extLst>
            <a:ext uri="{FF2B5EF4-FFF2-40B4-BE49-F238E27FC236}">
              <a16:creationId xmlns:a16="http://schemas.microsoft.com/office/drawing/2014/main" id="{590E2756-89F8-485B-80B4-E5F5BC1B171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6" name="Rectangle 265">
          <a:extLst>
            <a:ext uri="{FF2B5EF4-FFF2-40B4-BE49-F238E27FC236}">
              <a16:creationId xmlns:a16="http://schemas.microsoft.com/office/drawing/2014/main" id="{FF765914-7890-496C-A194-03CE0050C58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7" name="Rectangle 266">
          <a:extLst>
            <a:ext uri="{FF2B5EF4-FFF2-40B4-BE49-F238E27FC236}">
              <a16:creationId xmlns:a16="http://schemas.microsoft.com/office/drawing/2014/main" id="{23F02BF5-5339-42AA-9A6A-741BF569C25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8" name="Rectangle 267">
          <a:extLst>
            <a:ext uri="{FF2B5EF4-FFF2-40B4-BE49-F238E27FC236}">
              <a16:creationId xmlns:a16="http://schemas.microsoft.com/office/drawing/2014/main" id="{9FB47D33-EA24-4CDB-A201-BA2C3364536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79" name="Rectangle 268">
          <a:extLst>
            <a:ext uri="{FF2B5EF4-FFF2-40B4-BE49-F238E27FC236}">
              <a16:creationId xmlns:a16="http://schemas.microsoft.com/office/drawing/2014/main" id="{79B201A3-6B39-4B86-AB78-69695FE018A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0" name="Rectangle 269">
          <a:extLst>
            <a:ext uri="{FF2B5EF4-FFF2-40B4-BE49-F238E27FC236}">
              <a16:creationId xmlns:a16="http://schemas.microsoft.com/office/drawing/2014/main" id="{53334E70-1832-4388-A62B-2C4434DA565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1" name="Rectangle 270">
          <a:extLst>
            <a:ext uri="{FF2B5EF4-FFF2-40B4-BE49-F238E27FC236}">
              <a16:creationId xmlns:a16="http://schemas.microsoft.com/office/drawing/2014/main" id="{65EA77D7-93DF-407B-81B3-DD0A740C4CA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2" name="Rectangle 271">
          <a:extLst>
            <a:ext uri="{FF2B5EF4-FFF2-40B4-BE49-F238E27FC236}">
              <a16:creationId xmlns:a16="http://schemas.microsoft.com/office/drawing/2014/main" id="{5A104E22-35B4-4140-AF5E-8410F3B6F1B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3" name="Rectangle 272">
          <a:extLst>
            <a:ext uri="{FF2B5EF4-FFF2-40B4-BE49-F238E27FC236}">
              <a16:creationId xmlns:a16="http://schemas.microsoft.com/office/drawing/2014/main" id="{DCAE67C9-F99D-41B9-B5ED-51A12E8B207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4" name="Rectangle 273">
          <a:extLst>
            <a:ext uri="{FF2B5EF4-FFF2-40B4-BE49-F238E27FC236}">
              <a16:creationId xmlns:a16="http://schemas.microsoft.com/office/drawing/2014/main" id="{57338DDA-E2A0-433F-A14B-2E2C1C81099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5" name="Rectangle 274">
          <a:extLst>
            <a:ext uri="{FF2B5EF4-FFF2-40B4-BE49-F238E27FC236}">
              <a16:creationId xmlns:a16="http://schemas.microsoft.com/office/drawing/2014/main" id="{FEF38A3A-8777-43BA-AFFF-89F97298B42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6" name="Rectangle 275">
          <a:extLst>
            <a:ext uri="{FF2B5EF4-FFF2-40B4-BE49-F238E27FC236}">
              <a16:creationId xmlns:a16="http://schemas.microsoft.com/office/drawing/2014/main" id="{3A50399B-9C34-4F4A-B6B6-9D23F401348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787" name="Rectangle 276">
          <a:extLst>
            <a:ext uri="{FF2B5EF4-FFF2-40B4-BE49-F238E27FC236}">
              <a16:creationId xmlns:a16="http://schemas.microsoft.com/office/drawing/2014/main" id="{1C1C7C99-FE57-4682-A20A-5C2D829A64D7}"/>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8" name="Rectangle 277">
          <a:extLst>
            <a:ext uri="{FF2B5EF4-FFF2-40B4-BE49-F238E27FC236}">
              <a16:creationId xmlns:a16="http://schemas.microsoft.com/office/drawing/2014/main" id="{337F5AF7-139E-4F52-A59D-D4B27B21B43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89" name="Rectangle 278">
          <a:extLst>
            <a:ext uri="{FF2B5EF4-FFF2-40B4-BE49-F238E27FC236}">
              <a16:creationId xmlns:a16="http://schemas.microsoft.com/office/drawing/2014/main" id="{6B4A29FF-F494-44E8-9402-C2BE91EDEC3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0" name="Rectangle 279">
          <a:extLst>
            <a:ext uri="{FF2B5EF4-FFF2-40B4-BE49-F238E27FC236}">
              <a16:creationId xmlns:a16="http://schemas.microsoft.com/office/drawing/2014/main" id="{D846ED85-66FE-4191-93DD-95094ED5A2D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1" name="Rectangle 280">
          <a:extLst>
            <a:ext uri="{FF2B5EF4-FFF2-40B4-BE49-F238E27FC236}">
              <a16:creationId xmlns:a16="http://schemas.microsoft.com/office/drawing/2014/main" id="{6AC23B80-0BF9-4E3F-855F-7FF963BC105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2" name="Rectangle 281">
          <a:extLst>
            <a:ext uri="{FF2B5EF4-FFF2-40B4-BE49-F238E27FC236}">
              <a16:creationId xmlns:a16="http://schemas.microsoft.com/office/drawing/2014/main" id="{DFDD6310-922D-4127-B3C0-D25C2DE8F8D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3" name="Rectangle 282">
          <a:extLst>
            <a:ext uri="{FF2B5EF4-FFF2-40B4-BE49-F238E27FC236}">
              <a16:creationId xmlns:a16="http://schemas.microsoft.com/office/drawing/2014/main" id="{7BBE0263-1C8F-472C-9381-BBE904B585C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4" name="Rectangle 283">
          <a:extLst>
            <a:ext uri="{FF2B5EF4-FFF2-40B4-BE49-F238E27FC236}">
              <a16:creationId xmlns:a16="http://schemas.microsoft.com/office/drawing/2014/main" id="{26995ED4-EF6A-4706-8E52-46E7722C9F5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5" name="Rectangle 284">
          <a:extLst>
            <a:ext uri="{FF2B5EF4-FFF2-40B4-BE49-F238E27FC236}">
              <a16:creationId xmlns:a16="http://schemas.microsoft.com/office/drawing/2014/main" id="{1E42E026-C6A5-4EAA-AAD4-E4D61B09478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6" name="Rectangle 285">
          <a:extLst>
            <a:ext uri="{FF2B5EF4-FFF2-40B4-BE49-F238E27FC236}">
              <a16:creationId xmlns:a16="http://schemas.microsoft.com/office/drawing/2014/main" id="{14EE96CE-DBB0-4F44-9FAF-7939D04BB60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7" name="Rectangle 286">
          <a:extLst>
            <a:ext uri="{FF2B5EF4-FFF2-40B4-BE49-F238E27FC236}">
              <a16:creationId xmlns:a16="http://schemas.microsoft.com/office/drawing/2014/main" id="{B7BF4B14-81F7-4F43-B20A-F54E6D9887D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8" name="Rectangle 287">
          <a:extLst>
            <a:ext uri="{FF2B5EF4-FFF2-40B4-BE49-F238E27FC236}">
              <a16:creationId xmlns:a16="http://schemas.microsoft.com/office/drawing/2014/main" id="{4C4C4DDF-9986-41C1-9334-1A68AE39BCA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799" name="Rectangle 288">
          <a:extLst>
            <a:ext uri="{FF2B5EF4-FFF2-40B4-BE49-F238E27FC236}">
              <a16:creationId xmlns:a16="http://schemas.microsoft.com/office/drawing/2014/main" id="{CAE16CE8-BFD3-444F-887C-373C2D56843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0" name="Rectangle 289">
          <a:extLst>
            <a:ext uri="{FF2B5EF4-FFF2-40B4-BE49-F238E27FC236}">
              <a16:creationId xmlns:a16="http://schemas.microsoft.com/office/drawing/2014/main" id="{6CBD3D4F-BA27-4DB2-9E65-0A11B67DF2D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1" name="Rectangle 290">
          <a:extLst>
            <a:ext uri="{FF2B5EF4-FFF2-40B4-BE49-F238E27FC236}">
              <a16:creationId xmlns:a16="http://schemas.microsoft.com/office/drawing/2014/main" id="{89C2337E-C82B-4856-ADC3-61BAE8F68E2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2" name="Rectangle 291">
          <a:extLst>
            <a:ext uri="{FF2B5EF4-FFF2-40B4-BE49-F238E27FC236}">
              <a16:creationId xmlns:a16="http://schemas.microsoft.com/office/drawing/2014/main" id="{D66170E8-8579-483F-94EB-45824B378D4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3" name="Rectangle 292">
          <a:extLst>
            <a:ext uri="{FF2B5EF4-FFF2-40B4-BE49-F238E27FC236}">
              <a16:creationId xmlns:a16="http://schemas.microsoft.com/office/drawing/2014/main" id="{F3AA3E43-1B78-499F-B327-4E9B04E7925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4" name="Rectangle 293">
          <a:extLst>
            <a:ext uri="{FF2B5EF4-FFF2-40B4-BE49-F238E27FC236}">
              <a16:creationId xmlns:a16="http://schemas.microsoft.com/office/drawing/2014/main" id="{1D1FF491-E43D-4C77-856A-3571AE9A202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5" name="Rectangle 294">
          <a:extLst>
            <a:ext uri="{FF2B5EF4-FFF2-40B4-BE49-F238E27FC236}">
              <a16:creationId xmlns:a16="http://schemas.microsoft.com/office/drawing/2014/main" id="{6EF8B169-8399-42FF-B21B-00C867345B3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806" name="Rectangle 295">
          <a:extLst>
            <a:ext uri="{FF2B5EF4-FFF2-40B4-BE49-F238E27FC236}">
              <a16:creationId xmlns:a16="http://schemas.microsoft.com/office/drawing/2014/main" id="{7ACBCB19-1672-4BCE-9472-8C8754FF7A73}"/>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7" name="Rectangle 296">
          <a:extLst>
            <a:ext uri="{FF2B5EF4-FFF2-40B4-BE49-F238E27FC236}">
              <a16:creationId xmlns:a16="http://schemas.microsoft.com/office/drawing/2014/main" id="{8674CC9B-C969-4A7D-8A4B-C1A64768FA3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8" name="Rectangle 297">
          <a:extLst>
            <a:ext uri="{FF2B5EF4-FFF2-40B4-BE49-F238E27FC236}">
              <a16:creationId xmlns:a16="http://schemas.microsoft.com/office/drawing/2014/main" id="{EB8046BA-E9AC-4E73-863E-7059CE3915A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09" name="Rectangle 298">
          <a:extLst>
            <a:ext uri="{FF2B5EF4-FFF2-40B4-BE49-F238E27FC236}">
              <a16:creationId xmlns:a16="http://schemas.microsoft.com/office/drawing/2014/main" id="{98A515C5-CD5A-4D75-ACCE-25C2623F175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0" name="Rectangle 299">
          <a:extLst>
            <a:ext uri="{FF2B5EF4-FFF2-40B4-BE49-F238E27FC236}">
              <a16:creationId xmlns:a16="http://schemas.microsoft.com/office/drawing/2014/main" id="{84B7BB8A-E912-4097-9AFA-963D896B90F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1" name="Rectangle 300">
          <a:extLst>
            <a:ext uri="{FF2B5EF4-FFF2-40B4-BE49-F238E27FC236}">
              <a16:creationId xmlns:a16="http://schemas.microsoft.com/office/drawing/2014/main" id="{C4F1A0DC-C3DC-4701-9C1B-66C364F8CB0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2" name="Rectangle 301">
          <a:extLst>
            <a:ext uri="{FF2B5EF4-FFF2-40B4-BE49-F238E27FC236}">
              <a16:creationId xmlns:a16="http://schemas.microsoft.com/office/drawing/2014/main" id="{1375BD67-BCF8-4CFB-B787-C96AD83F3CA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3" name="Rectangle 302">
          <a:extLst>
            <a:ext uri="{FF2B5EF4-FFF2-40B4-BE49-F238E27FC236}">
              <a16:creationId xmlns:a16="http://schemas.microsoft.com/office/drawing/2014/main" id="{354BFD21-C0B2-49B8-A04A-B4514515853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4" name="Rectangle 303">
          <a:extLst>
            <a:ext uri="{FF2B5EF4-FFF2-40B4-BE49-F238E27FC236}">
              <a16:creationId xmlns:a16="http://schemas.microsoft.com/office/drawing/2014/main" id="{AE498809-3D8C-4BB1-A51D-3335E668C5F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5" name="Rectangle 304">
          <a:extLst>
            <a:ext uri="{FF2B5EF4-FFF2-40B4-BE49-F238E27FC236}">
              <a16:creationId xmlns:a16="http://schemas.microsoft.com/office/drawing/2014/main" id="{F13D8F83-7274-4D81-93E7-7CE92FCB3C7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6" name="Rectangle 305">
          <a:extLst>
            <a:ext uri="{FF2B5EF4-FFF2-40B4-BE49-F238E27FC236}">
              <a16:creationId xmlns:a16="http://schemas.microsoft.com/office/drawing/2014/main" id="{C44395C8-8BDC-485E-8BD2-A3DC70F28AC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7" name="Rectangle 306">
          <a:extLst>
            <a:ext uri="{FF2B5EF4-FFF2-40B4-BE49-F238E27FC236}">
              <a16:creationId xmlns:a16="http://schemas.microsoft.com/office/drawing/2014/main" id="{7965687E-E8E8-4950-BECC-A5F299066AB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8" name="Rectangle 307">
          <a:extLst>
            <a:ext uri="{FF2B5EF4-FFF2-40B4-BE49-F238E27FC236}">
              <a16:creationId xmlns:a16="http://schemas.microsoft.com/office/drawing/2014/main" id="{ED3E9B9F-B720-48A9-912D-985A9C9CD00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19" name="Rectangle 308">
          <a:extLst>
            <a:ext uri="{FF2B5EF4-FFF2-40B4-BE49-F238E27FC236}">
              <a16:creationId xmlns:a16="http://schemas.microsoft.com/office/drawing/2014/main" id="{CE307809-4F37-4289-81E2-35EA5312061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0" name="Rectangle 309">
          <a:extLst>
            <a:ext uri="{FF2B5EF4-FFF2-40B4-BE49-F238E27FC236}">
              <a16:creationId xmlns:a16="http://schemas.microsoft.com/office/drawing/2014/main" id="{82298289-1009-4FB0-8420-977C15A4C64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1" name="Rectangle 310">
          <a:extLst>
            <a:ext uri="{FF2B5EF4-FFF2-40B4-BE49-F238E27FC236}">
              <a16:creationId xmlns:a16="http://schemas.microsoft.com/office/drawing/2014/main" id="{B2272334-1FCE-4B08-BD88-703945B0AC8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2" name="Rectangle 311">
          <a:extLst>
            <a:ext uri="{FF2B5EF4-FFF2-40B4-BE49-F238E27FC236}">
              <a16:creationId xmlns:a16="http://schemas.microsoft.com/office/drawing/2014/main" id="{A416C5E2-C50B-4424-B7A9-8B4000AAB43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3" name="Rectangle 312">
          <a:extLst>
            <a:ext uri="{FF2B5EF4-FFF2-40B4-BE49-F238E27FC236}">
              <a16:creationId xmlns:a16="http://schemas.microsoft.com/office/drawing/2014/main" id="{765467D0-3F81-4EA3-8E39-8630A8E6DA5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4" name="Rectangle 313">
          <a:extLst>
            <a:ext uri="{FF2B5EF4-FFF2-40B4-BE49-F238E27FC236}">
              <a16:creationId xmlns:a16="http://schemas.microsoft.com/office/drawing/2014/main" id="{7D3C9145-EA59-41BE-8DB0-E7258E4E480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5" name="Rectangle 314">
          <a:extLst>
            <a:ext uri="{FF2B5EF4-FFF2-40B4-BE49-F238E27FC236}">
              <a16:creationId xmlns:a16="http://schemas.microsoft.com/office/drawing/2014/main" id="{3DE5FB7F-4CF7-46E7-8AF3-444179DA7BB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6" name="Rectangle 315">
          <a:extLst>
            <a:ext uri="{FF2B5EF4-FFF2-40B4-BE49-F238E27FC236}">
              <a16:creationId xmlns:a16="http://schemas.microsoft.com/office/drawing/2014/main" id="{8937C2BE-54AD-47A5-819E-EA48D12FD33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7" name="Rectangle 316">
          <a:extLst>
            <a:ext uri="{FF2B5EF4-FFF2-40B4-BE49-F238E27FC236}">
              <a16:creationId xmlns:a16="http://schemas.microsoft.com/office/drawing/2014/main" id="{50C0E2E1-C07D-4B47-97F9-2C8C900D46A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8" name="Rectangle 317">
          <a:extLst>
            <a:ext uri="{FF2B5EF4-FFF2-40B4-BE49-F238E27FC236}">
              <a16:creationId xmlns:a16="http://schemas.microsoft.com/office/drawing/2014/main" id="{87802DEF-FBA7-42BC-80F8-191420CA287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29" name="Rectangle 318">
          <a:extLst>
            <a:ext uri="{FF2B5EF4-FFF2-40B4-BE49-F238E27FC236}">
              <a16:creationId xmlns:a16="http://schemas.microsoft.com/office/drawing/2014/main" id="{EEA68060-59B7-4522-AD7D-57D773DA5A8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0" name="Rectangle 319">
          <a:extLst>
            <a:ext uri="{FF2B5EF4-FFF2-40B4-BE49-F238E27FC236}">
              <a16:creationId xmlns:a16="http://schemas.microsoft.com/office/drawing/2014/main" id="{FA417DA4-7BCA-4958-AF03-E3A1A621D7D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831" name="Rectangle 320">
          <a:extLst>
            <a:ext uri="{FF2B5EF4-FFF2-40B4-BE49-F238E27FC236}">
              <a16:creationId xmlns:a16="http://schemas.microsoft.com/office/drawing/2014/main" id="{A8F8D849-31FA-4EC2-9A54-D9C1C1C68BAB}"/>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2" name="Rectangle 321">
          <a:extLst>
            <a:ext uri="{FF2B5EF4-FFF2-40B4-BE49-F238E27FC236}">
              <a16:creationId xmlns:a16="http://schemas.microsoft.com/office/drawing/2014/main" id="{CF05BCC9-1AB4-4636-8DFE-D09D80F07D4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3" name="Rectangle 322">
          <a:extLst>
            <a:ext uri="{FF2B5EF4-FFF2-40B4-BE49-F238E27FC236}">
              <a16:creationId xmlns:a16="http://schemas.microsoft.com/office/drawing/2014/main" id="{2836CDBC-92C2-480E-B617-C5583ECBE1F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4" name="Rectangle 323">
          <a:extLst>
            <a:ext uri="{FF2B5EF4-FFF2-40B4-BE49-F238E27FC236}">
              <a16:creationId xmlns:a16="http://schemas.microsoft.com/office/drawing/2014/main" id="{D35F3080-AB4C-440D-AD40-99836C24373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5" name="Rectangle 324">
          <a:extLst>
            <a:ext uri="{FF2B5EF4-FFF2-40B4-BE49-F238E27FC236}">
              <a16:creationId xmlns:a16="http://schemas.microsoft.com/office/drawing/2014/main" id="{E89B1A95-A4DA-46E5-A028-BA87C4D64FE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6" name="Rectangle 325">
          <a:extLst>
            <a:ext uri="{FF2B5EF4-FFF2-40B4-BE49-F238E27FC236}">
              <a16:creationId xmlns:a16="http://schemas.microsoft.com/office/drawing/2014/main" id="{F1254EF4-84F7-43F9-8F89-C9F9EEB101E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7" name="Rectangle 326">
          <a:extLst>
            <a:ext uri="{FF2B5EF4-FFF2-40B4-BE49-F238E27FC236}">
              <a16:creationId xmlns:a16="http://schemas.microsoft.com/office/drawing/2014/main" id="{AF18A80F-7718-4FC2-BB01-C8ABA2502AD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8" name="Rectangle 327">
          <a:extLst>
            <a:ext uri="{FF2B5EF4-FFF2-40B4-BE49-F238E27FC236}">
              <a16:creationId xmlns:a16="http://schemas.microsoft.com/office/drawing/2014/main" id="{8D5B533F-7C4B-4ECE-94D6-22607590332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39" name="Rectangle 328">
          <a:extLst>
            <a:ext uri="{FF2B5EF4-FFF2-40B4-BE49-F238E27FC236}">
              <a16:creationId xmlns:a16="http://schemas.microsoft.com/office/drawing/2014/main" id="{7D05CC86-CC27-4839-9DBE-1897E60AEFD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0" name="Rectangle 329">
          <a:extLst>
            <a:ext uri="{FF2B5EF4-FFF2-40B4-BE49-F238E27FC236}">
              <a16:creationId xmlns:a16="http://schemas.microsoft.com/office/drawing/2014/main" id="{28C1BDCE-F68E-4C29-93C6-0AC5883F4A6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1" name="Rectangle 330">
          <a:extLst>
            <a:ext uri="{FF2B5EF4-FFF2-40B4-BE49-F238E27FC236}">
              <a16:creationId xmlns:a16="http://schemas.microsoft.com/office/drawing/2014/main" id="{553979ED-60DA-4DA8-AF8C-E3F644A86D8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2" name="Rectangle 331">
          <a:extLst>
            <a:ext uri="{FF2B5EF4-FFF2-40B4-BE49-F238E27FC236}">
              <a16:creationId xmlns:a16="http://schemas.microsoft.com/office/drawing/2014/main" id="{4376F4DF-19AB-4752-86E6-8FC8E26EF33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3" name="Rectangle 332">
          <a:extLst>
            <a:ext uri="{FF2B5EF4-FFF2-40B4-BE49-F238E27FC236}">
              <a16:creationId xmlns:a16="http://schemas.microsoft.com/office/drawing/2014/main" id="{7D148295-7C02-480F-A385-99685A19ABD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4" name="Rectangle 333">
          <a:extLst>
            <a:ext uri="{FF2B5EF4-FFF2-40B4-BE49-F238E27FC236}">
              <a16:creationId xmlns:a16="http://schemas.microsoft.com/office/drawing/2014/main" id="{340ABA0A-1041-48F4-AEDD-B53D777A0C8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5" name="Rectangle 334">
          <a:extLst>
            <a:ext uri="{FF2B5EF4-FFF2-40B4-BE49-F238E27FC236}">
              <a16:creationId xmlns:a16="http://schemas.microsoft.com/office/drawing/2014/main" id="{B1CDD8E2-ECDA-4EB1-A8A1-75E873E15F4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6" name="Rectangle 335">
          <a:extLst>
            <a:ext uri="{FF2B5EF4-FFF2-40B4-BE49-F238E27FC236}">
              <a16:creationId xmlns:a16="http://schemas.microsoft.com/office/drawing/2014/main" id="{FC2E136F-C947-4849-A0DE-AFDA73D2F50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7" name="Rectangle 336">
          <a:extLst>
            <a:ext uri="{FF2B5EF4-FFF2-40B4-BE49-F238E27FC236}">
              <a16:creationId xmlns:a16="http://schemas.microsoft.com/office/drawing/2014/main" id="{AB0B2889-21B4-4AB1-A10E-CDA6138DB99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8" name="Rectangle 337">
          <a:extLst>
            <a:ext uri="{FF2B5EF4-FFF2-40B4-BE49-F238E27FC236}">
              <a16:creationId xmlns:a16="http://schemas.microsoft.com/office/drawing/2014/main" id="{F4D4598B-BBEA-41AF-9A9D-44A932E2BA4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49" name="Rectangle 338">
          <a:extLst>
            <a:ext uri="{FF2B5EF4-FFF2-40B4-BE49-F238E27FC236}">
              <a16:creationId xmlns:a16="http://schemas.microsoft.com/office/drawing/2014/main" id="{F36B64E3-743D-4BDF-A3C6-4C6AD28716C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850" name="Rectangle 339">
          <a:extLst>
            <a:ext uri="{FF2B5EF4-FFF2-40B4-BE49-F238E27FC236}">
              <a16:creationId xmlns:a16="http://schemas.microsoft.com/office/drawing/2014/main" id="{7AF02F3C-68CF-4E25-85F9-096E28961931}"/>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1" name="Rectangle 340">
          <a:extLst>
            <a:ext uri="{FF2B5EF4-FFF2-40B4-BE49-F238E27FC236}">
              <a16:creationId xmlns:a16="http://schemas.microsoft.com/office/drawing/2014/main" id="{1E66A771-6B78-4963-B69B-2AC3C183043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2" name="Rectangle 341">
          <a:extLst>
            <a:ext uri="{FF2B5EF4-FFF2-40B4-BE49-F238E27FC236}">
              <a16:creationId xmlns:a16="http://schemas.microsoft.com/office/drawing/2014/main" id="{05EC2B41-C94D-48BC-B77A-89AF649E696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3" name="Rectangle 342">
          <a:extLst>
            <a:ext uri="{FF2B5EF4-FFF2-40B4-BE49-F238E27FC236}">
              <a16:creationId xmlns:a16="http://schemas.microsoft.com/office/drawing/2014/main" id="{43A8823E-6DBC-470F-8277-D366C6BF48B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4" name="Rectangle 343">
          <a:extLst>
            <a:ext uri="{FF2B5EF4-FFF2-40B4-BE49-F238E27FC236}">
              <a16:creationId xmlns:a16="http://schemas.microsoft.com/office/drawing/2014/main" id="{376E80F8-28FD-4AAA-8488-57C4EA76F78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5" name="Rectangle 344">
          <a:extLst>
            <a:ext uri="{FF2B5EF4-FFF2-40B4-BE49-F238E27FC236}">
              <a16:creationId xmlns:a16="http://schemas.microsoft.com/office/drawing/2014/main" id="{A8ED689E-0805-4EC8-B710-6C4A6B87E94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6" name="Rectangle 345">
          <a:extLst>
            <a:ext uri="{FF2B5EF4-FFF2-40B4-BE49-F238E27FC236}">
              <a16:creationId xmlns:a16="http://schemas.microsoft.com/office/drawing/2014/main" id="{212D50EE-F17C-4B0B-B3F9-5B6BACD9B85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857" name="Rectangle 346">
          <a:extLst>
            <a:ext uri="{FF2B5EF4-FFF2-40B4-BE49-F238E27FC236}">
              <a16:creationId xmlns:a16="http://schemas.microsoft.com/office/drawing/2014/main" id="{96C0B8EC-9099-4C31-BEEE-17FECBA8EC47}"/>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8" name="Rectangle 347">
          <a:extLst>
            <a:ext uri="{FF2B5EF4-FFF2-40B4-BE49-F238E27FC236}">
              <a16:creationId xmlns:a16="http://schemas.microsoft.com/office/drawing/2014/main" id="{02234F53-4CAE-4746-8497-99A85306035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59" name="Rectangle 348">
          <a:extLst>
            <a:ext uri="{FF2B5EF4-FFF2-40B4-BE49-F238E27FC236}">
              <a16:creationId xmlns:a16="http://schemas.microsoft.com/office/drawing/2014/main" id="{368AE157-D2F6-4B32-9640-F5580547979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0" name="Rectangle 349">
          <a:extLst>
            <a:ext uri="{FF2B5EF4-FFF2-40B4-BE49-F238E27FC236}">
              <a16:creationId xmlns:a16="http://schemas.microsoft.com/office/drawing/2014/main" id="{8ABC70E5-4924-4E50-8419-89B50D3B11A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1" name="Rectangle 350">
          <a:extLst>
            <a:ext uri="{FF2B5EF4-FFF2-40B4-BE49-F238E27FC236}">
              <a16:creationId xmlns:a16="http://schemas.microsoft.com/office/drawing/2014/main" id="{C52023B7-AD24-4948-AA64-5507EE166CB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2" name="Rectangle 351">
          <a:extLst>
            <a:ext uri="{FF2B5EF4-FFF2-40B4-BE49-F238E27FC236}">
              <a16:creationId xmlns:a16="http://schemas.microsoft.com/office/drawing/2014/main" id="{6D84A03C-9486-48DB-B424-427557B74B9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3" name="Rectangle 352">
          <a:extLst>
            <a:ext uri="{FF2B5EF4-FFF2-40B4-BE49-F238E27FC236}">
              <a16:creationId xmlns:a16="http://schemas.microsoft.com/office/drawing/2014/main" id="{57E92762-FFB1-4C72-88A9-EEDD47FEBB7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4" name="Rectangle 353">
          <a:extLst>
            <a:ext uri="{FF2B5EF4-FFF2-40B4-BE49-F238E27FC236}">
              <a16:creationId xmlns:a16="http://schemas.microsoft.com/office/drawing/2014/main" id="{B5628AD6-A196-457C-AC96-317EE946BC5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5" name="Rectangle 354">
          <a:extLst>
            <a:ext uri="{FF2B5EF4-FFF2-40B4-BE49-F238E27FC236}">
              <a16:creationId xmlns:a16="http://schemas.microsoft.com/office/drawing/2014/main" id="{00E29090-CF9D-4985-8E0C-C68D696E596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6" name="Rectangle 355">
          <a:extLst>
            <a:ext uri="{FF2B5EF4-FFF2-40B4-BE49-F238E27FC236}">
              <a16:creationId xmlns:a16="http://schemas.microsoft.com/office/drawing/2014/main" id="{073859EC-DB41-4A3A-A5F4-D0517EA7F93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7" name="Rectangle 356">
          <a:extLst>
            <a:ext uri="{FF2B5EF4-FFF2-40B4-BE49-F238E27FC236}">
              <a16:creationId xmlns:a16="http://schemas.microsoft.com/office/drawing/2014/main" id="{5C4644BF-62F5-4C3F-A3F9-73D38DE97D0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8" name="Rectangle 357">
          <a:extLst>
            <a:ext uri="{FF2B5EF4-FFF2-40B4-BE49-F238E27FC236}">
              <a16:creationId xmlns:a16="http://schemas.microsoft.com/office/drawing/2014/main" id="{A3DF1845-DFA5-4F17-B41F-A683706D0D8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69" name="Rectangle 358">
          <a:extLst>
            <a:ext uri="{FF2B5EF4-FFF2-40B4-BE49-F238E27FC236}">
              <a16:creationId xmlns:a16="http://schemas.microsoft.com/office/drawing/2014/main" id="{CEA8B417-2428-4052-B797-A4BB9CE0A42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0" name="Rectangle 359">
          <a:extLst>
            <a:ext uri="{FF2B5EF4-FFF2-40B4-BE49-F238E27FC236}">
              <a16:creationId xmlns:a16="http://schemas.microsoft.com/office/drawing/2014/main" id="{FE6498A6-42BD-4A9D-B4F7-700F4F2B840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1" name="Rectangle 360">
          <a:extLst>
            <a:ext uri="{FF2B5EF4-FFF2-40B4-BE49-F238E27FC236}">
              <a16:creationId xmlns:a16="http://schemas.microsoft.com/office/drawing/2014/main" id="{E83FBFC2-E6B6-4059-8945-DECED5B547D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2" name="Rectangle 361">
          <a:extLst>
            <a:ext uri="{FF2B5EF4-FFF2-40B4-BE49-F238E27FC236}">
              <a16:creationId xmlns:a16="http://schemas.microsoft.com/office/drawing/2014/main" id="{1EC560A9-7AC6-4955-84E8-C32C3478D42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3" name="Rectangle 362">
          <a:extLst>
            <a:ext uri="{FF2B5EF4-FFF2-40B4-BE49-F238E27FC236}">
              <a16:creationId xmlns:a16="http://schemas.microsoft.com/office/drawing/2014/main" id="{3A5DFD91-9600-44EA-9BF4-F749ED2CA78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4" name="Rectangle 363">
          <a:extLst>
            <a:ext uri="{FF2B5EF4-FFF2-40B4-BE49-F238E27FC236}">
              <a16:creationId xmlns:a16="http://schemas.microsoft.com/office/drawing/2014/main" id="{1EFBECCD-89F7-4E95-8746-8ABC0213834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5" name="Rectangle 364">
          <a:extLst>
            <a:ext uri="{FF2B5EF4-FFF2-40B4-BE49-F238E27FC236}">
              <a16:creationId xmlns:a16="http://schemas.microsoft.com/office/drawing/2014/main" id="{B66EF6B9-29A5-438C-A39E-39617115DE0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5</xdr:row>
      <xdr:rowOff>0</xdr:rowOff>
    </xdr:from>
    <xdr:ext cx="28854" cy="132665"/>
    <xdr:sp macro="" textlink="">
      <xdr:nvSpPr>
        <xdr:cNvPr id="876" name="Rectangle 365">
          <a:extLst>
            <a:ext uri="{FF2B5EF4-FFF2-40B4-BE49-F238E27FC236}">
              <a16:creationId xmlns:a16="http://schemas.microsoft.com/office/drawing/2014/main" id="{DF32DE6B-F32C-425A-BA67-FD61AFAEA268}"/>
            </a:ext>
          </a:extLst>
        </xdr:cNvPr>
        <xdr:cNvSpPr>
          <a:spLocks noChangeArrowheads="1"/>
        </xdr:cNvSpPr>
      </xdr:nvSpPr>
      <xdr:spPr bwMode="auto">
        <a:xfrm>
          <a:off x="60007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7" name="Rectangle 366">
          <a:extLst>
            <a:ext uri="{FF2B5EF4-FFF2-40B4-BE49-F238E27FC236}">
              <a16:creationId xmlns:a16="http://schemas.microsoft.com/office/drawing/2014/main" id="{CDEF3E77-14D5-4869-B64D-87D03184DB3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8" name="Rectangle 367">
          <a:extLst>
            <a:ext uri="{FF2B5EF4-FFF2-40B4-BE49-F238E27FC236}">
              <a16:creationId xmlns:a16="http://schemas.microsoft.com/office/drawing/2014/main" id="{C9000AD7-76B8-493D-AADB-CD171AC8162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79" name="Rectangle 368">
          <a:extLst>
            <a:ext uri="{FF2B5EF4-FFF2-40B4-BE49-F238E27FC236}">
              <a16:creationId xmlns:a16="http://schemas.microsoft.com/office/drawing/2014/main" id="{0AC7769B-D58E-4E68-9FD6-0391701BB40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0" name="Rectangle 369">
          <a:extLst>
            <a:ext uri="{FF2B5EF4-FFF2-40B4-BE49-F238E27FC236}">
              <a16:creationId xmlns:a16="http://schemas.microsoft.com/office/drawing/2014/main" id="{78DFB0B2-EA79-42D6-BBBC-B3E6217E055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1" name="Rectangle 370">
          <a:extLst>
            <a:ext uri="{FF2B5EF4-FFF2-40B4-BE49-F238E27FC236}">
              <a16:creationId xmlns:a16="http://schemas.microsoft.com/office/drawing/2014/main" id="{B9AE354C-ADED-4F4C-AB8A-1A12A009FC3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2" name="Rectangle 371">
          <a:extLst>
            <a:ext uri="{FF2B5EF4-FFF2-40B4-BE49-F238E27FC236}">
              <a16:creationId xmlns:a16="http://schemas.microsoft.com/office/drawing/2014/main" id="{38B9B3ED-8414-45FC-BDF3-B1FAD1AA85D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3" name="Rectangle 372">
          <a:extLst>
            <a:ext uri="{FF2B5EF4-FFF2-40B4-BE49-F238E27FC236}">
              <a16:creationId xmlns:a16="http://schemas.microsoft.com/office/drawing/2014/main" id="{58C683CD-DFA0-4C72-825C-FDB16EC93BA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4" name="Rectangle 373">
          <a:extLst>
            <a:ext uri="{FF2B5EF4-FFF2-40B4-BE49-F238E27FC236}">
              <a16:creationId xmlns:a16="http://schemas.microsoft.com/office/drawing/2014/main" id="{C0F8373B-E371-422F-BAF3-FAFB61B7420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5" name="Rectangle 374">
          <a:extLst>
            <a:ext uri="{FF2B5EF4-FFF2-40B4-BE49-F238E27FC236}">
              <a16:creationId xmlns:a16="http://schemas.microsoft.com/office/drawing/2014/main" id="{766B6CA5-7B94-4649-85BE-787F1CE4CD7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6" name="Rectangle 375">
          <a:extLst>
            <a:ext uri="{FF2B5EF4-FFF2-40B4-BE49-F238E27FC236}">
              <a16:creationId xmlns:a16="http://schemas.microsoft.com/office/drawing/2014/main" id="{FC598C6F-C69D-46A6-83B2-62FF9225EB0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7" name="Rectangle 376">
          <a:extLst>
            <a:ext uri="{FF2B5EF4-FFF2-40B4-BE49-F238E27FC236}">
              <a16:creationId xmlns:a16="http://schemas.microsoft.com/office/drawing/2014/main" id="{3673C2DE-71F1-49AA-A8C6-5BC674617D0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88" name="Rectangle 377">
          <a:extLst>
            <a:ext uri="{FF2B5EF4-FFF2-40B4-BE49-F238E27FC236}">
              <a16:creationId xmlns:a16="http://schemas.microsoft.com/office/drawing/2014/main" id="{1990B79A-E56B-4FA4-A50E-3E518011C5F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889" name="Rectangle 378">
          <a:extLst>
            <a:ext uri="{FF2B5EF4-FFF2-40B4-BE49-F238E27FC236}">
              <a16:creationId xmlns:a16="http://schemas.microsoft.com/office/drawing/2014/main" id="{763B363D-06D9-46B4-9AF1-095354865F07}"/>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0" name="Rectangle 379">
          <a:extLst>
            <a:ext uri="{FF2B5EF4-FFF2-40B4-BE49-F238E27FC236}">
              <a16:creationId xmlns:a16="http://schemas.microsoft.com/office/drawing/2014/main" id="{C7AF2582-7EE0-4ACE-BFE9-DD06FC6B59C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1" name="Rectangle 380">
          <a:extLst>
            <a:ext uri="{FF2B5EF4-FFF2-40B4-BE49-F238E27FC236}">
              <a16:creationId xmlns:a16="http://schemas.microsoft.com/office/drawing/2014/main" id="{675B557A-F4C4-43EA-A519-22CFDEEAB1A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2" name="Rectangle 381">
          <a:extLst>
            <a:ext uri="{FF2B5EF4-FFF2-40B4-BE49-F238E27FC236}">
              <a16:creationId xmlns:a16="http://schemas.microsoft.com/office/drawing/2014/main" id="{BC66D8C2-0A9F-45F0-98D6-007D394317B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3" name="Rectangle 382">
          <a:extLst>
            <a:ext uri="{FF2B5EF4-FFF2-40B4-BE49-F238E27FC236}">
              <a16:creationId xmlns:a16="http://schemas.microsoft.com/office/drawing/2014/main" id="{927EC60C-E220-4055-9AA4-E6EE7DE045E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4" name="Rectangle 383">
          <a:extLst>
            <a:ext uri="{FF2B5EF4-FFF2-40B4-BE49-F238E27FC236}">
              <a16:creationId xmlns:a16="http://schemas.microsoft.com/office/drawing/2014/main" id="{5FD268A2-4E60-432C-94D3-7E8D61E6AD9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5" name="Rectangle 384">
          <a:extLst>
            <a:ext uri="{FF2B5EF4-FFF2-40B4-BE49-F238E27FC236}">
              <a16:creationId xmlns:a16="http://schemas.microsoft.com/office/drawing/2014/main" id="{ACF865F5-34AB-41A5-AE2B-A48702AFB8B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6" name="Rectangle 385">
          <a:extLst>
            <a:ext uri="{FF2B5EF4-FFF2-40B4-BE49-F238E27FC236}">
              <a16:creationId xmlns:a16="http://schemas.microsoft.com/office/drawing/2014/main" id="{7D3FF619-E683-4850-8330-8CF9517DCF3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7" name="Rectangle 386">
          <a:extLst>
            <a:ext uri="{FF2B5EF4-FFF2-40B4-BE49-F238E27FC236}">
              <a16:creationId xmlns:a16="http://schemas.microsoft.com/office/drawing/2014/main" id="{3C1DD18F-A91C-480D-8A18-D79C8C1C903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8" name="Rectangle 387">
          <a:extLst>
            <a:ext uri="{FF2B5EF4-FFF2-40B4-BE49-F238E27FC236}">
              <a16:creationId xmlns:a16="http://schemas.microsoft.com/office/drawing/2014/main" id="{6075504B-F091-4FED-A3A3-1210B383944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899" name="Rectangle 388">
          <a:extLst>
            <a:ext uri="{FF2B5EF4-FFF2-40B4-BE49-F238E27FC236}">
              <a16:creationId xmlns:a16="http://schemas.microsoft.com/office/drawing/2014/main" id="{706ECED2-D755-4D8E-9721-53160A5FA0E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0" name="Rectangle 389">
          <a:extLst>
            <a:ext uri="{FF2B5EF4-FFF2-40B4-BE49-F238E27FC236}">
              <a16:creationId xmlns:a16="http://schemas.microsoft.com/office/drawing/2014/main" id="{DE5CD54F-373D-4EFD-A112-A06F14D016F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1" name="Rectangle 390">
          <a:extLst>
            <a:ext uri="{FF2B5EF4-FFF2-40B4-BE49-F238E27FC236}">
              <a16:creationId xmlns:a16="http://schemas.microsoft.com/office/drawing/2014/main" id="{EFA30C69-E41A-440E-BFAB-21748E3F4B6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2" name="Rectangle 391">
          <a:extLst>
            <a:ext uri="{FF2B5EF4-FFF2-40B4-BE49-F238E27FC236}">
              <a16:creationId xmlns:a16="http://schemas.microsoft.com/office/drawing/2014/main" id="{8DCAFF41-6E2B-45A8-A7A4-C24C2D1A064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3" name="Rectangle 392">
          <a:extLst>
            <a:ext uri="{FF2B5EF4-FFF2-40B4-BE49-F238E27FC236}">
              <a16:creationId xmlns:a16="http://schemas.microsoft.com/office/drawing/2014/main" id="{315E88E7-B45B-4BA1-B669-B3B463C33EE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4" name="Rectangle 393">
          <a:extLst>
            <a:ext uri="{FF2B5EF4-FFF2-40B4-BE49-F238E27FC236}">
              <a16:creationId xmlns:a16="http://schemas.microsoft.com/office/drawing/2014/main" id="{96575220-F523-4184-A344-11D196D490B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5" name="Rectangle 394">
          <a:extLst>
            <a:ext uri="{FF2B5EF4-FFF2-40B4-BE49-F238E27FC236}">
              <a16:creationId xmlns:a16="http://schemas.microsoft.com/office/drawing/2014/main" id="{6243C21C-746F-4EEF-8849-17B38E493BE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6" name="Rectangle 395">
          <a:extLst>
            <a:ext uri="{FF2B5EF4-FFF2-40B4-BE49-F238E27FC236}">
              <a16:creationId xmlns:a16="http://schemas.microsoft.com/office/drawing/2014/main" id="{DED812A3-6EA2-43A6-83B4-16C227E22B1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7" name="Rectangle 396">
          <a:extLst>
            <a:ext uri="{FF2B5EF4-FFF2-40B4-BE49-F238E27FC236}">
              <a16:creationId xmlns:a16="http://schemas.microsoft.com/office/drawing/2014/main" id="{B9C402F8-0B1B-46EA-A89B-A1F5297F20C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908" name="Rectangle 397">
          <a:extLst>
            <a:ext uri="{FF2B5EF4-FFF2-40B4-BE49-F238E27FC236}">
              <a16:creationId xmlns:a16="http://schemas.microsoft.com/office/drawing/2014/main" id="{16B69AA5-8F31-4BFB-89EE-C9FF01830815}"/>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09" name="Rectangle 398">
          <a:extLst>
            <a:ext uri="{FF2B5EF4-FFF2-40B4-BE49-F238E27FC236}">
              <a16:creationId xmlns:a16="http://schemas.microsoft.com/office/drawing/2014/main" id="{182E455E-7E5B-440A-9D10-0E94260AA50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0" name="Rectangle 399">
          <a:extLst>
            <a:ext uri="{FF2B5EF4-FFF2-40B4-BE49-F238E27FC236}">
              <a16:creationId xmlns:a16="http://schemas.microsoft.com/office/drawing/2014/main" id="{56110AD1-EEC3-4827-AC15-8DF702FC2B3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1" name="Rectangle 400">
          <a:extLst>
            <a:ext uri="{FF2B5EF4-FFF2-40B4-BE49-F238E27FC236}">
              <a16:creationId xmlns:a16="http://schemas.microsoft.com/office/drawing/2014/main" id="{78E30A47-A4C5-47CF-B498-DEF00DD8D6D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2" name="Rectangle 401">
          <a:extLst>
            <a:ext uri="{FF2B5EF4-FFF2-40B4-BE49-F238E27FC236}">
              <a16:creationId xmlns:a16="http://schemas.microsoft.com/office/drawing/2014/main" id="{113ECBA3-831F-4584-B339-D049CDE12BF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3" name="Rectangle 402">
          <a:extLst>
            <a:ext uri="{FF2B5EF4-FFF2-40B4-BE49-F238E27FC236}">
              <a16:creationId xmlns:a16="http://schemas.microsoft.com/office/drawing/2014/main" id="{CEF18E63-C092-495D-B204-ED52E139BEB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4" name="Rectangle 403">
          <a:extLst>
            <a:ext uri="{FF2B5EF4-FFF2-40B4-BE49-F238E27FC236}">
              <a16:creationId xmlns:a16="http://schemas.microsoft.com/office/drawing/2014/main" id="{392F377C-4E1D-44A8-B097-8A9E6B81604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5" name="Rectangle 404">
          <a:extLst>
            <a:ext uri="{FF2B5EF4-FFF2-40B4-BE49-F238E27FC236}">
              <a16:creationId xmlns:a16="http://schemas.microsoft.com/office/drawing/2014/main" id="{C0004DAE-4BDD-4EB2-8447-1B1D8C80B84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6" name="Rectangle 405">
          <a:extLst>
            <a:ext uri="{FF2B5EF4-FFF2-40B4-BE49-F238E27FC236}">
              <a16:creationId xmlns:a16="http://schemas.microsoft.com/office/drawing/2014/main" id="{DD07C66E-44BC-4C32-9D7D-13CBC7205A3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7" name="Rectangle 406">
          <a:extLst>
            <a:ext uri="{FF2B5EF4-FFF2-40B4-BE49-F238E27FC236}">
              <a16:creationId xmlns:a16="http://schemas.microsoft.com/office/drawing/2014/main" id="{DFBD0204-6237-4294-975F-5C504498E54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8" name="Rectangle 407">
          <a:extLst>
            <a:ext uri="{FF2B5EF4-FFF2-40B4-BE49-F238E27FC236}">
              <a16:creationId xmlns:a16="http://schemas.microsoft.com/office/drawing/2014/main" id="{003BB34A-25FC-4441-AFA3-FBB36DA0D02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19" name="Rectangle 408">
          <a:extLst>
            <a:ext uri="{FF2B5EF4-FFF2-40B4-BE49-F238E27FC236}">
              <a16:creationId xmlns:a16="http://schemas.microsoft.com/office/drawing/2014/main" id="{2382477A-3606-494D-A5C5-705A11F449E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0" name="Rectangle 409">
          <a:extLst>
            <a:ext uri="{FF2B5EF4-FFF2-40B4-BE49-F238E27FC236}">
              <a16:creationId xmlns:a16="http://schemas.microsoft.com/office/drawing/2014/main" id="{2A2C7E0F-CC7D-4DB0-A5F6-6C96418D106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1" name="Rectangle 410">
          <a:extLst>
            <a:ext uri="{FF2B5EF4-FFF2-40B4-BE49-F238E27FC236}">
              <a16:creationId xmlns:a16="http://schemas.microsoft.com/office/drawing/2014/main" id="{114E66AF-0A30-4F22-9AE6-C3923B3B19B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2" name="Rectangle 411">
          <a:extLst>
            <a:ext uri="{FF2B5EF4-FFF2-40B4-BE49-F238E27FC236}">
              <a16:creationId xmlns:a16="http://schemas.microsoft.com/office/drawing/2014/main" id="{DBEFE88C-68FC-45EC-80F3-15CD1765B3B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3" name="Rectangle 412">
          <a:extLst>
            <a:ext uri="{FF2B5EF4-FFF2-40B4-BE49-F238E27FC236}">
              <a16:creationId xmlns:a16="http://schemas.microsoft.com/office/drawing/2014/main" id="{5541C997-E931-45F3-B591-60B24CBDBA2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4" name="Rectangle 413">
          <a:extLst>
            <a:ext uri="{FF2B5EF4-FFF2-40B4-BE49-F238E27FC236}">
              <a16:creationId xmlns:a16="http://schemas.microsoft.com/office/drawing/2014/main" id="{C3545688-4602-4722-B1D9-606E8FCE932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5" name="Rectangle 414">
          <a:extLst>
            <a:ext uri="{FF2B5EF4-FFF2-40B4-BE49-F238E27FC236}">
              <a16:creationId xmlns:a16="http://schemas.microsoft.com/office/drawing/2014/main" id="{5F945281-BEC3-481D-9B33-B43563A9A19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6" name="Rectangle 415">
          <a:extLst>
            <a:ext uri="{FF2B5EF4-FFF2-40B4-BE49-F238E27FC236}">
              <a16:creationId xmlns:a16="http://schemas.microsoft.com/office/drawing/2014/main" id="{A9FAD82E-1DEE-4D12-BD20-61504795C84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7" name="Rectangle 416">
          <a:extLst>
            <a:ext uri="{FF2B5EF4-FFF2-40B4-BE49-F238E27FC236}">
              <a16:creationId xmlns:a16="http://schemas.microsoft.com/office/drawing/2014/main" id="{7D4F067D-3C10-4D72-BCEF-3A0366D8497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8" name="Rectangle 417">
          <a:extLst>
            <a:ext uri="{FF2B5EF4-FFF2-40B4-BE49-F238E27FC236}">
              <a16:creationId xmlns:a16="http://schemas.microsoft.com/office/drawing/2014/main" id="{FA0E1D66-FF6C-40F6-8AAC-35FB54342B6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29" name="Rectangle 418">
          <a:extLst>
            <a:ext uri="{FF2B5EF4-FFF2-40B4-BE49-F238E27FC236}">
              <a16:creationId xmlns:a16="http://schemas.microsoft.com/office/drawing/2014/main" id="{E48F2C33-C45F-408E-9640-EB66FC77FAB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0" name="Rectangle 419">
          <a:extLst>
            <a:ext uri="{FF2B5EF4-FFF2-40B4-BE49-F238E27FC236}">
              <a16:creationId xmlns:a16="http://schemas.microsoft.com/office/drawing/2014/main" id="{1E61F0D6-8970-4845-916B-EA84082343A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1" name="Rectangle 420">
          <a:extLst>
            <a:ext uri="{FF2B5EF4-FFF2-40B4-BE49-F238E27FC236}">
              <a16:creationId xmlns:a16="http://schemas.microsoft.com/office/drawing/2014/main" id="{2CA78030-65A4-4EB5-B92E-B8532E2CADA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2" name="Rectangle 421">
          <a:extLst>
            <a:ext uri="{FF2B5EF4-FFF2-40B4-BE49-F238E27FC236}">
              <a16:creationId xmlns:a16="http://schemas.microsoft.com/office/drawing/2014/main" id="{5FC15707-4E7E-455C-8222-3C67CC917AD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933" name="Rectangle 422">
          <a:extLst>
            <a:ext uri="{FF2B5EF4-FFF2-40B4-BE49-F238E27FC236}">
              <a16:creationId xmlns:a16="http://schemas.microsoft.com/office/drawing/2014/main" id="{11FCC2A6-2689-4237-AD24-E494947C1440}"/>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4" name="Rectangle 423">
          <a:extLst>
            <a:ext uri="{FF2B5EF4-FFF2-40B4-BE49-F238E27FC236}">
              <a16:creationId xmlns:a16="http://schemas.microsoft.com/office/drawing/2014/main" id="{A460E264-DE98-4914-83F3-CD21D794C97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5" name="Rectangle 424">
          <a:extLst>
            <a:ext uri="{FF2B5EF4-FFF2-40B4-BE49-F238E27FC236}">
              <a16:creationId xmlns:a16="http://schemas.microsoft.com/office/drawing/2014/main" id="{77BB4A9E-54BA-4FB2-AE96-74A2FC41AC4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6" name="Rectangle 425">
          <a:extLst>
            <a:ext uri="{FF2B5EF4-FFF2-40B4-BE49-F238E27FC236}">
              <a16:creationId xmlns:a16="http://schemas.microsoft.com/office/drawing/2014/main" id="{D74BAF7D-142C-4C04-BBD5-1872B1C6A45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7" name="Rectangle 426">
          <a:extLst>
            <a:ext uri="{FF2B5EF4-FFF2-40B4-BE49-F238E27FC236}">
              <a16:creationId xmlns:a16="http://schemas.microsoft.com/office/drawing/2014/main" id="{2DD394D9-05AC-4130-8C39-E34300E35CB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8" name="Rectangle 427">
          <a:extLst>
            <a:ext uri="{FF2B5EF4-FFF2-40B4-BE49-F238E27FC236}">
              <a16:creationId xmlns:a16="http://schemas.microsoft.com/office/drawing/2014/main" id="{7F8636BF-B51F-425C-8C3F-675D4EA3145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39" name="Rectangle 428">
          <a:extLst>
            <a:ext uri="{FF2B5EF4-FFF2-40B4-BE49-F238E27FC236}">
              <a16:creationId xmlns:a16="http://schemas.microsoft.com/office/drawing/2014/main" id="{3475ED12-725D-4EF5-ACE4-9125332AEFD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0" name="Rectangle 429">
          <a:extLst>
            <a:ext uri="{FF2B5EF4-FFF2-40B4-BE49-F238E27FC236}">
              <a16:creationId xmlns:a16="http://schemas.microsoft.com/office/drawing/2014/main" id="{C681691C-6F88-43AF-83EF-2F8DAFF4AB8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1" name="Rectangle 430">
          <a:extLst>
            <a:ext uri="{FF2B5EF4-FFF2-40B4-BE49-F238E27FC236}">
              <a16:creationId xmlns:a16="http://schemas.microsoft.com/office/drawing/2014/main" id="{633E7F18-710F-4A0C-906C-04C9295E26C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2" name="Rectangle 431">
          <a:extLst>
            <a:ext uri="{FF2B5EF4-FFF2-40B4-BE49-F238E27FC236}">
              <a16:creationId xmlns:a16="http://schemas.microsoft.com/office/drawing/2014/main" id="{D4CF5469-278D-4347-A5E7-CCAD62361F4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3" name="Rectangle 432">
          <a:extLst>
            <a:ext uri="{FF2B5EF4-FFF2-40B4-BE49-F238E27FC236}">
              <a16:creationId xmlns:a16="http://schemas.microsoft.com/office/drawing/2014/main" id="{1E535077-4791-41A8-8A2A-824DCA0C911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4" name="Rectangle 433">
          <a:extLst>
            <a:ext uri="{FF2B5EF4-FFF2-40B4-BE49-F238E27FC236}">
              <a16:creationId xmlns:a16="http://schemas.microsoft.com/office/drawing/2014/main" id="{E40B4CDE-F95D-44C5-8938-65D59B918A6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5" name="Rectangle 434">
          <a:extLst>
            <a:ext uri="{FF2B5EF4-FFF2-40B4-BE49-F238E27FC236}">
              <a16:creationId xmlns:a16="http://schemas.microsoft.com/office/drawing/2014/main" id="{EA60A74E-C504-4599-8313-FECAC2BE64E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6" name="Rectangle 435">
          <a:extLst>
            <a:ext uri="{FF2B5EF4-FFF2-40B4-BE49-F238E27FC236}">
              <a16:creationId xmlns:a16="http://schemas.microsoft.com/office/drawing/2014/main" id="{4AB9CACB-EF2C-4774-9FC7-DCECAC654D3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7" name="Rectangle 436">
          <a:extLst>
            <a:ext uri="{FF2B5EF4-FFF2-40B4-BE49-F238E27FC236}">
              <a16:creationId xmlns:a16="http://schemas.microsoft.com/office/drawing/2014/main" id="{0FB678C1-7A29-46F8-81CE-F198FD49970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8" name="Rectangle 437">
          <a:extLst>
            <a:ext uri="{FF2B5EF4-FFF2-40B4-BE49-F238E27FC236}">
              <a16:creationId xmlns:a16="http://schemas.microsoft.com/office/drawing/2014/main" id="{0F15C611-7F48-4B7F-9464-B601F30EBFC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49" name="Rectangle 438">
          <a:extLst>
            <a:ext uri="{FF2B5EF4-FFF2-40B4-BE49-F238E27FC236}">
              <a16:creationId xmlns:a16="http://schemas.microsoft.com/office/drawing/2014/main" id="{0EAF8EA8-6DFB-429E-ABD2-24AD5DD1BD2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0" name="Rectangle 439">
          <a:extLst>
            <a:ext uri="{FF2B5EF4-FFF2-40B4-BE49-F238E27FC236}">
              <a16:creationId xmlns:a16="http://schemas.microsoft.com/office/drawing/2014/main" id="{FADFD24A-3302-4DC0-8367-A2A7D87A637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1" name="Rectangle 440">
          <a:extLst>
            <a:ext uri="{FF2B5EF4-FFF2-40B4-BE49-F238E27FC236}">
              <a16:creationId xmlns:a16="http://schemas.microsoft.com/office/drawing/2014/main" id="{B2830451-CBBE-406F-868B-9F547995BE3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2" name="Rectangle 441">
          <a:extLst>
            <a:ext uri="{FF2B5EF4-FFF2-40B4-BE49-F238E27FC236}">
              <a16:creationId xmlns:a16="http://schemas.microsoft.com/office/drawing/2014/main" id="{7E5E705C-1822-41ED-9CB8-07CE008A56D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3" name="Rectangle 442">
          <a:extLst>
            <a:ext uri="{FF2B5EF4-FFF2-40B4-BE49-F238E27FC236}">
              <a16:creationId xmlns:a16="http://schemas.microsoft.com/office/drawing/2014/main" id="{900CF98C-4BB9-4FD3-8814-05EC6986726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4" name="Rectangle 443">
          <a:extLst>
            <a:ext uri="{FF2B5EF4-FFF2-40B4-BE49-F238E27FC236}">
              <a16:creationId xmlns:a16="http://schemas.microsoft.com/office/drawing/2014/main" id="{938E4563-E406-42D1-9874-3347C2DE6A9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5" name="Rectangle 444">
          <a:extLst>
            <a:ext uri="{FF2B5EF4-FFF2-40B4-BE49-F238E27FC236}">
              <a16:creationId xmlns:a16="http://schemas.microsoft.com/office/drawing/2014/main" id="{E0DA13BF-B280-49D2-9CEF-EBD299524EE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6" name="Rectangle 445">
          <a:extLst>
            <a:ext uri="{FF2B5EF4-FFF2-40B4-BE49-F238E27FC236}">
              <a16:creationId xmlns:a16="http://schemas.microsoft.com/office/drawing/2014/main" id="{B08E3A76-0A93-4FD2-BC25-4B106427582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7" name="Rectangle 446">
          <a:extLst>
            <a:ext uri="{FF2B5EF4-FFF2-40B4-BE49-F238E27FC236}">
              <a16:creationId xmlns:a16="http://schemas.microsoft.com/office/drawing/2014/main" id="{55B091F3-369C-45CA-AA17-1DAFBA244D4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8" name="Rectangle 447">
          <a:extLst>
            <a:ext uri="{FF2B5EF4-FFF2-40B4-BE49-F238E27FC236}">
              <a16:creationId xmlns:a16="http://schemas.microsoft.com/office/drawing/2014/main" id="{AAC19B44-2ADF-4CDF-A01E-836C11C2892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59" name="Rectangle 448">
          <a:extLst>
            <a:ext uri="{FF2B5EF4-FFF2-40B4-BE49-F238E27FC236}">
              <a16:creationId xmlns:a16="http://schemas.microsoft.com/office/drawing/2014/main" id="{058BCF37-2997-4A16-AFB4-46ADD0B1DAE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0" name="Rectangle 449">
          <a:extLst>
            <a:ext uri="{FF2B5EF4-FFF2-40B4-BE49-F238E27FC236}">
              <a16:creationId xmlns:a16="http://schemas.microsoft.com/office/drawing/2014/main" id="{7ED0AB08-D38B-4948-B2CA-65BB3D212BE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1" name="Rectangle 450">
          <a:extLst>
            <a:ext uri="{FF2B5EF4-FFF2-40B4-BE49-F238E27FC236}">
              <a16:creationId xmlns:a16="http://schemas.microsoft.com/office/drawing/2014/main" id="{D344F4E6-ADD7-46B1-9465-F7B15064A7C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2" name="Rectangle 451">
          <a:extLst>
            <a:ext uri="{FF2B5EF4-FFF2-40B4-BE49-F238E27FC236}">
              <a16:creationId xmlns:a16="http://schemas.microsoft.com/office/drawing/2014/main" id="{B51FFFBA-E30A-45C3-A7A4-8B406011ACD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3" name="Rectangle 452">
          <a:extLst>
            <a:ext uri="{FF2B5EF4-FFF2-40B4-BE49-F238E27FC236}">
              <a16:creationId xmlns:a16="http://schemas.microsoft.com/office/drawing/2014/main" id="{5A33174E-CFFF-4C23-B5FB-E10101E0BE1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5</xdr:row>
      <xdr:rowOff>0</xdr:rowOff>
    </xdr:from>
    <xdr:ext cx="28854" cy="132665"/>
    <xdr:sp macro="" textlink="">
      <xdr:nvSpPr>
        <xdr:cNvPr id="964" name="Rectangle 453">
          <a:extLst>
            <a:ext uri="{FF2B5EF4-FFF2-40B4-BE49-F238E27FC236}">
              <a16:creationId xmlns:a16="http://schemas.microsoft.com/office/drawing/2014/main" id="{BCF22601-3075-4870-BA31-2C795732744B}"/>
            </a:ext>
          </a:extLst>
        </xdr:cNvPr>
        <xdr:cNvSpPr>
          <a:spLocks noChangeArrowheads="1"/>
        </xdr:cNvSpPr>
      </xdr:nvSpPr>
      <xdr:spPr bwMode="auto">
        <a:xfrm>
          <a:off x="60007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5" name="Rectangle 454">
          <a:extLst>
            <a:ext uri="{FF2B5EF4-FFF2-40B4-BE49-F238E27FC236}">
              <a16:creationId xmlns:a16="http://schemas.microsoft.com/office/drawing/2014/main" id="{CCC95FC8-0A66-4B76-B5D1-72FACC9ACBA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6" name="Rectangle 455">
          <a:extLst>
            <a:ext uri="{FF2B5EF4-FFF2-40B4-BE49-F238E27FC236}">
              <a16:creationId xmlns:a16="http://schemas.microsoft.com/office/drawing/2014/main" id="{E38D7B49-3191-45A8-B21E-97C04EDE422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7" name="Rectangle 456">
          <a:extLst>
            <a:ext uri="{FF2B5EF4-FFF2-40B4-BE49-F238E27FC236}">
              <a16:creationId xmlns:a16="http://schemas.microsoft.com/office/drawing/2014/main" id="{879BCFF0-616E-4738-B83F-B42C7E7FBE2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8" name="Rectangle 457">
          <a:extLst>
            <a:ext uri="{FF2B5EF4-FFF2-40B4-BE49-F238E27FC236}">
              <a16:creationId xmlns:a16="http://schemas.microsoft.com/office/drawing/2014/main" id="{488D281D-8A2F-4148-A61B-BF9D52D3807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69" name="Rectangle 458">
          <a:extLst>
            <a:ext uri="{FF2B5EF4-FFF2-40B4-BE49-F238E27FC236}">
              <a16:creationId xmlns:a16="http://schemas.microsoft.com/office/drawing/2014/main" id="{2501803F-2C20-40DA-87AF-FD87F61E25FB}"/>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0" name="Rectangle 459">
          <a:extLst>
            <a:ext uri="{FF2B5EF4-FFF2-40B4-BE49-F238E27FC236}">
              <a16:creationId xmlns:a16="http://schemas.microsoft.com/office/drawing/2014/main" id="{55B038A3-6B47-4EAE-979A-69FBAE5C4ED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1" name="Rectangle 460">
          <a:extLst>
            <a:ext uri="{FF2B5EF4-FFF2-40B4-BE49-F238E27FC236}">
              <a16:creationId xmlns:a16="http://schemas.microsoft.com/office/drawing/2014/main" id="{1F00C93D-8FB1-447D-BD1C-0935E3B2300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2" name="Rectangle 461">
          <a:extLst>
            <a:ext uri="{FF2B5EF4-FFF2-40B4-BE49-F238E27FC236}">
              <a16:creationId xmlns:a16="http://schemas.microsoft.com/office/drawing/2014/main" id="{B89610BE-45F5-4E37-A9A9-A1A45E9CD4C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3" name="Rectangle 462">
          <a:extLst>
            <a:ext uri="{FF2B5EF4-FFF2-40B4-BE49-F238E27FC236}">
              <a16:creationId xmlns:a16="http://schemas.microsoft.com/office/drawing/2014/main" id="{54562296-04AE-494E-A9E7-CB0A698CE9A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4" name="Rectangle 463">
          <a:extLst>
            <a:ext uri="{FF2B5EF4-FFF2-40B4-BE49-F238E27FC236}">
              <a16:creationId xmlns:a16="http://schemas.microsoft.com/office/drawing/2014/main" id="{C1157981-3B5F-4EA5-A641-113355455D5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5" name="Rectangle 464">
          <a:extLst>
            <a:ext uri="{FF2B5EF4-FFF2-40B4-BE49-F238E27FC236}">
              <a16:creationId xmlns:a16="http://schemas.microsoft.com/office/drawing/2014/main" id="{2E51B3A1-D344-4A11-AB66-D1DBBCD88AA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6" name="Rectangle 465">
          <a:extLst>
            <a:ext uri="{FF2B5EF4-FFF2-40B4-BE49-F238E27FC236}">
              <a16:creationId xmlns:a16="http://schemas.microsoft.com/office/drawing/2014/main" id="{917BEB18-45BA-4B95-9F81-924069DF7FC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977" name="Rectangle 466">
          <a:extLst>
            <a:ext uri="{FF2B5EF4-FFF2-40B4-BE49-F238E27FC236}">
              <a16:creationId xmlns:a16="http://schemas.microsoft.com/office/drawing/2014/main" id="{89612B00-77AB-4E25-B726-43D26C5617FD}"/>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8" name="Rectangle 467">
          <a:extLst>
            <a:ext uri="{FF2B5EF4-FFF2-40B4-BE49-F238E27FC236}">
              <a16:creationId xmlns:a16="http://schemas.microsoft.com/office/drawing/2014/main" id="{4CB0C4CF-62E9-4542-B69C-2B77FE9F801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79" name="Rectangle 468">
          <a:extLst>
            <a:ext uri="{FF2B5EF4-FFF2-40B4-BE49-F238E27FC236}">
              <a16:creationId xmlns:a16="http://schemas.microsoft.com/office/drawing/2014/main" id="{10A8A324-FD99-4AE2-B19E-426081CED1B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0" name="Rectangle 469">
          <a:extLst>
            <a:ext uri="{FF2B5EF4-FFF2-40B4-BE49-F238E27FC236}">
              <a16:creationId xmlns:a16="http://schemas.microsoft.com/office/drawing/2014/main" id="{AC0F5D33-4367-4A98-8A91-31BB3A8A1AB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1" name="Rectangle 470">
          <a:extLst>
            <a:ext uri="{FF2B5EF4-FFF2-40B4-BE49-F238E27FC236}">
              <a16:creationId xmlns:a16="http://schemas.microsoft.com/office/drawing/2014/main" id="{B6CA749B-50B4-4745-A3EE-AA38AA31538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2" name="Rectangle 471">
          <a:extLst>
            <a:ext uri="{FF2B5EF4-FFF2-40B4-BE49-F238E27FC236}">
              <a16:creationId xmlns:a16="http://schemas.microsoft.com/office/drawing/2014/main" id="{290DEC6C-42C8-498A-8669-ED75EF50648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3" name="Rectangle 472">
          <a:extLst>
            <a:ext uri="{FF2B5EF4-FFF2-40B4-BE49-F238E27FC236}">
              <a16:creationId xmlns:a16="http://schemas.microsoft.com/office/drawing/2014/main" id="{A3881097-BF6D-4C04-A84C-48BBD46BE3F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4" name="Rectangle 473">
          <a:extLst>
            <a:ext uri="{FF2B5EF4-FFF2-40B4-BE49-F238E27FC236}">
              <a16:creationId xmlns:a16="http://schemas.microsoft.com/office/drawing/2014/main" id="{B2B3AE06-F0D5-4B8E-8CA0-EE768043ADC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5" name="Rectangle 474">
          <a:extLst>
            <a:ext uri="{FF2B5EF4-FFF2-40B4-BE49-F238E27FC236}">
              <a16:creationId xmlns:a16="http://schemas.microsoft.com/office/drawing/2014/main" id="{6D32CD23-854F-49BF-9B02-B7784801363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6" name="Rectangle 475">
          <a:extLst>
            <a:ext uri="{FF2B5EF4-FFF2-40B4-BE49-F238E27FC236}">
              <a16:creationId xmlns:a16="http://schemas.microsoft.com/office/drawing/2014/main" id="{E781CEA2-CFF2-4A1C-961E-4829B8058E7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7" name="Rectangle 476">
          <a:extLst>
            <a:ext uri="{FF2B5EF4-FFF2-40B4-BE49-F238E27FC236}">
              <a16:creationId xmlns:a16="http://schemas.microsoft.com/office/drawing/2014/main" id="{6A370EFA-9C46-44C3-A128-05C1D900803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8" name="Rectangle 477">
          <a:extLst>
            <a:ext uri="{FF2B5EF4-FFF2-40B4-BE49-F238E27FC236}">
              <a16:creationId xmlns:a16="http://schemas.microsoft.com/office/drawing/2014/main" id="{1579CBBB-5473-4724-BA18-B7A7D66B69D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89" name="Rectangle 478">
          <a:extLst>
            <a:ext uri="{FF2B5EF4-FFF2-40B4-BE49-F238E27FC236}">
              <a16:creationId xmlns:a16="http://schemas.microsoft.com/office/drawing/2014/main" id="{BE8B21DF-1CBE-448D-984A-75EBF4F40A3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0" name="Rectangle 479">
          <a:extLst>
            <a:ext uri="{FF2B5EF4-FFF2-40B4-BE49-F238E27FC236}">
              <a16:creationId xmlns:a16="http://schemas.microsoft.com/office/drawing/2014/main" id="{14984B71-7687-4285-8A58-317396F2D44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1" name="Rectangle 480">
          <a:extLst>
            <a:ext uri="{FF2B5EF4-FFF2-40B4-BE49-F238E27FC236}">
              <a16:creationId xmlns:a16="http://schemas.microsoft.com/office/drawing/2014/main" id="{D688F69F-F259-4A93-8584-FD968E3A4A6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2" name="Rectangle 481">
          <a:extLst>
            <a:ext uri="{FF2B5EF4-FFF2-40B4-BE49-F238E27FC236}">
              <a16:creationId xmlns:a16="http://schemas.microsoft.com/office/drawing/2014/main" id="{C9D3AD8F-479D-41A1-89A3-704E722CC2D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3" name="Rectangle 482">
          <a:extLst>
            <a:ext uri="{FF2B5EF4-FFF2-40B4-BE49-F238E27FC236}">
              <a16:creationId xmlns:a16="http://schemas.microsoft.com/office/drawing/2014/main" id="{6092113A-BD1D-4997-8C19-B132F0E0A9B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4" name="Rectangle 483">
          <a:extLst>
            <a:ext uri="{FF2B5EF4-FFF2-40B4-BE49-F238E27FC236}">
              <a16:creationId xmlns:a16="http://schemas.microsoft.com/office/drawing/2014/main" id="{3B2B78AD-7AC8-439A-926A-9969616527A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5" name="Rectangle 484">
          <a:extLst>
            <a:ext uri="{FF2B5EF4-FFF2-40B4-BE49-F238E27FC236}">
              <a16:creationId xmlns:a16="http://schemas.microsoft.com/office/drawing/2014/main" id="{294B09B5-9F30-42C6-BAE7-59E6CF56948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996" name="Rectangle 485">
          <a:extLst>
            <a:ext uri="{FF2B5EF4-FFF2-40B4-BE49-F238E27FC236}">
              <a16:creationId xmlns:a16="http://schemas.microsoft.com/office/drawing/2014/main" id="{AABD85DD-ECC4-4AFC-A581-B9525EDE7802}"/>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7" name="Rectangle 486">
          <a:extLst>
            <a:ext uri="{FF2B5EF4-FFF2-40B4-BE49-F238E27FC236}">
              <a16:creationId xmlns:a16="http://schemas.microsoft.com/office/drawing/2014/main" id="{75917924-8641-4FE6-AD9D-728E93DBAB7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8" name="Rectangle 487">
          <a:extLst>
            <a:ext uri="{FF2B5EF4-FFF2-40B4-BE49-F238E27FC236}">
              <a16:creationId xmlns:a16="http://schemas.microsoft.com/office/drawing/2014/main" id="{83E403AD-F1A9-4E82-8606-8BE1F96D915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999" name="Rectangle 488">
          <a:extLst>
            <a:ext uri="{FF2B5EF4-FFF2-40B4-BE49-F238E27FC236}">
              <a16:creationId xmlns:a16="http://schemas.microsoft.com/office/drawing/2014/main" id="{0E0314BB-950C-43C3-A2E2-C6842327398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0" name="Rectangle 489">
          <a:extLst>
            <a:ext uri="{FF2B5EF4-FFF2-40B4-BE49-F238E27FC236}">
              <a16:creationId xmlns:a16="http://schemas.microsoft.com/office/drawing/2014/main" id="{1EA0570A-07ED-4499-8DA8-8A8D2A13F59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1" name="Rectangle 490">
          <a:extLst>
            <a:ext uri="{FF2B5EF4-FFF2-40B4-BE49-F238E27FC236}">
              <a16:creationId xmlns:a16="http://schemas.microsoft.com/office/drawing/2014/main" id="{4D485242-DA87-4127-9450-C10200877E4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2" name="Rectangle 491">
          <a:extLst>
            <a:ext uri="{FF2B5EF4-FFF2-40B4-BE49-F238E27FC236}">
              <a16:creationId xmlns:a16="http://schemas.microsoft.com/office/drawing/2014/main" id="{2477F35B-5EB6-48CA-80B2-3DDA3C83B50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3" name="Rectangle 492">
          <a:extLst>
            <a:ext uri="{FF2B5EF4-FFF2-40B4-BE49-F238E27FC236}">
              <a16:creationId xmlns:a16="http://schemas.microsoft.com/office/drawing/2014/main" id="{5F6595C4-C461-4641-9526-818A6D50600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4" name="Rectangle 493">
          <a:extLst>
            <a:ext uri="{FF2B5EF4-FFF2-40B4-BE49-F238E27FC236}">
              <a16:creationId xmlns:a16="http://schemas.microsoft.com/office/drawing/2014/main" id="{A78775EA-6030-44D4-9DD9-22902E50EE2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5" name="Rectangle 494">
          <a:extLst>
            <a:ext uri="{FF2B5EF4-FFF2-40B4-BE49-F238E27FC236}">
              <a16:creationId xmlns:a16="http://schemas.microsoft.com/office/drawing/2014/main" id="{989566C5-2FC9-4A36-8338-458B181592B1}"/>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6" name="Rectangle 495">
          <a:extLst>
            <a:ext uri="{FF2B5EF4-FFF2-40B4-BE49-F238E27FC236}">
              <a16:creationId xmlns:a16="http://schemas.microsoft.com/office/drawing/2014/main" id="{A5202A32-87DC-423C-BCC9-6E50CA737C1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7" name="Rectangle 496">
          <a:extLst>
            <a:ext uri="{FF2B5EF4-FFF2-40B4-BE49-F238E27FC236}">
              <a16:creationId xmlns:a16="http://schemas.microsoft.com/office/drawing/2014/main" id="{A6839021-EE74-4131-B268-0F7C1801B5E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8" name="Rectangle 497">
          <a:extLst>
            <a:ext uri="{FF2B5EF4-FFF2-40B4-BE49-F238E27FC236}">
              <a16:creationId xmlns:a16="http://schemas.microsoft.com/office/drawing/2014/main" id="{884AD55C-D32C-4401-AD27-3EB5B244633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09" name="Rectangle 498">
          <a:extLst>
            <a:ext uri="{FF2B5EF4-FFF2-40B4-BE49-F238E27FC236}">
              <a16:creationId xmlns:a16="http://schemas.microsoft.com/office/drawing/2014/main" id="{2850B22A-FAD5-44C0-A600-9BF06670E2C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0" name="Rectangle 499">
          <a:extLst>
            <a:ext uri="{FF2B5EF4-FFF2-40B4-BE49-F238E27FC236}">
              <a16:creationId xmlns:a16="http://schemas.microsoft.com/office/drawing/2014/main" id="{7FA64169-82FA-46D2-9C61-8F97A0C9917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1" name="Rectangle 500">
          <a:extLst>
            <a:ext uri="{FF2B5EF4-FFF2-40B4-BE49-F238E27FC236}">
              <a16:creationId xmlns:a16="http://schemas.microsoft.com/office/drawing/2014/main" id="{2FC05406-186A-44D0-8892-AE7BF6925B5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2" name="Rectangle 501">
          <a:extLst>
            <a:ext uri="{FF2B5EF4-FFF2-40B4-BE49-F238E27FC236}">
              <a16:creationId xmlns:a16="http://schemas.microsoft.com/office/drawing/2014/main" id="{4D8A27CE-D211-4969-BD1E-128C2CA3AC9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3" name="Rectangle 502">
          <a:extLst>
            <a:ext uri="{FF2B5EF4-FFF2-40B4-BE49-F238E27FC236}">
              <a16:creationId xmlns:a16="http://schemas.microsoft.com/office/drawing/2014/main" id="{F01D5207-2C8F-404E-9309-8BA2A7FE94C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4" name="Rectangle 503">
          <a:extLst>
            <a:ext uri="{FF2B5EF4-FFF2-40B4-BE49-F238E27FC236}">
              <a16:creationId xmlns:a16="http://schemas.microsoft.com/office/drawing/2014/main" id="{4A071541-90A4-4E76-BA06-48953D84C655}"/>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5" name="Rectangle 504">
          <a:extLst>
            <a:ext uri="{FF2B5EF4-FFF2-40B4-BE49-F238E27FC236}">
              <a16:creationId xmlns:a16="http://schemas.microsoft.com/office/drawing/2014/main" id="{3FB03A9F-FEC7-4F42-A81D-F4CBBD0EAA0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6" name="Rectangle 505">
          <a:extLst>
            <a:ext uri="{FF2B5EF4-FFF2-40B4-BE49-F238E27FC236}">
              <a16:creationId xmlns:a16="http://schemas.microsoft.com/office/drawing/2014/main" id="{B90A5447-0679-4185-9884-5A1C822AED6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7" name="Rectangle 506">
          <a:extLst>
            <a:ext uri="{FF2B5EF4-FFF2-40B4-BE49-F238E27FC236}">
              <a16:creationId xmlns:a16="http://schemas.microsoft.com/office/drawing/2014/main" id="{FA30F0A1-68CB-47EB-8F13-56F3EECE469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8" name="Rectangle 507">
          <a:extLst>
            <a:ext uri="{FF2B5EF4-FFF2-40B4-BE49-F238E27FC236}">
              <a16:creationId xmlns:a16="http://schemas.microsoft.com/office/drawing/2014/main" id="{75BC973C-C239-4909-83CB-9323B4927B22}"/>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19" name="Rectangle 508">
          <a:extLst>
            <a:ext uri="{FF2B5EF4-FFF2-40B4-BE49-F238E27FC236}">
              <a16:creationId xmlns:a16="http://schemas.microsoft.com/office/drawing/2014/main" id="{158747AA-D8ED-40E5-9D77-49D4BBB588BA}"/>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0" name="Rectangle 509">
          <a:extLst>
            <a:ext uri="{FF2B5EF4-FFF2-40B4-BE49-F238E27FC236}">
              <a16:creationId xmlns:a16="http://schemas.microsoft.com/office/drawing/2014/main" id="{2C3ABE89-4DD8-4297-BEDC-6B1AC85DA5F7}"/>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5</xdr:row>
      <xdr:rowOff>0</xdr:rowOff>
    </xdr:from>
    <xdr:ext cx="28854" cy="132665"/>
    <xdr:sp macro="" textlink="">
      <xdr:nvSpPr>
        <xdr:cNvPr id="1021" name="Rectangle 510">
          <a:extLst>
            <a:ext uri="{FF2B5EF4-FFF2-40B4-BE49-F238E27FC236}">
              <a16:creationId xmlns:a16="http://schemas.microsoft.com/office/drawing/2014/main" id="{13807850-1805-4588-9B58-FF7DDD5DC364}"/>
            </a:ext>
          </a:extLst>
        </xdr:cNvPr>
        <xdr:cNvSpPr>
          <a:spLocks noChangeArrowheads="1"/>
        </xdr:cNvSpPr>
      </xdr:nvSpPr>
      <xdr:spPr bwMode="auto">
        <a:xfrm>
          <a:off x="590550"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2" name="Rectangle 511">
          <a:extLst>
            <a:ext uri="{FF2B5EF4-FFF2-40B4-BE49-F238E27FC236}">
              <a16:creationId xmlns:a16="http://schemas.microsoft.com/office/drawing/2014/main" id="{C6AA8353-9C6B-4E04-A51D-4D046B53458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3" name="Rectangle 512">
          <a:extLst>
            <a:ext uri="{FF2B5EF4-FFF2-40B4-BE49-F238E27FC236}">
              <a16:creationId xmlns:a16="http://schemas.microsoft.com/office/drawing/2014/main" id="{42AF01B3-3060-4F93-B998-1072B027D1A8}"/>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4" name="Rectangle 513">
          <a:extLst>
            <a:ext uri="{FF2B5EF4-FFF2-40B4-BE49-F238E27FC236}">
              <a16:creationId xmlns:a16="http://schemas.microsoft.com/office/drawing/2014/main" id="{10DC8507-1C45-492D-AE7B-7B55007D1C9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5" name="Rectangle 514">
          <a:extLst>
            <a:ext uri="{FF2B5EF4-FFF2-40B4-BE49-F238E27FC236}">
              <a16:creationId xmlns:a16="http://schemas.microsoft.com/office/drawing/2014/main" id="{BE6EE026-95A5-4B17-BCE2-F7EFBEF6FC1C}"/>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6" name="Rectangle 515">
          <a:extLst>
            <a:ext uri="{FF2B5EF4-FFF2-40B4-BE49-F238E27FC236}">
              <a16:creationId xmlns:a16="http://schemas.microsoft.com/office/drawing/2014/main" id="{A7927467-1308-48E8-B08C-6F384F6917C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7" name="Rectangle 516">
          <a:extLst>
            <a:ext uri="{FF2B5EF4-FFF2-40B4-BE49-F238E27FC236}">
              <a16:creationId xmlns:a16="http://schemas.microsoft.com/office/drawing/2014/main" id="{A1515419-0A0C-47D8-9773-94DB4C3003F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8" name="Rectangle 517">
          <a:extLst>
            <a:ext uri="{FF2B5EF4-FFF2-40B4-BE49-F238E27FC236}">
              <a16:creationId xmlns:a16="http://schemas.microsoft.com/office/drawing/2014/main" id="{D106DB81-5B62-46D6-A681-FEF3331ECC3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29" name="Rectangle 518">
          <a:extLst>
            <a:ext uri="{FF2B5EF4-FFF2-40B4-BE49-F238E27FC236}">
              <a16:creationId xmlns:a16="http://schemas.microsoft.com/office/drawing/2014/main" id="{A5C4D1A6-E552-4B20-AB55-3F2E7FDA794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0" name="Rectangle 519">
          <a:extLst>
            <a:ext uri="{FF2B5EF4-FFF2-40B4-BE49-F238E27FC236}">
              <a16:creationId xmlns:a16="http://schemas.microsoft.com/office/drawing/2014/main" id="{3E2996E9-B01E-47E8-BB63-EED7F2F3C589}"/>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1" name="Rectangle 520">
          <a:extLst>
            <a:ext uri="{FF2B5EF4-FFF2-40B4-BE49-F238E27FC236}">
              <a16:creationId xmlns:a16="http://schemas.microsoft.com/office/drawing/2014/main" id="{9E473310-EE81-4E9A-B0CE-416C3151292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2" name="Rectangle 521">
          <a:extLst>
            <a:ext uri="{FF2B5EF4-FFF2-40B4-BE49-F238E27FC236}">
              <a16:creationId xmlns:a16="http://schemas.microsoft.com/office/drawing/2014/main" id="{EF85FE09-8E70-467B-9340-04B96A68434D}"/>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3" name="Rectangle 522">
          <a:extLst>
            <a:ext uri="{FF2B5EF4-FFF2-40B4-BE49-F238E27FC236}">
              <a16:creationId xmlns:a16="http://schemas.microsoft.com/office/drawing/2014/main" id="{4F3E809B-65E1-43CE-A0D7-1BB54E71B8EE}"/>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4" name="Rectangle 523">
          <a:extLst>
            <a:ext uri="{FF2B5EF4-FFF2-40B4-BE49-F238E27FC236}">
              <a16:creationId xmlns:a16="http://schemas.microsoft.com/office/drawing/2014/main" id="{DEBB016B-5945-49D2-AA39-E0C09B9DACE6}"/>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5" name="Rectangle 524">
          <a:extLst>
            <a:ext uri="{FF2B5EF4-FFF2-40B4-BE49-F238E27FC236}">
              <a16:creationId xmlns:a16="http://schemas.microsoft.com/office/drawing/2014/main" id="{CB644E76-D10E-49AB-B080-74610F253B9F}"/>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6" name="Rectangle 525">
          <a:extLst>
            <a:ext uri="{FF2B5EF4-FFF2-40B4-BE49-F238E27FC236}">
              <a16:creationId xmlns:a16="http://schemas.microsoft.com/office/drawing/2014/main" id="{8C307E49-D3F4-4BB2-955F-4A545691E0D3}"/>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7" name="Rectangle 526">
          <a:extLst>
            <a:ext uri="{FF2B5EF4-FFF2-40B4-BE49-F238E27FC236}">
              <a16:creationId xmlns:a16="http://schemas.microsoft.com/office/drawing/2014/main" id="{66976AEB-1E0F-41AE-B64E-2D2AB6A0320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8" name="Rectangle 527">
          <a:extLst>
            <a:ext uri="{FF2B5EF4-FFF2-40B4-BE49-F238E27FC236}">
              <a16:creationId xmlns:a16="http://schemas.microsoft.com/office/drawing/2014/main" id="{62A522EB-1EF2-4FE4-A587-FE1F26133E20}"/>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5</xdr:row>
      <xdr:rowOff>0</xdr:rowOff>
    </xdr:from>
    <xdr:ext cx="28854" cy="132665"/>
    <xdr:sp macro="" textlink="">
      <xdr:nvSpPr>
        <xdr:cNvPr id="1039" name="Rectangle 528">
          <a:extLst>
            <a:ext uri="{FF2B5EF4-FFF2-40B4-BE49-F238E27FC236}">
              <a16:creationId xmlns:a16="http://schemas.microsoft.com/office/drawing/2014/main" id="{37274307-0694-4C2B-A311-92C8A7A345F4}"/>
            </a:ext>
          </a:extLst>
        </xdr:cNvPr>
        <xdr:cNvSpPr>
          <a:spLocks noChangeArrowheads="1"/>
        </xdr:cNvSpPr>
      </xdr:nvSpPr>
      <xdr:spPr bwMode="auto">
        <a:xfrm>
          <a:off x="581025" y="8191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19050</xdr:colOff>
      <xdr:row>0</xdr:row>
      <xdr:rowOff>0</xdr:rowOff>
    </xdr:from>
    <xdr:ext cx="28854" cy="132665"/>
    <xdr:sp macro="" textlink="">
      <xdr:nvSpPr>
        <xdr:cNvPr id="2" name="Rectangle 238">
          <a:extLst>
            <a:ext uri="{FF2B5EF4-FFF2-40B4-BE49-F238E27FC236}">
              <a16:creationId xmlns:a16="http://schemas.microsoft.com/office/drawing/2014/main" id="{67E58B5F-726A-4E6C-A8D7-13A07107385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 name="Rectangle 249">
          <a:extLst>
            <a:ext uri="{FF2B5EF4-FFF2-40B4-BE49-F238E27FC236}">
              <a16:creationId xmlns:a16="http://schemas.microsoft.com/office/drawing/2014/main" id="{DED1B699-010A-45FE-86E1-72BC18D3341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 name="Rectangle 251">
          <a:extLst>
            <a:ext uri="{FF2B5EF4-FFF2-40B4-BE49-F238E27FC236}">
              <a16:creationId xmlns:a16="http://schemas.microsoft.com/office/drawing/2014/main" id="{3A2A459A-EBD7-4C25-8A55-6084CDC1601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 name="Rectangle 253">
          <a:extLst>
            <a:ext uri="{FF2B5EF4-FFF2-40B4-BE49-F238E27FC236}">
              <a16:creationId xmlns:a16="http://schemas.microsoft.com/office/drawing/2014/main" id="{6746860F-40DD-448E-9A83-D9A468E4C99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 name="Rectangle 254">
          <a:extLst>
            <a:ext uri="{FF2B5EF4-FFF2-40B4-BE49-F238E27FC236}">
              <a16:creationId xmlns:a16="http://schemas.microsoft.com/office/drawing/2014/main" id="{14436B3D-789E-4AA7-9C6D-C24A94B3C1A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 name="Rectangle 255">
          <a:extLst>
            <a:ext uri="{FF2B5EF4-FFF2-40B4-BE49-F238E27FC236}">
              <a16:creationId xmlns:a16="http://schemas.microsoft.com/office/drawing/2014/main" id="{2D428C32-A5BA-411C-A505-D500AB9DAE5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 name="Rectangle 257">
          <a:extLst>
            <a:ext uri="{FF2B5EF4-FFF2-40B4-BE49-F238E27FC236}">
              <a16:creationId xmlns:a16="http://schemas.microsoft.com/office/drawing/2014/main" id="{1661005B-C78C-457D-B033-0A123BED96B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 name="Rectangle 258">
          <a:extLst>
            <a:ext uri="{FF2B5EF4-FFF2-40B4-BE49-F238E27FC236}">
              <a16:creationId xmlns:a16="http://schemas.microsoft.com/office/drawing/2014/main" id="{75DD3901-EC4F-4E85-969C-D52EC20DC26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 name="Rectangle 259">
          <a:extLst>
            <a:ext uri="{FF2B5EF4-FFF2-40B4-BE49-F238E27FC236}">
              <a16:creationId xmlns:a16="http://schemas.microsoft.com/office/drawing/2014/main" id="{C0A01CF6-D689-4217-8C09-BB371EEB602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 name="Rectangle 260">
          <a:extLst>
            <a:ext uri="{FF2B5EF4-FFF2-40B4-BE49-F238E27FC236}">
              <a16:creationId xmlns:a16="http://schemas.microsoft.com/office/drawing/2014/main" id="{34A212B4-0826-423E-92C4-1962F98F285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 name="Rectangle 261">
          <a:extLst>
            <a:ext uri="{FF2B5EF4-FFF2-40B4-BE49-F238E27FC236}">
              <a16:creationId xmlns:a16="http://schemas.microsoft.com/office/drawing/2014/main" id="{C0540F8C-0897-490F-AD2D-0FE2DD9155F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 name="Rectangle 262">
          <a:extLst>
            <a:ext uri="{FF2B5EF4-FFF2-40B4-BE49-F238E27FC236}">
              <a16:creationId xmlns:a16="http://schemas.microsoft.com/office/drawing/2014/main" id="{105C7415-E644-46DA-B987-1257306E321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4" name="Rectangle 263">
          <a:extLst>
            <a:ext uri="{FF2B5EF4-FFF2-40B4-BE49-F238E27FC236}">
              <a16:creationId xmlns:a16="http://schemas.microsoft.com/office/drawing/2014/main" id="{488EC0EC-9A73-4150-99F1-BA8717597FC8}"/>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 name="Rectangle 264">
          <a:extLst>
            <a:ext uri="{FF2B5EF4-FFF2-40B4-BE49-F238E27FC236}">
              <a16:creationId xmlns:a16="http://schemas.microsoft.com/office/drawing/2014/main" id="{27D9F0E4-053D-41EE-A0CD-2E68AD22D27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 name="Rectangle 265">
          <a:extLst>
            <a:ext uri="{FF2B5EF4-FFF2-40B4-BE49-F238E27FC236}">
              <a16:creationId xmlns:a16="http://schemas.microsoft.com/office/drawing/2014/main" id="{28839F47-B4A1-467D-942F-863BEB128AF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 name="Rectangle 266">
          <a:extLst>
            <a:ext uri="{FF2B5EF4-FFF2-40B4-BE49-F238E27FC236}">
              <a16:creationId xmlns:a16="http://schemas.microsoft.com/office/drawing/2014/main" id="{DB7F931D-F589-4883-8D42-7E75EA88648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 name="Rectangle 267">
          <a:extLst>
            <a:ext uri="{FF2B5EF4-FFF2-40B4-BE49-F238E27FC236}">
              <a16:creationId xmlns:a16="http://schemas.microsoft.com/office/drawing/2014/main" id="{3E069728-9843-4060-9D85-AE9BFE91223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 name="Rectangle 268">
          <a:extLst>
            <a:ext uri="{FF2B5EF4-FFF2-40B4-BE49-F238E27FC236}">
              <a16:creationId xmlns:a16="http://schemas.microsoft.com/office/drawing/2014/main" id="{282CCF9E-C8F1-4DC7-AF0F-2453B46278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 name="Rectangle 269">
          <a:extLst>
            <a:ext uri="{FF2B5EF4-FFF2-40B4-BE49-F238E27FC236}">
              <a16:creationId xmlns:a16="http://schemas.microsoft.com/office/drawing/2014/main" id="{B7DBC856-6C22-42C6-AFD7-62CBCD91DA5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 name="Rectangle 270">
          <a:extLst>
            <a:ext uri="{FF2B5EF4-FFF2-40B4-BE49-F238E27FC236}">
              <a16:creationId xmlns:a16="http://schemas.microsoft.com/office/drawing/2014/main" id="{577A8945-27BE-44F4-BEDF-8AF6B23D98F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 name="Rectangle 271">
          <a:extLst>
            <a:ext uri="{FF2B5EF4-FFF2-40B4-BE49-F238E27FC236}">
              <a16:creationId xmlns:a16="http://schemas.microsoft.com/office/drawing/2014/main" id="{21AB9C15-7529-44A4-89F0-EC340B514D8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 name="Rectangle 272">
          <a:extLst>
            <a:ext uri="{FF2B5EF4-FFF2-40B4-BE49-F238E27FC236}">
              <a16:creationId xmlns:a16="http://schemas.microsoft.com/office/drawing/2014/main" id="{400D853C-8170-42DB-9F2A-8CDFB7A49ED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 name="Rectangle 273">
          <a:extLst>
            <a:ext uri="{FF2B5EF4-FFF2-40B4-BE49-F238E27FC236}">
              <a16:creationId xmlns:a16="http://schemas.microsoft.com/office/drawing/2014/main" id="{4DD1F24D-07E0-4F24-9EB7-CB3AFA93044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 name="Rectangle 274">
          <a:extLst>
            <a:ext uri="{FF2B5EF4-FFF2-40B4-BE49-F238E27FC236}">
              <a16:creationId xmlns:a16="http://schemas.microsoft.com/office/drawing/2014/main" id="{CB4104D6-87A7-4A5C-BBB5-7087C64C7FD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 name="Rectangle 275">
          <a:extLst>
            <a:ext uri="{FF2B5EF4-FFF2-40B4-BE49-F238E27FC236}">
              <a16:creationId xmlns:a16="http://schemas.microsoft.com/office/drawing/2014/main" id="{9A00862C-FDB4-4787-8BDA-228F0498549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27" name="Rectangle 276">
          <a:extLst>
            <a:ext uri="{FF2B5EF4-FFF2-40B4-BE49-F238E27FC236}">
              <a16:creationId xmlns:a16="http://schemas.microsoft.com/office/drawing/2014/main" id="{FBAB0FF4-9CF5-4AAE-B278-F1AE0DA87807}"/>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 name="Rectangle 277">
          <a:extLst>
            <a:ext uri="{FF2B5EF4-FFF2-40B4-BE49-F238E27FC236}">
              <a16:creationId xmlns:a16="http://schemas.microsoft.com/office/drawing/2014/main" id="{960ADC49-4311-4567-8EC8-A194637AD02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 name="Rectangle 278">
          <a:extLst>
            <a:ext uri="{FF2B5EF4-FFF2-40B4-BE49-F238E27FC236}">
              <a16:creationId xmlns:a16="http://schemas.microsoft.com/office/drawing/2014/main" id="{FAA7349B-5CAE-429F-9114-125C576A3B7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 name="Rectangle 279">
          <a:extLst>
            <a:ext uri="{FF2B5EF4-FFF2-40B4-BE49-F238E27FC236}">
              <a16:creationId xmlns:a16="http://schemas.microsoft.com/office/drawing/2014/main" id="{46960437-0148-4AFB-ADC7-52BA22F312C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 name="Rectangle 280">
          <a:extLst>
            <a:ext uri="{FF2B5EF4-FFF2-40B4-BE49-F238E27FC236}">
              <a16:creationId xmlns:a16="http://schemas.microsoft.com/office/drawing/2014/main" id="{21F79267-4CE8-418E-B302-9354D4F6E07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 name="Rectangle 281">
          <a:extLst>
            <a:ext uri="{FF2B5EF4-FFF2-40B4-BE49-F238E27FC236}">
              <a16:creationId xmlns:a16="http://schemas.microsoft.com/office/drawing/2014/main" id="{FA6A1045-8EB6-4430-AE14-E2FF3664E93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 name="Rectangle 282">
          <a:extLst>
            <a:ext uri="{FF2B5EF4-FFF2-40B4-BE49-F238E27FC236}">
              <a16:creationId xmlns:a16="http://schemas.microsoft.com/office/drawing/2014/main" id="{2E14BE70-8464-4D1D-9615-A9431DF8F02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 name="Rectangle 283">
          <a:extLst>
            <a:ext uri="{FF2B5EF4-FFF2-40B4-BE49-F238E27FC236}">
              <a16:creationId xmlns:a16="http://schemas.microsoft.com/office/drawing/2014/main" id="{67D9832D-C131-424E-A316-2BE57A6A180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 name="Rectangle 284">
          <a:extLst>
            <a:ext uri="{FF2B5EF4-FFF2-40B4-BE49-F238E27FC236}">
              <a16:creationId xmlns:a16="http://schemas.microsoft.com/office/drawing/2014/main" id="{C37CCE87-D450-4BE4-9F26-B19E872C6C1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 name="Rectangle 285">
          <a:extLst>
            <a:ext uri="{FF2B5EF4-FFF2-40B4-BE49-F238E27FC236}">
              <a16:creationId xmlns:a16="http://schemas.microsoft.com/office/drawing/2014/main" id="{A9149026-6EB5-47E5-A245-324837ABDB1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 name="Rectangle 286">
          <a:extLst>
            <a:ext uri="{FF2B5EF4-FFF2-40B4-BE49-F238E27FC236}">
              <a16:creationId xmlns:a16="http://schemas.microsoft.com/office/drawing/2014/main" id="{89C71D8B-2B55-4AE6-A235-C95695626F7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 name="Rectangle 287">
          <a:extLst>
            <a:ext uri="{FF2B5EF4-FFF2-40B4-BE49-F238E27FC236}">
              <a16:creationId xmlns:a16="http://schemas.microsoft.com/office/drawing/2014/main" id="{73D5C4F7-D25A-4F04-B170-4B79679B265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 name="Rectangle 288">
          <a:extLst>
            <a:ext uri="{FF2B5EF4-FFF2-40B4-BE49-F238E27FC236}">
              <a16:creationId xmlns:a16="http://schemas.microsoft.com/office/drawing/2014/main" id="{C1462EC0-FDF9-4D6C-AD7F-21D1C78DD5D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 name="Rectangle 289">
          <a:extLst>
            <a:ext uri="{FF2B5EF4-FFF2-40B4-BE49-F238E27FC236}">
              <a16:creationId xmlns:a16="http://schemas.microsoft.com/office/drawing/2014/main" id="{1AA4DE4A-45B2-47BE-89B7-B77F4822688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 name="Rectangle 290">
          <a:extLst>
            <a:ext uri="{FF2B5EF4-FFF2-40B4-BE49-F238E27FC236}">
              <a16:creationId xmlns:a16="http://schemas.microsoft.com/office/drawing/2014/main" id="{E7D1CB34-F486-4BC3-9EC9-D3ABDB5D165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 name="Rectangle 291">
          <a:extLst>
            <a:ext uri="{FF2B5EF4-FFF2-40B4-BE49-F238E27FC236}">
              <a16:creationId xmlns:a16="http://schemas.microsoft.com/office/drawing/2014/main" id="{2BC2B871-4C74-403D-A004-DE15212FDA7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 name="Rectangle 292">
          <a:extLst>
            <a:ext uri="{FF2B5EF4-FFF2-40B4-BE49-F238E27FC236}">
              <a16:creationId xmlns:a16="http://schemas.microsoft.com/office/drawing/2014/main" id="{C959D1B1-5934-47C2-9913-046F4422FE0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 name="Rectangle 293">
          <a:extLst>
            <a:ext uri="{FF2B5EF4-FFF2-40B4-BE49-F238E27FC236}">
              <a16:creationId xmlns:a16="http://schemas.microsoft.com/office/drawing/2014/main" id="{C7D00CCC-7650-422E-A124-CA4507619C7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 name="Rectangle 294">
          <a:extLst>
            <a:ext uri="{FF2B5EF4-FFF2-40B4-BE49-F238E27FC236}">
              <a16:creationId xmlns:a16="http://schemas.microsoft.com/office/drawing/2014/main" id="{37BB85C5-9E7F-4A9E-9090-2E7A43223F1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46" name="Rectangle 295">
          <a:extLst>
            <a:ext uri="{FF2B5EF4-FFF2-40B4-BE49-F238E27FC236}">
              <a16:creationId xmlns:a16="http://schemas.microsoft.com/office/drawing/2014/main" id="{F7252670-E55D-4B70-A776-D654B14D6C17}"/>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 name="Rectangle 296">
          <a:extLst>
            <a:ext uri="{FF2B5EF4-FFF2-40B4-BE49-F238E27FC236}">
              <a16:creationId xmlns:a16="http://schemas.microsoft.com/office/drawing/2014/main" id="{FD343E93-793A-401E-AD96-AC889ECBA15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 name="Rectangle 297">
          <a:extLst>
            <a:ext uri="{FF2B5EF4-FFF2-40B4-BE49-F238E27FC236}">
              <a16:creationId xmlns:a16="http://schemas.microsoft.com/office/drawing/2014/main" id="{9A0E5CDF-734A-472E-8374-84CB98B213C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 name="Rectangle 298">
          <a:extLst>
            <a:ext uri="{FF2B5EF4-FFF2-40B4-BE49-F238E27FC236}">
              <a16:creationId xmlns:a16="http://schemas.microsoft.com/office/drawing/2014/main" id="{E3FA00BF-1FA1-4CA9-BC2F-2572A1CDBD1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 name="Rectangle 299">
          <a:extLst>
            <a:ext uri="{FF2B5EF4-FFF2-40B4-BE49-F238E27FC236}">
              <a16:creationId xmlns:a16="http://schemas.microsoft.com/office/drawing/2014/main" id="{09AADFA9-7983-475B-B235-3B655D6DDD8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 name="Rectangle 300">
          <a:extLst>
            <a:ext uri="{FF2B5EF4-FFF2-40B4-BE49-F238E27FC236}">
              <a16:creationId xmlns:a16="http://schemas.microsoft.com/office/drawing/2014/main" id="{C5ACE7F5-7D90-4621-8676-EE04D6A467C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 name="Rectangle 301">
          <a:extLst>
            <a:ext uri="{FF2B5EF4-FFF2-40B4-BE49-F238E27FC236}">
              <a16:creationId xmlns:a16="http://schemas.microsoft.com/office/drawing/2014/main" id="{CAE303ED-A8D9-4486-87E6-F720F29E28F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 name="Rectangle 302">
          <a:extLst>
            <a:ext uri="{FF2B5EF4-FFF2-40B4-BE49-F238E27FC236}">
              <a16:creationId xmlns:a16="http://schemas.microsoft.com/office/drawing/2014/main" id="{DDF22BCA-C41B-4E97-8CF8-D9FE6EFFEB1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 name="Rectangle 303">
          <a:extLst>
            <a:ext uri="{FF2B5EF4-FFF2-40B4-BE49-F238E27FC236}">
              <a16:creationId xmlns:a16="http://schemas.microsoft.com/office/drawing/2014/main" id="{7EFE8A3E-E1B8-46A0-8E2B-F6AFAD2A83B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 name="Rectangle 304">
          <a:extLst>
            <a:ext uri="{FF2B5EF4-FFF2-40B4-BE49-F238E27FC236}">
              <a16:creationId xmlns:a16="http://schemas.microsoft.com/office/drawing/2014/main" id="{E58D6DE1-FAD4-485B-B499-F00155AC4AE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 name="Rectangle 305">
          <a:extLst>
            <a:ext uri="{FF2B5EF4-FFF2-40B4-BE49-F238E27FC236}">
              <a16:creationId xmlns:a16="http://schemas.microsoft.com/office/drawing/2014/main" id="{081D0F45-64EA-43B8-8620-6E2BE90B9AC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 name="Rectangle 306">
          <a:extLst>
            <a:ext uri="{FF2B5EF4-FFF2-40B4-BE49-F238E27FC236}">
              <a16:creationId xmlns:a16="http://schemas.microsoft.com/office/drawing/2014/main" id="{79C4ED8E-E01C-4640-8B30-36FC7C9480C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 name="Rectangle 307">
          <a:extLst>
            <a:ext uri="{FF2B5EF4-FFF2-40B4-BE49-F238E27FC236}">
              <a16:creationId xmlns:a16="http://schemas.microsoft.com/office/drawing/2014/main" id="{F9B5C881-A21D-4BED-883B-F0787569A22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 name="Rectangle 308">
          <a:extLst>
            <a:ext uri="{FF2B5EF4-FFF2-40B4-BE49-F238E27FC236}">
              <a16:creationId xmlns:a16="http://schemas.microsoft.com/office/drawing/2014/main" id="{1D9E8ED2-D869-44F8-AC9F-ED7BD965DBE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 name="Rectangle 309">
          <a:extLst>
            <a:ext uri="{FF2B5EF4-FFF2-40B4-BE49-F238E27FC236}">
              <a16:creationId xmlns:a16="http://schemas.microsoft.com/office/drawing/2014/main" id="{4ED04259-F661-4ABC-AA03-7E26F6E99DD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 name="Rectangle 310">
          <a:extLst>
            <a:ext uri="{FF2B5EF4-FFF2-40B4-BE49-F238E27FC236}">
              <a16:creationId xmlns:a16="http://schemas.microsoft.com/office/drawing/2014/main" id="{D6FEEC06-EAA5-497F-A4EC-D4A520F4783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 name="Rectangle 311">
          <a:extLst>
            <a:ext uri="{FF2B5EF4-FFF2-40B4-BE49-F238E27FC236}">
              <a16:creationId xmlns:a16="http://schemas.microsoft.com/office/drawing/2014/main" id="{B5C0AD40-5E5B-443F-AE20-FF7C77DE7F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 name="Rectangle 312">
          <a:extLst>
            <a:ext uri="{FF2B5EF4-FFF2-40B4-BE49-F238E27FC236}">
              <a16:creationId xmlns:a16="http://schemas.microsoft.com/office/drawing/2014/main" id="{F552D197-C520-4AC5-BC87-F70092A2B03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 name="Rectangle 313">
          <a:extLst>
            <a:ext uri="{FF2B5EF4-FFF2-40B4-BE49-F238E27FC236}">
              <a16:creationId xmlns:a16="http://schemas.microsoft.com/office/drawing/2014/main" id="{09F36C91-055E-4C6E-942D-DB048F29876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 name="Rectangle 314">
          <a:extLst>
            <a:ext uri="{FF2B5EF4-FFF2-40B4-BE49-F238E27FC236}">
              <a16:creationId xmlns:a16="http://schemas.microsoft.com/office/drawing/2014/main" id="{16635821-5EFC-4AE1-B9CC-D9936252115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 name="Rectangle 315">
          <a:extLst>
            <a:ext uri="{FF2B5EF4-FFF2-40B4-BE49-F238E27FC236}">
              <a16:creationId xmlns:a16="http://schemas.microsoft.com/office/drawing/2014/main" id="{2E832FA8-C673-4666-AF7C-FB68DB303A0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 name="Rectangle 316">
          <a:extLst>
            <a:ext uri="{FF2B5EF4-FFF2-40B4-BE49-F238E27FC236}">
              <a16:creationId xmlns:a16="http://schemas.microsoft.com/office/drawing/2014/main" id="{248059FC-2C48-46F2-8CDA-D4867A6F0CF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 name="Rectangle 317">
          <a:extLst>
            <a:ext uri="{FF2B5EF4-FFF2-40B4-BE49-F238E27FC236}">
              <a16:creationId xmlns:a16="http://schemas.microsoft.com/office/drawing/2014/main" id="{574B9BD8-B98D-49FD-8E3C-CDC0F9EA109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 name="Rectangle 318">
          <a:extLst>
            <a:ext uri="{FF2B5EF4-FFF2-40B4-BE49-F238E27FC236}">
              <a16:creationId xmlns:a16="http://schemas.microsoft.com/office/drawing/2014/main" id="{3F8A6FF2-685B-4B3B-8BED-BF465F7AA6B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 name="Rectangle 319">
          <a:extLst>
            <a:ext uri="{FF2B5EF4-FFF2-40B4-BE49-F238E27FC236}">
              <a16:creationId xmlns:a16="http://schemas.microsoft.com/office/drawing/2014/main" id="{008FBA11-1838-4133-803E-2A357BA7900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71" name="Rectangle 320">
          <a:extLst>
            <a:ext uri="{FF2B5EF4-FFF2-40B4-BE49-F238E27FC236}">
              <a16:creationId xmlns:a16="http://schemas.microsoft.com/office/drawing/2014/main" id="{4DAEF8BD-75D8-48CB-93AD-0B3791C45E56}"/>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 name="Rectangle 321">
          <a:extLst>
            <a:ext uri="{FF2B5EF4-FFF2-40B4-BE49-F238E27FC236}">
              <a16:creationId xmlns:a16="http://schemas.microsoft.com/office/drawing/2014/main" id="{5B6DAB31-1EFF-4617-B6CC-D110BE03479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 name="Rectangle 322">
          <a:extLst>
            <a:ext uri="{FF2B5EF4-FFF2-40B4-BE49-F238E27FC236}">
              <a16:creationId xmlns:a16="http://schemas.microsoft.com/office/drawing/2014/main" id="{E2EA1FC2-5F50-4DEA-A95C-68B7500ED2E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 name="Rectangle 323">
          <a:extLst>
            <a:ext uri="{FF2B5EF4-FFF2-40B4-BE49-F238E27FC236}">
              <a16:creationId xmlns:a16="http://schemas.microsoft.com/office/drawing/2014/main" id="{6A6D35D4-3F60-4A89-8B0D-3F3EBADEEBC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 name="Rectangle 324">
          <a:extLst>
            <a:ext uri="{FF2B5EF4-FFF2-40B4-BE49-F238E27FC236}">
              <a16:creationId xmlns:a16="http://schemas.microsoft.com/office/drawing/2014/main" id="{C1950EA5-8F3D-45D6-8C5C-73D579DD64E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 name="Rectangle 325">
          <a:extLst>
            <a:ext uri="{FF2B5EF4-FFF2-40B4-BE49-F238E27FC236}">
              <a16:creationId xmlns:a16="http://schemas.microsoft.com/office/drawing/2014/main" id="{734F3874-ABDE-40C1-9C69-AFA549D69CF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 name="Rectangle 326">
          <a:extLst>
            <a:ext uri="{FF2B5EF4-FFF2-40B4-BE49-F238E27FC236}">
              <a16:creationId xmlns:a16="http://schemas.microsoft.com/office/drawing/2014/main" id="{2D22DA92-6814-4B76-80FE-C068456E7F2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 name="Rectangle 327">
          <a:extLst>
            <a:ext uri="{FF2B5EF4-FFF2-40B4-BE49-F238E27FC236}">
              <a16:creationId xmlns:a16="http://schemas.microsoft.com/office/drawing/2014/main" id="{C7E9AA44-B66D-42EF-BF40-87F60778041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 name="Rectangle 328">
          <a:extLst>
            <a:ext uri="{FF2B5EF4-FFF2-40B4-BE49-F238E27FC236}">
              <a16:creationId xmlns:a16="http://schemas.microsoft.com/office/drawing/2014/main" id="{7DBEDF81-DF86-4DA4-9BAB-236C8BE3A41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 name="Rectangle 329">
          <a:extLst>
            <a:ext uri="{FF2B5EF4-FFF2-40B4-BE49-F238E27FC236}">
              <a16:creationId xmlns:a16="http://schemas.microsoft.com/office/drawing/2014/main" id="{EE218603-47A0-4C5A-A143-7B3D5398598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 name="Rectangle 330">
          <a:extLst>
            <a:ext uri="{FF2B5EF4-FFF2-40B4-BE49-F238E27FC236}">
              <a16:creationId xmlns:a16="http://schemas.microsoft.com/office/drawing/2014/main" id="{5223D704-035A-49BF-8CB6-90A9BA4CEE2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 name="Rectangle 331">
          <a:extLst>
            <a:ext uri="{FF2B5EF4-FFF2-40B4-BE49-F238E27FC236}">
              <a16:creationId xmlns:a16="http://schemas.microsoft.com/office/drawing/2014/main" id="{DCA46DA5-C51E-4643-9313-842FE0AC1E6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 name="Rectangle 332">
          <a:extLst>
            <a:ext uri="{FF2B5EF4-FFF2-40B4-BE49-F238E27FC236}">
              <a16:creationId xmlns:a16="http://schemas.microsoft.com/office/drawing/2014/main" id="{8276A5D7-48DC-4E43-B00E-B9D23A878B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 name="Rectangle 333">
          <a:extLst>
            <a:ext uri="{FF2B5EF4-FFF2-40B4-BE49-F238E27FC236}">
              <a16:creationId xmlns:a16="http://schemas.microsoft.com/office/drawing/2014/main" id="{AC5A3B99-7E5A-4AC0-924D-598811AD2C2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 name="Rectangle 334">
          <a:extLst>
            <a:ext uri="{FF2B5EF4-FFF2-40B4-BE49-F238E27FC236}">
              <a16:creationId xmlns:a16="http://schemas.microsoft.com/office/drawing/2014/main" id="{F594EBF7-72AE-48B3-9714-3E1FBEA8068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 name="Rectangle 335">
          <a:extLst>
            <a:ext uri="{FF2B5EF4-FFF2-40B4-BE49-F238E27FC236}">
              <a16:creationId xmlns:a16="http://schemas.microsoft.com/office/drawing/2014/main" id="{87CA6BAF-0B92-4EB6-AEAF-0F35268ABD9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 name="Rectangle 336">
          <a:extLst>
            <a:ext uri="{FF2B5EF4-FFF2-40B4-BE49-F238E27FC236}">
              <a16:creationId xmlns:a16="http://schemas.microsoft.com/office/drawing/2014/main" id="{08F7C8D3-BBC3-4E05-B0AE-82E931CFC52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 name="Rectangle 337">
          <a:extLst>
            <a:ext uri="{FF2B5EF4-FFF2-40B4-BE49-F238E27FC236}">
              <a16:creationId xmlns:a16="http://schemas.microsoft.com/office/drawing/2014/main" id="{541B8C8F-E7A1-4ED8-B5C0-44880187470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 name="Rectangle 338">
          <a:extLst>
            <a:ext uri="{FF2B5EF4-FFF2-40B4-BE49-F238E27FC236}">
              <a16:creationId xmlns:a16="http://schemas.microsoft.com/office/drawing/2014/main" id="{36F2BD29-90F3-4AAD-9090-B9AB20A49B0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 name="Rectangle 339">
          <a:extLst>
            <a:ext uri="{FF2B5EF4-FFF2-40B4-BE49-F238E27FC236}">
              <a16:creationId xmlns:a16="http://schemas.microsoft.com/office/drawing/2014/main" id="{CCF8F74E-855A-4F5D-BCAD-5A768397720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 name="Rectangle 340">
          <a:extLst>
            <a:ext uri="{FF2B5EF4-FFF2-40B4-BE49-F238E27FC236}">
              <a16:creationId xmlns:a16="http://schemas.microsoft.com/office/drawing/2014/main" id="{6DDB9560-818D-421B-9DE2-52C786DE9B9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 name="Rectangle 341">
          <a:extLst>
            <a:ext uri="{FF2B5EF4-FFF2-40B4-BE49-F238E27FC236}">
              <a16:creationId xmlns:a16="http://schemas.microsoft.com/office/drawing/2014/main" id="{55F5941B-3E67-447E-BCBD-E97C516144C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 name="Rectangle 342">
          <a:extLst>
            <a:ext uri="{FF2B5EF4-FFF2-40B4-BE49-F238E27FC236}">
              <a16:creationId xmlns:a16="http://schemas.microsoft.com/office/drawing/2014/main" id="{D63318E0-223E-4576-8A31-47DC2A30470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 name="Rectangle 343">
          <a:extLst>
            <a:ext uri="{FF2B5EF4-FFF2-40B4-BE49-F238E27FC236}">
              <a16:creationId xmlns:a16="http://schemas.microsoft.com/office/drawing/2014/main" id="{52E5F010-2B9B-41DB-95AB-19262BC51F1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 name="Rectangle 344">
          <a:extLst>
            <a:ext uri="{FF2B5EF4-FFF2-40B4-BE49-F238E27FC236}">
              <a16:creationId xmlns:a16="http://schemas.microsoft.com/office/drawing/2014/main" id="{73E6E51E-B519-4E9F-9205-D706078732E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 name="Rectangle 345">
          <a:extLst>
            <a:ext uri="{FF2B5EF4-FFF2-40B4-BE49-F238E27FC236}">
              <a16:creationId xmlns:a16="http://schemas.microsoft.com/office/drawing/2014/main" id="{BBA061ED-F50A-46AF-8CF6-AE2697CF8DF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 name="Rectangle 346">
          <a:extLst>
            <a:ext uri="{FF2B5EF4-FFF2-40B4-BE49-F238E27FC236}">
              <a16:creationId xmlns:a16="http://schemas.microsoft.com/office/drawing/2014/main" id="{CC1F4CE6-6B9F-4188-BA1D-0BB501D85E9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 name="Rectangle 347">
          <a:extLst>
            <a:ext uri="{FF2B5EF4-FFF2-40B4-BE49-F238E27FC236}">
              <a16:creationId xmlns:a16="http://schemas.microsoft.com/office/drawing/2014/main" id="{FB3AA0F7-5FCC-4CEA-97C3-69105C37E2E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 name="Rectangle 348">
          <a:extLst>
            <a:ext uri="{FF2B5EF4-FFF2-40B4-BE49-F238E27FC236}">
              <a16:creationId xmlns:a16="http://schemas.microsoft.com/office/drawing/2014/main" id="{694EABEA-BB56-450F-8B24-5E2DA14A071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 name="Rectangle 349">
          <a:extLst>
            <a:ext uri="{FF2B5EF4-FFF2-40B4-BE49-F238E27FC236}">
              <a16:creationId xmlns:a16="http://schemas.microsoft.com/office/drawing/2014/main" id="{6F7503E4-4775-4A13-B1E8-5F65C7399DB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 name="Rectangle 350">
          <a:extLst>
            <a:ext uri="{FF2B5EF4-FFF2-40B4-BE49-F238E27FC236}">
              <a16:creationId xmlns:a16="http://schemas.microsoft.com/office/drawing/2014/main" id="{420E6DC8-0C27-4684-AF78-BE53BE65725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02" name="Rectangle 351">
          <a:extLst>
            <a:ext uri="{FF2B5EF4-FFF2-40B4-BE49-F238E27FC236}">
              <a16:creationId xmlns:a16="http://schemas.microsoft.com/office/drawing/2014/main" id="{B13F03FD-74B7-4D96-BFA1-AEF5A4FCA179}"/>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 name="Rectangle 352">
          <a:extLst>
            <a:ext uri="{FF2B5EF4-FFF2-40B4-BE49-F238E27FC236}">
              <a16:creationId xmlns:a16="http://schemas.microsoft.com/office/drawing/2014/main" id="{645B1835-A448-4614-893F-B76B1A80317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4" name="Rectangle 353">
          <a:extLst>
            <a:ext uri="{FF2B5EF4-FFF2-40B4-BE49-F238E27FC236}">
              <a16:creationId xmlns:a16="http://schemas.microsoft.com/office/drawing/2014/main" id="{75BD4ED6-9D9B-403D-ACA2-120CD25F2F8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5" name="Rectangle 354">
          <a:extLst>
            <a:ext uri="{FF2B5EF4-FFF2-40B4-BE49-F238E27FC236}">
              <a16:creationId xmlns:a16="http://schemas.microsoft.com/office/drawing/2014/main" id="{FD2FA490-20AA-447C-A50C-C02EBCBA63D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6" name="Rectangle 355">
          <a:extLst>
            <a:ext uri="{FF2B5EF4-FFF2-40B4-BE49-F238E27FC236}">
              <a16:creationId xmlns:a16="http://schemas.microsoft.com/office/drawing/2014/main" id="{5D1BF470-2061-42BF-ABA9-C72341732E9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7" name="Rectangle 356">
          <a:extLst>
            <a:ext uri="{FF2B5EF4-FFF2-40B4-BE49-F238E27FC236}">
              <a16:creationId xmlns:a16="http://schemas.microsoft.com/office/drawing/2014/main" id="{C21544B1-688D-4859-ADC7-B13995B4E66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8" name="Rectangle 357">
          <a:extLst>
            <a:ext uri="{FF2B5EF4-FFF2-40B4-BE49-F238E27FC236}">
              <a16:creationId xmlns:a16="http://schemas.microsoft.com/office/drawing/2014/main" id="{A671C5EC-42CE-4B82-8DE4-98190A7731F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9" name="Rectangle 358">
          <a:extLst>
            <a:ext uri="{FF2B5EF4-FFF2-40B4-BE49-F238E27FC236}">
              <a16:creationId xmlns:a16="http://schemas.microsoft.com/office/drawing/2014/main" id="{F2B5B6DC-7175-4406-B3DD-69F5E8F8CB2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0" name="Rectangle 359">
          <a:extLst>
            <a:ext uri="{FF2B5EF4-FFF2-40B4-BE49-F238E27FC236}">
              <a16:creationId xmlns:a16="http://schemas.microsoft.com/office/drawing/2014/main" id="{BD927550-7093-438B-A7B9-0E2ACBBA3A1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1" name="Rectangle 360">
          <a:extLst>
            <a:ext uri="{FF2B5EF4-FFF2-40B4-BE49-F238E27FC236}">
              <a16:creationId xmlns:a16="http://schemas.microsoft.com/office/drawing/2014/main" id="{19914459-036F-400E-903E-F8F6094FC8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2" name="Rectangle 361">
          <a:extLst>
            <a:ext uri="{FF2B5EF4-FFF2-40B4-BE49-F238E27FC236}">
              <a16:creationId xmlns:a16="http://schemas.microsoft.com/office/drawing/2014/main" id="{B1722887-F905-4B38-BB9B-2D6CE63B9B8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3" name="Rectangle 362">
          <a:extLst>
            <a:ext uri="{FF2B5EF4-FFF2-40B4-BE49-F238E27FC236}">
              <a16:creationId xmlns:a16="http://schemas.microsoft.com/office/drawing/2014/main" id="{B295C06C-FA03-4570-87C7-63B9B712862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4" name="Rectangle 363">
          <a:extLst>
            <a:ext uri="{FF2B5EF4-FFF2-40B4-BE49-F238E27FC236}">
              <a16:creationId xmlns:a16="http://schemas.microsoft.com/office/drawing/2014/main" id="{8420428B-4F85-40A3-A450-B7E22FDE97A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15" name="Rectangle 364">
          <a:extLst>
            <a:ext uri="{FF2B5EF4-FFF2-40B4-BE49-F238E27FC236}">
              <a16:creationId xmlns:a16="http://schemas.microsoft.com/office/drawing/2014/main" id="{888AFFEA-91BF-4865-8369-DE5E87E97D7C}"/>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6" name="Rectangle 365">
          <a:extLst>
            <a:ext uri="{FF2B5EF4-FFF2-40B4-BE49-F238E27FC236}">
              <a16:creationId xmlns:a16="http://schemas.microsoft.com/office/drawing/2014/main" id="{17FB26AD-BF9A-4DEE-8E28-FF4CA4D149D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7" name="Rectangle 366">
          <a:extLst>
            <a:ext uri="{FF2B5EF4-FFF2-40B4-BE49-F238E27FC236}">
              <a16:creationId xmlns:a16="http://schemas.microsoft.com/office/drawing/2014/main" id="{050820D3-F28D-4614-960A-57A02FEE2DB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8" name="Rectangle 367">
          <a:extLst>
            <a:ext uri="{FF2B5EF4-FFF2-40B4-BE49-F238E27FC236}">
              <a16:creationId xmlns:a16="http://schemas.microsoft.com/office/drawing/2014/main" id="{2807D12E-FDE5-4559-8F48-6A2C165FC3B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19" name="Rectangle 368">
          <a:extLst>
            <a:ext uri="{FF2B5EF4-FFF2-40B4-BE49-F238E27FC236}">
              <a16:creationId xmlns:a16="http://schemas.microsoft.com/office/drawing/2014/main" id="{6DA544DC-EC7E-4EEE-821A-18F8E7644E5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0" name="Rectangle 369">
          <a:extLst>
            <a:ext uri="{FF2B5EF4-FFF2-40B4-BE49-F238E27FC236}">
              <a16:creationId xmlns:a16="http://schemas.microsoft.com/office/drawing/2014/main" id="{A8929A7A-78B1-4685-8B2E-59BD420E474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1" name="Rectangle 370">
          <a:extLst>
            <a:ext uri="{FF2B5EF4-FFF2-40B4-BE49-F238E27FC236}">
              <a16:creationId xmlns:a16="http://schemas.microsoft.com/office/drawing/2014/main" id="{9B7580EE-D948-4B18-A1CA-FCB27891BF3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2" name="Rectangle 371">
          <a:extLst>
            <a:ext uri="{FF2B5EF4-FFF2-40B4-BE49-F238E27FC236}">
              <a16:creationId xmlns:a16="http://schemas.microsoft.com/office/drawing/2014/main" id="{00F2FBF0-95F9-450E-ACD4-8CF696ECBC1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3" name="Rectangle 372">
          <a:extLst>
            <a:ext uri="{FF2B5EF4-FFF2-40B4-BE49-F238E27FC236}">
              <a16:creationId xmlns:a16="http://schemas.microsoft.com/office/drawing/2014/main" id="{0B315F5E-0203-4D3D-B5F8-C6CFA69FECF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4" name="Rectangle 373">
          <a:extLst>
            <a:ext uri="{FF2B5EF4-FFF2-40B4-BE49-F238E27FC236}">
              <a16:creationId xmlns:a16="http://schemas.microsoft.com/office/drawing/2014/main" id="{50A03171-A71C-4DFA-A033-D324FD117F1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5" name="Rectangle 374">
          <a:extLst>
            <a:ext uri="{FF2B5EF4-FFF2-40B4-BE49-F238E27FC236}">
              <a16:creationId xmlns:a16="http://schemas.microsoft.com/office/drawing/2014/main" id="{DDEE0A5E-82D7-4296-816C-B984DD0EADD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6" name="Rectangle 375">
          <a:extLst>
            <a:ext uri="{FF2B5EF4-FFF2-40B4-BE49-F238E27FC236}">
              <a16:creationId xmlns:a16="http://schemas.microsoft.com/office/drawing/2014/main" id="{B60BFF3C-C048-4153-BA37-D10B9ECC2F8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7" name="Rectangle 376">
          <a:extLst>
            <a:ext uri="{FF2B5EF4-FFF2-40B4-BE49-F238E27FC236}">
              <a16:creationId xmlns:a16="http://schemas.microsoft.com/office/drawing/2014/main" id="{4CEF0D12-10C6-4DA1-A101-79C5D5D237A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8" name="Rectangle 377">
          <a:extLst>
            <a:ext uri="{FF2B5EF4-FFF2-40B4-BE49-F238E27FC236}">
              <a16:creationId xmlns:a16="http://schemas.microsoft.com/office/drawing/2014/main" id="{8AB4D0DA-B59E-4FE1-B573-62C4BBB286A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29" name="Rectangle 378">
          <a:extLst>
            <a:ext uri="{FF2B5EF4-FFF2-40B4-BE49-F238E27FC236}">
              <a16:creationId xmlns:a16="http://schemas.microsoft.com/office/drawing/2014/main" id="{BBC60B3B-5B96-4387-BB74-A6787C3B55B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0" name="Rectangle 379">
          <a:extLst>
            <a:ext uri="{FF2B5EF4-FFF2-40B4-BE49-F238E27FC236}">
              <a16:creationId xmlns:a16="http://schemas.microsoft.com/office/drawing/2014/main" id="{51D3A19C-D6D6-4B98-8632-B5578FD9FF0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1" name="Rectangle 380">
          <a:extLst>
            <a:ext uri="{FF2B5EF4-FFF2-40B4-BE49-F238E27FC236}">
              <a16:creationId xmlns:a16="http://schemas.microsoft.com/office/drawing/2014/main" id="{8B730651-4811-49A6-BCC6-839735AE71A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2" name="Rectangle 381">
          <a:extLst>
            <a:ext uri="{FF2B5EF4-FFF2-40B4-BE49-F238E27FC236}">
              <a16:creationId xmlns:a16="http://schemas.microsoft.com/office/drawing/2014/main" id="{8DF20610-61D4-4EC5-B8D1-1E984BAA9DC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3" name="Rectangle 382">
          <a:extLst>
            <a:ext uri="{FF2B5EF4-FFF2-40B4-BE49-F238E27FC236}">
              <a16:creationId xmlns:a16="http://schemas.microsoft.com/office/drawing/2014/main" id="{619D67F0-E25B-4FF1-9901-2A719844AB4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34" name="Rectangle 383">
          <a:extLst>
            <a:ext uri="{FF2B5EF4-FFF2-40B4-BE49-F238E27FC236}">
              <a16:creationId xmlns:a16="http://schemas.microsoft.com/office/drawing/2014/main" id="{0C26015A-B512-40B8-8E18-10091D215B70}"/>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5" name="Rectangle 384">
          <a:extLst>
            <a:ext uri="{FF2B5EF4-FFF2-40B4-BE49-F238E27FC236}">
              <a16:creationId xmlns:a16="http://schemas.microsoft.com/office/drawing/2014/main" id="{460EA902-9996-4C08-81A8-C00FADCC222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6" name="Rectangle 385">
          <a:extLst>
            <a:ext uri="{FF2B5EF4-FFF2-40B4-BE49-F238E27FC236}">
              <a16:creationId xmlns:a16="http://schemas.microsoft.com/office/drawing/2014/main" id="{6817886F-1F50-4D49-B0B8-71119D61592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7" name="Rectangle 386">
          <a:extLst>
            <a:ext uri="{FF2B5EF4-FFF2-40B4-BE49-F238E27FC236}">
              <a16:creationId xmlns:a16="http://schemas.microsoft.com/office/drawing/2014/main" id="{6F76D707-F0AA-420E-A3FB-26221E03C84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8" name="Rectangle 387">
          <a:extLst>
            <a:ext uri="{FF2B5EF4-FFF2-40B4-BE49-F238E27FC236}">
              <a16:creationId xmlns:a16="http://schemas.microsoft.com/office/drawing/2014/main" id="{28C3B5C8-33C0-4AF3-9B52-6CD56D6D95D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39" name="Rectangle 388">
          <a:extLst>
            <a:ext uri="{FF2B5EF4-FFF2-40B4-BE49-F238E27FC236}">
              <a16:creationId xmlns:a16="http://schemas.microsoft.com/office/drawing/2014/main" id="{E3F5158B-9D11-46F2-BA58-2714F11D3A6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0" name="Rectangle 389">
          <a:extLst>
            <a:ext uri="{FF2B5EF4-FFF2-40B4-BE49-F238E27FC236}">
              <a16:creationId xmlns:a16="http://schemas.microsoft.com/office/drawing/2014/main" id="{00EE3320-385A-410D-A1E0-2D00920A5F3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1" name="Rectangle 390">
          <a:extLst>
            <a:ext uri="{FF2B5EF4-FFF2-40B4-BE49-F238E27FC236}">
              <a16:creationId xmlns:a16="http://schemas.microsoft.com/office/drawing/2014/main" id="{A0FF100E-DB70-4FE1-9E47-17CF155E999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2" name="Rectangle 391">
          <a:extLst>
            <a:ext uri="{FF2B5EF4-FFF2-40B4-BE49-F238E27FC236}">
              <a16:creationId xmlns:a16="http://schemas.microsoft.com/office/drawing/2014/main" id="{896B8875-32D7-4619-9AD7-EBD11601269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3" name="Rectangle 392">
          <a:extLst>
            <a:ext uri="{FF2B5EF4-FFF2-40B4-BE49-F238E27FC236}">
              <a16:creationId xmlns:a16="http://schemas.microsoft.com/office/drawing/2014/main" id="{9871EDD3-6B2E-49BA-BDF3-300418DA536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4" name="Rectangle 393">
          <a:extLst>
            <a:ext uri="{FF2B5EF4-FFF2-40B4-BE49-F238E27FC236}">
              <a16:creationId xmlns:a16="http://schemas.microsoft.com/office/drawing/2014/main" id="{87266815-8D5D-4F91-964E-D3DAF2B600A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5" name="Rectangle 394">
          <a:extLst>
            <a:ext uri="{FF2B5EF4-FFF2-40B4-BE49-F238E27FC236}">
              <a16:creationId xmlns:a16="http://schemas.microsoft.com/office/drawing/2014/main" id="{3239B920-9481-47CF-B0CB-DAF470B7690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6" name="Rectangle 395">
          <a:extLst>
            <a:ext uri="{FF2B5EF4-FFF2-40B4-BE49-F238E27FC236}">
              <a16:creationId xmlns:a16="http://schemas.microsoft.com/office/drawing/2014/main" id="{B28D69AF-DD1D-457C-A0BC-2E8FDE99777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7" name="Rectangle 396">
          <a:extLst>
            <a:ext uri="{FF2B5EF4-FFF2-40B4-BE49-F238E27FC236}">
              <a16:creationId xmlns:a16="http://schemas.microsoft.com/office/drawing/2014/main" id="{EFEA7C1F-6B0A-4392-9A5E-00649382910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8" name="Rectangle 397">
          <a:extLst>
            <a:ext uri="{FF2B5EF4-FFF2-40B4-BE49-F238E27FC236}">
              <a16:creationId xmlns:a16="http://schemas.microsoft.com/office/drawing/2014/main" id="{9679915C-7B16-4818-ABE4-58BEA38488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49" name="Rectangle 398">
          <a:extLst>
            <a:ext uri="{FF2B5EF4-FFF2-40B4-BE49-F238E27FC236}">
              <a16:creationId xmlns:a16="http://schemas.microsoft.com/office/drawing/2014/main" id="{7471C117-9FB8-4088-A034-81F99E13F73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0" name="Rectangle 399">
          <a:extLst>
            <a:ext uri="{FF2B5EF4-FFF2-40B4-BE49-F238E27FC236}">
              <a16:creationId xmlns:a16="http://schemas.microsoft.com/office/drawing/2014/main" id="{8BBB5CCF-2353-4652-B580-352591317ED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1" name="Rectangle 400">
          <a:extLst>
            <a:ext uri="{FF2B5EF4-FFF2-40B4-BE49-F238E27FC236}">
              <a16:creationId xmlns:a16="http://schemas.microsoft.com/office/drawing/2014/main" id="{518BD8E3-18A6-4329-9431-30074764AC9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2" name="Rectangle 401">
          <a:extLst>
            <a:ext uri="{FF2B5EF4-FFF2-40B4-BE49-F238E27FC236}">
              <a16:creationId xmlns:a16="http://schemas.microsoft.com/office/drawing/2014/main" id="{71592ED6-2D73-45F5-B770-DB714AF9386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3" name="Rectangle 402">
          <a:extLst>
            <a:ext uri="{FF2B5EF4-FFF2-40B4-BE49-F238E27FC236}">
              <a16:creationId xmlns:a16="http://schemas.microsoft.com/office/drawing/2014/main" id="{E88A69A0-3617-4B82-970E-68125539912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4" name="Rectangle 403">
          <a:extLst>
            <a:ext uri="{FF2B5EF4-FFF2-40B4-BE49-F238E27FC236}">
              <a16:creationId xmlns:a16="http://schemas.microsoft.com/office/drawing/2014/main" id="{F61BEC30-DFBE-4955-B562-D2883FC1F5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5" name="Rectangle 404">
          <a:extLst>
            <a:ext uri="{FF2B5EF4-FFF2-40B4-BE49-F238E27FC236}">
              <a16:creationId xmlns:a16="http://schemas.microsoft.com/office/drawing/2014/main" id="{441BF5AF-7C16-481B-BA7B-FA5990DAC7F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6" name="Rectangle 405">
          <a:extLst>
            <a:ext uri="{FF2B5EF4-FFF2-40B4-BE49-F238E27FC236}">
              <a16:creationId xmlns:a16="http://schemas.microsoft.com/office/drawing/2014/main" id="{B5ECC96E-87C5-419A-8F13-A474A2B4325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7" name="Rectangle 406">
          <a:extLst>
            <a:ext uri="{FF2B5EF4-FFF2-40B4-BE49-F238E27FC236}">
              <a16:creationId xmlns:a16="http://schemas.microsoft.com/office/drawing/2014/main" id="{10995C8B-2540-4738-85FA-995F7880A95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58" name="Rectangle 407">
          <a:extLst>
            <a:ext uri="{FF2B5EF4-FFF2-40B4-BE49-F238E27FC236}">
              <a16:creationId xmlns:a16="http://schemas.microsoft.com/office/drawing/2014/main" id="{C6934148-50DD-49A1-92B7-E0B4CC2F71D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59" name="Rectangle 408">
          <a:extLst>
            <a:ext uri="{FF2B5EF4-FFF2-40B4-BE49-F238E27FC236}">
              <a16:creationId xmlns:a16="http://schemas.microsoft.com/office/drawing/2014/main" id="{BBE8A0F7-2D9E-42F4-88D2-3F12C2AAB879}"/>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0" name="Rectangle 409">
          <a:extLst>
            <a:ext uri="{FF2B5EF4-FFF2-40B4-BE49-F238E27FC236}">
              <a16:creationId xmlns:a16="http://schemas.microsoft.com/office/drawing/2014/main" id="{170212C8-0910-41CF-874C-90DE5CB72C2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1" name="Rectangle 410">
          <a:extLst>
            <a:ext uri="{FF2B5EF4-FFF2-40B4-BE49-F238E27FC236}">
              <a16:creationId xmlns:a16="http://schemas.microsoft.com/office/drawing/2014/main" id="{6AFA5031-298E-4BAD-8A84-E9181E06AEF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2" name="Rectangle 411">
          <a:extLst>
            <a:ext uri="{FF2B5EF4-FFF2-40B4-BE49-F238E27FC236}">
              <a16:creationId xmlns:a16="http://schemas.microsoft.com/office/drawing/2014/main" id="{50446EB3-A535-4F7C-AABC-A3F76F7C926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3" name="Rectangle 412">
          <a:extLst>
            <a:ext uri="{FF2B5EF4-FFF2-40B4-BE49-F238E27FC236}">
              <a16:creationId xmlns:a16="http://schemas.microsoft.com/office/drawing/2014/main" id="{8EA0571F-2045-497C-B9DD-6C7B8F81883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4" name="Rectangle 413">
          <a:extLst>
            <a:ext uri="{FF2B5EF4-FFF2-40B4-BE49-F238E27FC236}">
              <a16:creationId xmlns:a16="http://schemas.microsoft.com/office/drawing/2014/main" id="{8E054BF6-A372-4F52-B4B2-92F099E0C8D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5" name="Rectangle 414">
          <a:extLst>
            <a:ext uri="{FF2B5EF4-FFF2-40B4-BE49-F238E27FC236}">
              <a16:creationId xmlns:a16="http://schemas.microsoft.com/office/drawing/2014/main" id="{48852230-FF26-429A-B319-EEFE7A7DBB8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6" name="Rectangle 415">
          <a:extLst>
            <a:ext uri="{FF2B5EF4-FFF2-40B4-BE49-F238E27FC236}">
              <a16:creationId xmlns:a16="http://schemas.microsoft.com/office/drawing/2014/main" id="{B7F89C48-32AE-49F8-8FFC-C6AAC270321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7" name="Rectangle 416">
          <a:extLst>
            <a:ext uri="{FF2B5EF4-FFF2-40B4-BE49-F238E27FC236}">
              <a16:creationId xmlns:a16="http://schemas.microsoft.com/office/drawing/2014/main" id="{7BF9A228-2D72-4FAA-867D-06CE8A5D48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8" name="Rectangle 417">
          <a:extLst>
            <a:ext uri="{FF2B5EF4-FFF2-40B4-BE49-F238E27FC236}">
              <a16:creationId xmlns:a16="http://schemas.microsoft.com/office/drawing/2014/main" id="{DB96CE32-CC78-4952-B7CE-87981158FAC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69" name="Rectangle 418">
          <a:extLst>
            <a:ext uri="{FF2B5EF4-FFF2-40B4-BE49-F238E27FC236}">
              <a16:creationId xmlns:a16="http://schemas.microsoft.com/office/drawing/2014/main" id="{3A0DEA62-710B-443D-987D-3AF6B12BD1A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0" name="Rectangle 419">
          <a:extLst>
            <a:ext uri="{FF2B5EF4-FFF2-40B4-BE49-F238E27FC236}">
              <a16:creationId xmlns:a16="http://schemas.microsoft.com/office/drawing/2014/main" id="{94399951-8723-4494-9144-96D44772194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1" name="Rectangle 420">
          <a:extLst>
            <a:ext uri="{FF2B5EF4-FFF2-40B4-BE49-F238E27FC236}">
              <a16:creationId xmlns:a16="http://schemas.microsoft.com/office/drawing/2014/main" id="{CA26AF19-9B05-48AC-A34D-D4C000EF3BB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2" name="Rectangle 421">
          <a:extLst>
            <a:ext uri="{FF2B5EF4-FFF2-40B4-BE49-F238E27FC236}">
              <a16:creationId xmlns:a16="http://schemas.microsoft.com/office/drawing/2014/main" id="{8EE15C90-4F7F-4C53-9B51-79669EF9689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3" name="Rectangle 422">
          <a:extLst>
            <a:ext uri="{FF2B5EF4-FFF2-40B4-BE49-F238E27FC236}">
              <a16:creationId xmlns:a16="http://schemas.microsoft.com/office/drawing/2014/main" id="{8CE84B70-1FE1-4372-A114-0FD1CFEFA47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4" name="Rectangle 423">
          <a:extLst>
            <a:ext uri="{FF2B5EF4-FFF2-40B4-BE49-F238E27FC236}">
              <a16:creationId xmlns:a16="http://schemas.microsoft.com/office/drawing/2014/main" id="{FFEC3006-C25D-456E-ADA9-574CB5AADA1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5" name="Rectangle 424">
          <a:extLst>
            <a:ext uri="{FF2B5EF4-FFF2-40B4-BE49-F238E27FC236}">
              <a16:creationId xmlns:a16="http://schemas.microsoft.com/office/drawing/2014/main" id="{82FA61B1-7570-4721-A0EB-7D35F6293DB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6" name="Rectangle 425">
          <a:extLst>
            <a:ext uri="{FF2B5EF4-FFF2-40B4-BE49-F238E27FC236}">
              <a16:creationId xmlns:a16="http://schemas.microsoft.com/office/drawing/2014/main" id="{EAB323EA-689D-472D-BD3C-ECDD07A1BB1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7" name="Rectangle 426">
          <a:extLst>
            <a:ext uri="{FF2B5EF4-FFF2-40B4-BE49-F238E27FC236}">
              <a16:creationId xmlns:a16="http://schemas.microsoft.com/office/drawing/2014/main" id="{C5D0909D-0C28-4D33-8737-E9C019A0DE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78" name="Rectangle 427">
          <a:extLst>
            <a:ext uri="{FF2B5EF4-FFF2-40B4-BE49-F238E27FC236}">
              <a16:creationId xmlns:a16="http://schemas.microsoft.com/office/drawing/2014/main" id="{1B4C5CB6-DC43-4713-9463-69E31D5104B9}"/>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79" name="Rectangle 428">
          <a:extLst>
            <a:ext uri="{FF2B5EF4-FFF2-40B4-BE49-F238E27FC236}">
              <a16:creationId xmlns:a16="http://schemas.microsoft.com/office/drawing/2014/main" id="{358F611E-8AB1-4293-9F90-F70BE24ADD6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0" name="Rectangle 429">
          <a:extLst>
            <a:ext uri="{FF2B5EF4-FFF2-40B4-BE49-F238E27FC236}">
              <a16:creationId xmlns:a16="http://schemas.microsoft.com/office/drawing/2014/main" id="{2408803B-D791-49EC-9BA1-6C55069249B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1" name="Rectangle 430">
          <a:extLst>
            <a:ext uri="{FF2B5EF4-FFF2-40B4-BE49-F238E27FC236}">
              <a16:creationId xmlns:a16="http://schemas.microsoft.com/office/drawing/2014/main" id="{ED869552-8353-447E-88AE-4C16F617D0A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2" name="Rectangle 431">
          <a:extLst>
            <a:ext uri="{FF2B5EF4-FFF2-40B4-BE49-F238E27FC236}">
              <a16:creationId xmlns:a16="http://schemas.microsoft.com/office/drawing/2014/main" id="{CF72DDF8-42F5-45A3-9A39-46C65A16B28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3" name="Rectangle 432">
          <a:extLst>
            <a:ext uri="{FF2B5EF4-FFF2-40B4-BE49-F238E27FC236}">
              <a16:creationId xmlns:a16="http://schemas.microsoft.com/office/drawing/2014/main" id="{F3598E37-78F7-492B-B3ED-E0C41C58DB2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4" name="Rectangle 433">
          <a:extLst>
            <a:ext uri="{FF2B5EF4-FFF2-40B4-BE49-F238E27FC236}">
              <a16:creationId xmlns:a16="http://schemas.microsoft.com/office/drawing/2014/main" id="{CCBAC95F-77D3-4203-B9E9-853C7AC0D69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85" name="Rectangle 434">
          <a:extLst>
            <a:ext uri="{FF2B5EF4-FFF2-40B4-BE49-F238E27FC236}">
              <a16:creationId xmlns:a16="http://schemas.microsoft.com/office/drawing/2014/main" id="{993D1F06-7B89-4F38-B07C-3EA8D01023B5}"/>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6" name="Rectangle 435">
          <a:extLst>
            <a:ext uri="{FF2B5EF4-FFF2-40B4-BE49-F238E27FC236}">
              <a16:creationId xmlns:a16="http://schemas.microsoft.com/office/drawing/2014/main" id="{21A485A7-7C4A-4498-8254-7DA755FAF0C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7" name="Rectangle 436">
          <a:extLst>
            <a:ext uri="{FF2B5EF4-FFF2-40B4-BE49-F238E27FC236}">
              <a16:creationId xmlns:a16="http://schemas.microsoft.com/office/drawing/2014/main" id="{CB44E1A3-6BF4-4C07-ADB5-69158574E73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8" name="Rectangle 437">
          <a:extLst>
            <a:ext uri="{FF2B5EF4-FFF2-40B4-BE49-F238E27FC236}">
              <a16:creationId xmlns:a16="http://schemas.microsoft.com/office/drawing/2014/main" id="{F5B4B0C5-C103-4628-A339-F8474C5BF48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89" name="Rectangle 438">
          <a:extLst>
            <a:ext uri="{FF2B5EF4-FFF2-40B4-BE49-F238E27FC236}">
              <a16:creationId xmlns:a16="http://schemas.microsoft.com/office/drawing/2014/main" id="{BB4B72FA-A07A-4555-9CDC-6189871CB9B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0" name="Rectangle 439">
          <a:extLst>
            <a:ext uri="{FF2B5EF4-FFF2-40B4-BE49-F238E27FC236}">
              <a16:creationId xmlns:a16="http://schemas.microsoft.com/office/drawing/2014/main" id="{581FBEF4-66E5-4CEF-BF45-58E8CAED324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1" name="Rectangle 440">
          <a:extLst>
            <a:ext uri="{FF2B5EF4-FFF2-40B4-BE49-F238E27FC236}">
              <a16:creationId xmlns:a16="http://schemas.microsoft.com/office/drawing/2014/main" id="{BB3F04DA-21C1-4F3A-B53A-1D6D13D1D6E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92" name="Rectangle 441">
          <a:extLst>
            <a:ext uri="{FF2B5EF4-FFF2-40B4-BE49-F238E27FC236}">
              <a16:creationId xmlns:a16="http://schemas.microsoft.com/office/drawing/2014/main" id="{A4CA1FBE-5F50-4437-8A14-453A258D01AB}"/>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3" name="Rectangle 442">
          <a:extLst>
            <a:ext uri="{FF2B5EF4-FFF2-40B4-BE49-F238E27FC236}">
              <a16:creationId xmlns:a16="http://schemas.microsoft.com/office/drawing/2014/main" id="{B5E0E371-A833-4D4E-A1C5-84B93D74E15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4" name="Rectangle 443">
          <a:extLst>
            <a:ext uri="{FF2B5EF4-FFF2-40B4-BE49-F238E27FC236}">
              <a16:creationId xmlns:a16="http://schemas.microsoft.com/office/drawing/2014/main" id="{2B2DEC64-5EBF-410D-887F-2FFECE335EB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5" name="Rectangle 444">
          <a:extLst>
            <a:ext uri="{FF2B5EF4-FFF2-40B4-BE49-F238E27FC236}">
              <a16:creationId xmlns:a16="http://schemas.microsoft.com/office/drawing/2014/main" id="{F2F7CFF1-AB35-43A7-991C-BF9B2F59BE4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6" name="Rectangle 445">
          <a:extLst>
            <a:ext uri="{FF2B5EF4-FFF2-40B4-BE49-F238E27FC236}">
              <a16:creationId xmlns:a16="http://schemas.microsoft.com/office/drawing/2014/main" id="{4E4F812F-76B5-422C-875C-AE3985CDB82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7" name="Rectangle 446">
          <a:extLst>
            <a:ext uri="{FF2B5EF4-FFF2-40B4-BE49-F238E27FC236}">
              <a16:creationId xmlns:a16="http://schemas.microsoft.com/office/drawing/2014/main" id="{D83C33B8-6FE8-493E-B138-1FDE1B76D50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98" name="Rectangle 447">
          <a:extLst>
            <a:ext uri="{FF2B5EF4-FFF2-40B4-BE49-F238E27FC236}">
              <a16:creationId xmlns:a16="http://schemas.microsoft.com/office/drawing/2014/main" id="{2972CF71-20E4-4F0C-B236-D81B5D3DACF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199" name="Rectangle 448">
          <a:extLst>
            <a:ext uri="{FF2B5EF4-FFF2-40B4-BE49-F238E27FC236}">
              <a16:creationId xmlns:a16="http://schemas.microsoft.com/office/drawing/2014/main" id="{D85D6649-7099-478B-9AF8-C62140268E1F}"/>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0" name="Rectangle 449">
          <a:extLst>
            <a:ext uri="{FF2B5EF4-FFF2-40B4-BE49-F238E27FC236}">
              <a16:creationId xmlns:a16="http://schemas.microsoft.com/office/drawing/2014/main" id="{ECEF6491-F078-4BE2-A532-3939DC1C17A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1" name="Rectangle 450">
          <a:extLst>
            <a:ext uri="{FF2B5EF4-FFF2-40B4-BE49-F238E27FC236}">
              <a16:creationId xmlns:a16="http://schemas.microsoft.com/office/drawing/2014/main" id="{6D364CBD-EC13-4FB0-9395-383CA57F712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2" name="Rectangle 451">
          <a:extLst>
            <a:ext uri="{FF2B5EF4-FFF2-40B4-BE49-F238E27FC236}">
              <a16:creationId xmlns:a16="http://schemas.microsoft.com/office/drawing/2014/main" id="{9EBEE946-EB1B-4884-928C-818AA308DC6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3" name="Rectangle 452">
          <a:extLst>
            <a:ext uri="{FF2B5EF4-FFF2-40B4-BE49-F238E27FC236}">
              <a16:creationId xmlns:a16="http://schemas.microsoft.com/office/drawing/2014/main" id="{E9083025-4897-4620-A4C4-663EE49C88D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4" name="Rectangle 453">
          <a:extLst>
            <a:ext uri="{FF2B5EF4-FFF2-40B4-BE49-F238E27FC236}">
              <a16:creationId xmlns:a16="http://schemas.microsoft.com/office/drawing/2014/main" id="{86FCABEE-CD3C-4947-97C0-677D96C692C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5" name="Rectangle 454">
          <a:extLst>
            <a:ext uri="{FF2B5EF4-FFF2-40B4-BE49-F238E27FC236}">
              <a16:creationId xmlns:a16="http://schemas.microsoft.com/office/drawing/2014/main" id="{6E54A066-FF2C-44C1-93D8-98E5A21AC1D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6" name="Rectangle 238">
          <a:extLst>
            <a:ext uri="{FF2B5EF4-FFF2-40B4-BE49-F238E27FC236}">
              <a16:creationId xmlns:a16="http://schemas.microsoft.com/office/drawing/2014/main" id="{E740E5D9-40E6-4868-BA3C-75A44DF400E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7" name="Rectangle 249">
          <a:extLst>
            <a:ext uri="{FF2B5EF4-FFF2-40B4-BE49-F238E27FC236}">
              <a16:creationId xmlns:a16="http://schemas.microsoft.com/office/drawing/2014/main" id="{AD6B2DFD-A5B4-411A-BCBB-35C2170F31E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8" name="Rectangle 251">
          <a:extLst>
            <a:ext uri="{FF2B5EF4-FFF2-40B4-BE49-F238E27FC236}">
              <a16:creationId xmlns:a16="http://schemas.microsoft.com/office/drawing/2014/main" id="{08729342-9B4B-446A-9682-654813EC5DD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09" name="Rectangle 253">
          <a:extLst>
            <a:ext uri="{FF2B5EF4-FFF2-40B4-BE49-F238E27FC236}">
              <a16:creationId xmlns:a16="http://schemas.microsoft.com/office/drawing/2014/main" id="{6712C62F-D2E5-4507-BAFC-5E17837AB54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0" name="Rectangle 254">
          <a:extLst>
            <a:ext uri="{FF2B5EF4-FFF2-40B4-BE49-F238E27FC236}">
              <a16:creationId xmlns:a16="http://schemas.microsoft.com/office/drawing/2014/main" id="{0868A9D3-FE16-446A-AF3E-62877AEA19C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1" name="Rectangle 255">
          <a:extLst>
            <a:ext uri="{FF2B5EF4-FFF2-40B4-BE49-F238E27FC236}">
              <a16:creationId xmlns:a16="http://schemas.microsoft.com/office/drawing/2014/main" id="{DACD1319-5E93-43D7-A3D9-4D37C410653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2" name="Rectangle 257">
          <a:extLst>
            <a:ext uri="{FF2B5EF4-FFF2-40B4-BE49-F238E27FC236}">
              <a16:creationId xmlns:a16="http://schemas.microsoft.com/office/drawing/2014/main" id="{319CD1D4-85D2-4C8A-B821-68B9A993847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3" name="Rectangle 258">
          <a:extLst>
            <a:ext uri="{FF2B5EF4-FFF2-40B4-BE49-F238E27FC236}">
              <a16:creationId xmlns:a16="http://schemas.microsoft.com/office/drawing/2014/main" id="{ABE95B8C-3E51-4FA0-8893-96495D90195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4" name="Rectangle 259">
          <a:extLst>
            <a:ext uri="{FF2B5EF4-FFF2-40B4-BE49-F238E27FC236}">
              <a16:creationId xmlns:a16="http://schemas.microsoft.com/office/drawing/2014/main" id="{07ACAAE4-1096-4395-AE43-C47891B3898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5" name="Rectangle 260">
          <a:extLst>
            <a:ext uri="{FF2B5EF4-FFF2-40B4-BE49-F238E27FC236}">
              <a16:creationId xmlns:a16="http://schemas.microsoft.com/office/drawing/2014/main" id="{E3421801-0086-4192-AB34-71CAAF829ED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6" name="Rectangle 261">
          <a:extLst>
            <a:ext uri="{FF2B5EF4-FFF2-40B4-BE49-F238E27FC236}">
              <a16:creationId xmlns:a16="http://schemas.microsoft.com/office/drawing/2014/main" id="{F1B6B7C0-7A2E-4154-B801-7D9053D9C91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7" name="Rectangle 262">
          <a:extLst>
            <a:ext uri="{FF2B5EF4-FFF2-40B4-BE49-F238E27FC236}">
              <a16:creationId xmlns:a16="http://schemas.microsoft.com/office/drawing/2014/main" id="{18A5B5AC-AC53-4D39-80F2-D62707606D7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218" name="Rectangle 263">
          <a:extLst>
            <a:ext uri="{FF2B5EF4-FFF2-40B4-BE49-F238E27FC236}">
              <a16:creationId xmlns:a16="http://schemas.microsoft.com/office/drawing/2014/main" id="{11114EA2-16DE-4E6C-AF5C-6CC7FAE9D540}"/>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19" name="Rectangle 264">
          <a:extLst>
            <a:ext uri="{FF2B5EF4-FFF2-40B4-BE49-F238E27FC236}">
              <a16:creationId xmlns:a16="http://schemas.microsoft.com/office/drawing/2014/main" id="{8CE4C5D6-B9D7-425E-9422-F49E05D1AE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0" name="Rectangle 265">
          <a:extLst>
            <a:ext uri="{FF2B5EF4-FFF2-40B4-BE49-F238E27FC236}">
              <a16:creationId xmlns:a16="http://schemas.microsoft.com/office/drawing/2014/main" id="{5BE00AC8-4844-46DB-85AA-D8DFC7317E9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1" name="Rectangle 266">
          <a:extLst>
            <a:ext uri="{FF2B5EF4-FFF2-40B4-BE49-F238E27FC236}">
              <a16:creationId xmlns:a16="http://schemas.microsoft.com/office/drawing/2014/main" id="{26D65023-F973-4518-8A50-BF88FF2253A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2" name="Rectangle 267">
          <a:extLst>
            <a:ext uri="{FF2B5EF4-FFF2-40B4-BE49-F238E27FC236}">
              <a16:creationId xmlns:a16="http://schemas.microsoft.com/office/drawing/2014/main" id="{56C41F68-F192-4FCB-9205-9F8940064E8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3" name="Rectangle 268">
          <a:extLst>
            <a:ext uri="{FF2B5EF4-FFF2-40B4-BE49-F238E27FC236}">
              <a16:creationId xmlns:a16="http://schemas.microsoft.com/office/drawing/2014/main" id="{02F03ABA-CB8F-4A56-8D86-50E346B7E4C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4" name="Rectangle 269">
          <a:extLst>
            <a:ext uri="{FF2B5EF4-FFF2-40B4-BE49-F238E27FC236}">
              <a16:creationId xmlns:a16="http://schemas.microsoft.com/office/drawing/2014/main" id="{095DEA5B-6418-4615-8AA1-7D19700C59C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5" name="Rectangle 270">
          <a:extLst>
            <a:ext uri="{FF2B5EF4-FFF2-40B4-BE49-F238E27FC236}">
              <a16:creationId xmlns:a16="http://schemas.microsoft.com/office/drawing/2014/main" id="{4B2A4187-22C8-4648-A1CD-23CDD71B213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6" name="Rectangle 271">
          <a:extLst>
            <a:ext uri="{FF2B5EF4-FFF2-40B4-BE49-F238E27FC236}">
              <a16:creationId xmlns:a16="http://schemas.microsoft.com/office/drawing/2014/main" id="{07CC4139-74E8-40AB-8361-23745B09C0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7" name="Rectangle 272">
          <a:extLst>
            <a:ext uri="{FF2B5EF4-FFF2-40B4-BE49-F238E27FC236}">
              <a16:creationId xmlns:a16="http://schemas.microsoft.com/office/drawing/2014/main" id="{30E6CE6D-7C53-49B2-999D-728EADA4528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8" name="Rectangle 273">
          <a:extLst>
            <a:ext uri="{FF2B5EF4-FFF2-40B4-BE49-F238E27FC236}">
              <a16:creationId xmlns:a16="http://schemas.microsoft.com/office/drawing/2014/main" id="{F3A3DFD7-DAFE-49E9-A26B-78218CC39C3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29" name="Rectangle 274">
          <a:extLst>
            <a:ext uri="{FF2B5EF4-FFF2-40B4-BE49-F238E27FC236}">
              <a16:creationId xmlns:a16="http://schemas.microsoft.com/office/drawing/2014/main" id="{3F3380EC-8AFE-44E7-8BF0-06BC81719FA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0" name="Rectangle 275">
          <a:extLst>
            <a:ext uri="{FF2B5EF4-FFF2-40B4-BE49-F238E27FC236}">
              <a16:creationId xmlns:a16="http://schemas.microsoft.com/office/drawing/2014/main" id="{A5199791-AC4B-4520-B401-13608C97B32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231" name="Rectangle 276">
          <a:extLst>
            <a:ext uri="{FF2B5EF4-FFF2-40B4-BE49-F238E27FC236}">
              <a16:creationId xmlns:a16="http://schemas.microsoft.com/office/drawing/2014/main" id="{13D44830-3837-44E4-ABB9-BD39B982AA33}"/>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2" name="Rectangle 277">
          <a:extLst>
            <a:ext uri="{FF2B5EF4-FFF2-40B4-BE49-F238E27FC236}">
              <a16:creationId xmlns:a16="http://schemas.microsoft.com/office/drawing/2014/main" id="{033D87D7-F17F-43A2-934D-60E7439E57D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3" name="Rectangle 278">
          <a:extLst>
            <a:ext uri="{FF2B5EF4-FFF2-40B4-BE49-F238E27FC236}">
              <a16:creationId xmlns:a16="http://schemas.microsoft.com/office/drawing/2014/main" id="{F099B80C-141F-410C-86BC-B96C431ECA3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4" name="Rectangle 279">
          <a:extLst>
            <a:ext uri="{FF2B5EF4-FFF2-40B4-BE49-F238E27FC236}">
              <a16:creationId xmlns:a16="http://schemas.microsoft.com/office/drawing/2014/main" id="{AC5FD254-8642-4FB7-A03C-FC13FEE6090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5" name="Rectangle 280">
          <a:extLst>
            <a:ext uri="{FF2B5EF4-FFF2-40B4-BE49-F238E27FC236}">
              <a16:creationId xmlns:a16="http://schemas.microsoft.com/office/drawing/2014/main" id="{F8B5388A-C0A0-4F2F-9092-61C76DFFCED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6" name="Rectangle 281">
          <a:extLst>
            <a:ext uri="{FF2B5EF4-FFF2-40B4-BE49-F238E27FC236}">
              <a16:creationId xmlns:a16="http://schemas.microsoft.com/office/drawing/2014/main" id="{B11670A5-744E-4D44-A62B-12D7C51D348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7" name="Rectangle 282">
          <a:extLst>
            <a:ext uri="{FF2B5EF4-FFF2-40B4-BE49-F238E27FC236}">
              <a16:creationId xmlns:a16="http://schemas.microsoft.com/office/drawing/2014/main" id="{FD3E1480-3D5A-46C8-B16D-17B240517F4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8" name="Rectangle 283">
          <a:extLst>
            <a:ext uri="{FF2B5EF4-FFF2-40B4-BE49-F238E27FC236}">
              <a16:creationId xmlns:a16="http://schemas.microsoft.com/office/drawing/2014/main" id="{889099BA-8B0A-4702-8D98-5A1065B0EE1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39" name="Rectangle 284">
          <a:extLst>
            <a:ext uri="{FF2B5EF4-FFF2-40B4-BE49-F238E27FC236}">
              <a16:creationId xmlns:a16="http://schemas.microsoft.com/office/drawing/2014/main" id="{FA7D127F-81B0-4F8D-9CD5-645AB3F5BDF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0" name="Rectangle 285">
          <a:extLst>
            <a:ext uri="{FF2B5EF4-FFF2-40B4-BE49-F238E27FC236}">
              <a16:creationId xmlns:a16="http://schemas.microsoft.com/office/drawing/2014/main" id="{F86F9322-4ADA-48DC-93EB-3B33D688857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1" name="Rectangle 286">
          <a:extLst>
            <a:ext uri="{FF2B5EF4-FFF2-40B4-BE49-F238E27FC236}">
              <a16:creationId xmlns:a16="http://schemas.microsoft.com/office/drawing/2014/main" id="{C78A9293-6917-4B57-BAF9-C0F2710D8C5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2" name="Rectangle 287">
          <a:extLst>
            <a:ext uri="{FF2B5EF4-FFF2-40B4-BE49-F238E27FC236}">
              <a16:creationId xmlns:a16="http://schemas.microsoft.com/office/drawing/2014/main" id="{E1A6AF78-D2E7-4E80-B05E-182151C26AE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3" name="Rectangle 288">
          <a:extLst>
            <a:ext uri="{FF2B5EF4-FFF2-40B4-BE49-F238E27FC236}">
              <a16:creationId xmlns:a16="http://schemas.microsoft.com/office/drawing/2014/main" id="{A806B22E-B046-4B9C-AE77-F3A0DAC6F12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4" name="Rectangle 289">
          <a:extLst>
            <a:ext uri="{FF2B5EF4-FFF2-40B4-BE49-F238E27FC236}">
              <a16:creationId xmlns:a16="http://schemas.microsoft.com/office/drawing/2014/main" id="{0DAF5DF4-5F84-4BF3-9B43-CDF3B41DDDB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5" name="Rectangle 290">
          <a:extLst>
            <a:ext uri="{FF2B5EF4-FFF2-40B4-BE49-F238E27FC236}">
              <a16:creationId xmlns:a16="http://schemas.microsoft.com/office/drawing/2014/main" id="{1595248B-A807-45DC-9414-F024197488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6" name="Rectangle 291">
          <a:extLst>
            <a:ext uri="{FF2B5EF4-FFF2-40B4-BE49-F238E27FC236}">
              <a16:creationId xmlns:a16="http://schemas.microsoft.com/office/drawing/2014/main" id="{699A6139-984D-4B53-A423-51DAF354C10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7" name="Rectangle 292">
          <a:extLst>
            <a:ext uri="{FF2B5EF4-FFF2-40B4-BE49-F238E27FC236}">
              <a16:creationId xmlns:a16="http://schemas.microsoft.com/office/drawing/2014/main" id="{1556057D-E263-4F4E-8B29-F80D03294B0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8" name="Rectangle 293">
          <a:extLst>
            <a:ext uri="{FF2B5EF4-FFF2-40B4-BE49-F238E27FC236}">
              <a16:creationId xmlns:a16="http://schemas.microsoft.com/office/drawing/2014/main" id="{65899420-4B68-4B40-85A5-46A58D959C9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49" name="Rectangle 294">
          <a:extLst>
            <a:ext uri="{FF2B5EF4-FFF2-40B4-BE49-F238E27FC236}">
              <a16:creationId xmlns:a16="http://schemas.microsoft.com/office/drawing/2014/main" id="{3D0B204E-A0A4-408C-B641-FD8BA8F8905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250" name="Rectangle 295">
          <a:extLst>
            <a:ext uri="{FF2B5EF4-FFF2-40B4-BE49-F238E27FC236}">
              <a16:creationId xmlns:a16="http://schemas.microsoft.com/office/drawing/2014/main" id="{B0783A28-32C4-49CA-9C10-8E3C8309B700}"/>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1" name="Rectangle 296">
          <a:extLst>
            <a:ext uri="{FF2B5EF4-FFF2-40B4-BE49-F238E27FC236}">
              <a16:creationId xmlns:a16="http://schemas.microsoft.com/office/drawing/2014/main" id="{B8362716-10AD-47A4-A03A-5370EA4E9D8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2" name="Rectangle 297">
          <a:extLst>
            <a:ext uri="{FF2B5EF4-FFF2-40B4-BE49-F238E27FC236}">
              <a16:creationId xmlns:a16="http://schemas.microsoft.com/office/drawing/2014/main" id="{56E0FC6F-1388-4EB2-8549-190321FD26B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3" name="Rectangle 298">
          <a:extLst>
            <a:ext uri="{FF2B5EF4-FFF2-40B4-BE49-F238E27FC236}">
              <a16:creationId xmlns:a16="http://schemas.microsoft.com/office/drawing/2014/main" id="{64312505-E33C-4DA6-966C-F1370BD47A1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4" name="Rectangle 299">
          <a:extLst>
            <a:ext uri="{FF2B5EF4-FFF2-40B4-BE49-F238E27FC236}">
              <a16:creationId xmlns:a16="http://schemas.microsoft.com/office/drawing/2014/main" id="{F3AEA015-9769-4C97-9AB2-13DD5E093DE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5" name="Rectangle 300">
          <a:extLst>
            <a:ext uri="{FF2B5EF4-FFF2-40B4-BE49-F238E27FC236}">
              <a16:creationId xmlns:a16="http://schemas.microsoft.com/office/drawing/2014/main" id="{EC7BDEE9-E1D5-44A9-ABF9-869671C742A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6" name="Rectangle 301">
          <a:extLst>
            <a:ext uri="{FF2B5EF4-FFF2-40B4-BE49-F238E27FC236}">
              <a16:creationId xmlns:a16="http://schemas.microsoft.com/office/drawing/2014/main" id="{1EB3814A-B8A1-4707-A947-2FDAC792100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7" name="Rectangle 302">
          <a:extLst>
            <a:ext uri="{FF2B5EF4-FFF2-40B4-BE49-F238E27FC236}">
              <a16:creationId xmlns:a16="http://schemas.microsoft.com/office/drawing/2014/main" id="{9C2021BF-3BE4-4489-80EF-6678B68879D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8" name="Rectangle 303">
          <a:extLst>
            <a:ext uri="{FF2B5EF4-FFF2-40B4-BE49-F238E27FC236}">
              <a16:creationId xmlns:a16="http://schemas.microsoft.com/office/drawing/2014/main" id="{1F1F9389-C1AE-454F-A4D3-D4E91842D5F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59" name="Rectangle 304">
          <a:extLst>
            <a:ext uri="{FF2B5EF4-FFF2-40B4-BE49-F238E27FC236}">
              <a16:creationId xmlns:a16="http://schemas.microsoft.com/office/drawing/2014/main" id="{474938E9-A273-4332-BC82-A2741AC0494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0" name="Rectangle 305">
          <a:extLst>
            <a:ext uri="{FF2B5EF4-FFF2-40B4-BE49-F238E27FC236}">
              <a16:creationId xmlns:a16="http://schemas.microsoft.com/office/drawing/2014/main" id="{A4653B77-605F-4AE4-AEE5-F6D05F2DD35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1" name="Rectangle 306">
          <a:extLst>
            <a:ext uri="{FF2B5EF4-FFF2-40B4-BE49-F238E27FC236}">
              <a16:creationId xmlns:a16="http://schemas.microsoft.com/office/drawing/2014/main" id="{CA78C0FE-9CB6-4B8F-8AC5-46887B426F0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2" name="Rectangle 307">
          <a:extLst>
            <a:ext uri="{FF2B5EF4-FFF2-40B4-BE49-F238E27FC236}">
              <a16:creationId xmlns:a16="http://schemas.microsoft.com/office/drawing/2014/main" id="{5224E293-8E1C-478F-A846-842CA894244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3" name="Rectangle 308">
          <a:extLst>
            <a:ext uri="{FF2B5EF4-FFF2-40B4-BE49-F238E27FC236}">
              <a16:creationId xmlns:a16="http://schemas.microsoft.com/office/drawing/2014/main" id="{0028773A-7400-4777-AD7F-FC09F6A5E6C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4" name="Rectangle 309">
          <a:extLst>
            <a:ext uri="{FF2B5EF4-FFF2-40B4-BE49-F238E27FC236}">
              <a16:creationId xmlns:a16="http://schemas.microsoft.com/office/drawing/2014/main" id="{51E0B884-1D5A-48B1-A1C7-FC8B7D7FAAA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5" name="Rectangle 310">
          <a:extLst>
            <a:ext uri="{FF2B5EF4-FFF2-40B4-BE49-F238E27FC236}">
              <a16:creationId xmlns:a16="http://schemas.microsoft.com/office/drawing/2014/main" id="{BA93BC75-FFB0-4B56-A0DC-0E839C45588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6" name="Rectangle 311">
          <a:extLst>
            <a:ext uri="{FF2B5EF4-FFF2-40B4-BE49-F238E27FC236}">
              <a16:creationId xmlns:a16="http://schemas.microsoft.com/office/drawing/2014/main" id="{3B2F99B0-2011-4463-857F-132B4213E9B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7" name="Rectangle 312">
          <a:extLst>
            <a:ext uri="{FF2B5EF4-FFF2-40B4-BE49-F238E27FC236}">
              <a16:creationId xmlns:a16="http://schemas.microsoft.com/office/drawing/2014/main" id="{10DDE7AC-5DD9-4FD5-A1AF-BCCEB056325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8" name="Rectangle 313">
          <a:extLst>
            <a:ext uri="{FF2B5EF4-FFF2-40B4-BE49-F238E27FC236}">
              <a16:creationId xmlns:a16="http://schemas.microsoft.com/office/drawing/2014/main" id="{1EE588C8-A11E-4B65-8FD7-86439769002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69" name="Rectangle 314">
          <a:extLst>
            <a:ext uri="{FF2B5EF4-FFF2-40B4-BE49-F238E27FC236}">
              <a16:creationId xmlns:a16="http://schemas.microsoft.com/office/drawing/2014/main" id="{29467394-5423-4D0E-85FD-7B9C373C637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0" name="Rectangle 315">
          <a:extLst>
            <a:ext uri="{FF2B5EF4-FFF2-40B4-BE49-F238E27FC236}">
              <a16:creationId xmlns:a16="http://schemas.microsoft.com/office/drawing/2014/main" id="{365F2DAE-16D6-4B9F-93C7-E0D32C7E150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1" name="Rectangle 316">
          <a:extLst>
            <a:ext uri="{FF2B5EF4-FFF2-40B4-BE49-F238E27FC236}">
              <a16:creationId xmlns:a16="http://schemas.microsoft.com/office/drawing/2014/main" id="{5C8DC4C8-059A-4B0A-BD33-017C215EE1B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2" name="Rectangle 317">
          <a:extLst>
            <a:ext uri="{FF2B5EF4-FFF2-40B4-BE49-F238E27FC236}">
              <a16:creationId xmlns:a16="http://schemas.microsoft.com/office/drawing/2014/main" id="{457398C6-9C80-4676-9966-167197D982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3" name="Rectangle 318">
          <a:extLst>
            <a:ext uri="{FF2B5EF4-FFF2-40B4-BE49-F238E27FC236}">
              <a16:creationId xmlns:a16="http://schemas.microsoft.com/office/drawing/2014/main" id="{8A805CED-628B-48F5-BE7B-9BBE971067D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4" name="Rectangle 319">
          <a:extLst>
            <a:ext uri="{FF2B5EF4-FFF2-40B4-BE49-F238E27FC236}">
              <a16:creationId xmlns:a16="http://schemas.microsoft.com/office/drawing/2014/main" id="{ED8CEE3A-E2DC-49FE-BBA1-EF60C3A4256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275" name="Rectangle 320">
          <a:extLst>
            <a:ext uri="{FF2B5EF4-FFF2-40B4-BE49-F238E27FC236}">
              <a16:creationId xmlns:a16="http://schemas.microsoft.com/office/drawing/2014/main" id="{F3E15FFF-D69C-4932-B613-201F8E045BA7}"/>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6" name="Rectangle 321">
          <a:extLst>
            <a:ext uri="{FF2B5EF4-FFF2-40B4-BE49-F238E27FC236}">
              <a16:creationId xmlns:a16="http://schemas.microsoft.com/office/drawing/2014/main" id="{326B9B64-9953-4CCF-B41D-82FDE9AED85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7" name="Rectangle 322">
          <a:extLst>
            <a:ext uri="{FF2B5EF4-FFF2-40B4-BE49-F238E27FC236}">
              <a16:creationId xmlns:a16="http://schemas.microsoft.com/office/drawing/2014/main" id="{77D47724-6CE9-4EA6-BB29-3A1F5969B16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8" name="Rectangle 323">
          <a:extLst>
            <a:ext uri="{FF2B5EF4-FFF2-40B4-BE49-F238E27FC236}">
              <a16:creationId xmlns:a16="http://schemas.microsoft.com/office/drawing/2014/main" id="{C64B0103-09D8-44B5-8E61-7E5A33E9BAB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79" name="Rectangle 324">
          <a:extLst>
            <a:ext uri="{FF2B5EF4-FFF2-40B4-BE49-F238E27FC236}">
              <a16:creationId xmlns:a16="http://schemas.microsoft.com/office/drawing/2014/main" id="{01076F49-C81D-4667-B68A-F0D7FD87586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0" name="Rectangle 325">
          <a:extLst>
            <a:ext uri="{FF2B5EF4-FFF2-40B4-BE49-F238E27FC236}">
              <a16:creationId xmlns:a16="http://schemas.microsoft.com/office/drawing/2014/main" id="{23563ECE-5B77-4C57-A332-35E52423205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1" name="Rectangle 326">
          <a:extLst>
            <a:ext uri="{FF2B5EF4-FFF2-40B4-BE49-F238E27FC236}">
              <a16:creationId xmlns:a16="http://schemas.microsoft.com/office/drawing/2014/main" id="{FF55D023-90A0-4B0D-BFC5-9FE41DA71B9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2" name="Rectangle 327">
          <a:extLst>
            <a:ext uri="{FF2B5EF4-FFF2-40B4-BE49-F238E27FC236}">
              <a16:creationId xmlns:a16="http://schemas.microsoft.com/office/drawing/2014/main" id="{782D6062-C1E3-4D86-9B27-425F5BF6BEC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3" name="Rectangle 328">
          <a:extLst>
            <a:ext uri="{FF2B5EF4-FFF2-40B4-BE49-F238E27FC236}">
              <a16:creationId xmlns:a16="http://schemas.microsoft.com/office/drawing/2014/main" id="{B01B7D1F-280E-434D-A6B6-9005DB183AD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4" name="Rectangle 329">
          <a:extLst>
            <a:ext uri="{FF2B5EF4-FFF2-40B4-BE49-F238E27FC236}">
              <a16:creationId xmlns:a16="http://schemas.microsoft.com/office/drawing/2014/main" id="{4F69D402-4AE2-41F6-A8F3-50A59BC469E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5" name="Rectangle 330">
          <a:extLst>
            <a:ext uri="{FF2B5EF4-FFF2-40B4-BE49-F238E27FC236}">
              <a16:creationId xmlns:a16="http://schemas.microsoft.com/office/drawing/2014/main" id="{7E712144-76EA-4693-A568-3FB55C89F39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6" name="Rectangle 331">
          <a:extLst>
            <a:ext uri="{FF2B5EF4-FFF2-40B4-BE49-F238E27FC236}">
              <a16:creationId xmlns:a16="http://schemas.microsoft.com/office/drawing/2014/main" id="{CF6D3D61-C731-4414-808C-830289F71F9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7" name="Rectangle 332">
          <a:extLst>
            <a:ext uri="{FF2B5EF4-FFF2-40B4-BE49-F238E27FC236}">
              <a16:creationId xmlns:a16="http://schemas.microsoft.com/office/drawing/2014/main" id="{6F2E904E-2F45-4C02-8EC3-53A503252B0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8" name="Rectangle 333">
          <a:extLst>
            <a:ext uri="{FF2B5EF4-FFF2-40B4-BE49-F238E27FC236}">
              <a16:creationId xmlns:a16="http://schemas.microsoft.com/office/drawing/2014/main" id="{074384CA-46C3-4E8E-AE61-A3AE88D293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89" name="Rectangle 334">
          <a:extLst>
            <a:ext uri="{FF2B5EF4-FFF2-40B4-BE49-F238E27FC236}">
              <a16:creationId xmlns:a16="http://schemas.microsoft.com/office/drawing/2014/main" id="{952F43D6-6B14-41A0-A192-E666840DB21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0" name="Rectangle 335">
          <a:extLst>
            <a:ext uri="{FF2B5EF4-FFF2-40B4-BE49-F238E27FC236}">
              <a16:creationId xmlns:a16="http://schemas.microsoft.com/office/drawing/2014/main" id="{8CF82E37-5975-4D99-AA26-46B93E5E3A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1" name="Rectangle 336">
          <a:extLst>
            <a:ext uri="{FF2B5EF4-FFF2-40B4-BE49-F238E27FC236}">
              <a16:creationId xmlns:a16="http://schemas.microsoft.com/office/drawing/2014/main" id="{D62EFFA9-B3E8-4581-836A-5B55E22E06F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2" name="Rectangle 337">
          <a:extLst>
            <a:ext uri="{FF2B5EF4-FFF2-40B4-BE49-F238E27FC236}">
              <a16:creationId xmlns:a16="http://schemas.microsoft.com/office/drawing/2014/main" id="{77599C39-1BC0-49BF-904F-58CE992D883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3" name="Rectangle 338">
          <a:extLst>
            <a:ext uri="{FF2B5EF4-FFF2-40B4-BE49-F238E27FC236}">
              <a16:creationId xmlns:a16="http://schemas.microsoft.com/office/drawing/2014/main" id="{DD6C9D11-1CEA-46AA-A421-CE1C2B8159C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294" name="Rectangle 339">
          <a:extLst>
            <a:ext uri="{FF2B5EF4-FFF2-40B4-BE49-F238E27FC236}">
              <a16:creationId xmlns:a16="http://schemas.microsoft.com/office/drawing/2014/main" id="{B724CCDD-7DE0-40D7-9026-D0CA3AF4716D}"/>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5" name="Rectangle 340">
          <a:extLst>
            <a:ext uri="{FF2B5EF4-FFF2-40B4-BE49-F238E27FC236}">
              <a16:creationId xmlns:a16="http://schemas.microsoft.com/office/drawing/2014/main" id="{98212063-5657-456C-BC06-06C3C57B879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6" name="Rectangle 341">
          <a:extLst>
            <a:ext uri="{FF2B5EF4-FFF2-40B4-BE49-F238E27FC236}">
              <a16:creationId xmlns:a16="http://schemas.microsoft.com/office/drawing/2014/main" id="{5C4BEB21-54D7-48E6-BCBD-E3DE80AA1EE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7" name="Rectangle 342">
          <a:extLst>
            <a:ext uri="{FF2B5EF4-FFF2-40B4-BE49-F238E27FC236}">
              <a16:creationId xmlns:a16="http://schemas.microsoft.com/office/drawing/2014/main" id="{46F173DB-6E99-4F4E-9728-38BD8DAD7E8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8" name="Rectangle 343">
          <a:extLst>
            <a:ext uri="{FF2B5EF4-FFF2-40B4-BE49-F238E27FC236}">
              <a16:creationId xmlns:a16="http://schemas.microsoft.com/office/drawing/2014/main" id="{91B20836-B840-4D9B-AA01-3A92CA8A3C4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299" name="Rectangle 344">
          <a:extLst>
            <a:ext uri="{FF2B5EF4-FFF2-40B4-BE49-F238E27FC236}">
              <a16:creationId xmlns:a16="http://schemas.microsoft.com/office/drawing/2014/main" id="{0E65FA75-CFE4-42BB-B9C3-665BA5755C7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0" name="Rectangle 345">
          <a:extLst>
            <a:ext uri="{FF2B5EF4-FFF2-40B4-BE49-F238E27FC236}">
              <a16:creationId xmlns:a16="http://schemas.microsoft.com/office/drawing/2014/main" id="{C93FC180-F8FD-44B7-9E26-3C2CB354051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301" name="Rectangle 346">
          <a:extLst>
            <a:ext uri="{FF2B5EF4-FFF2-40B4-BE49-F238E27FC236}">
              <a16:creationId xmlns:a16="http://schemas.microsoft.com/office/drawing/2014/main" id="{277822BF-9C8B-4C80-BD9A-83ED02F405C6}"/>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2" name="Rectangle 347">
          <a:extLst>
            <a:ext uri="{FF2B5EF4-FFF2-40B4-BE49-F238E27FC236}">
              <a16:creationId xmlns:a16="http://schemas.microsoft.com/office/drawing/2014/main" id="{1F6737B3-D2F7-4F96-BDC4-B6F717D39D4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3" name="Rectangle 348">
          <a:extLst>
            <a:ext uri="{FF2B5EF4-FFF2-40B4-BE49-F238E27FC236}">
              <a16:creationId xmlns:a16="http://schemas.microsoft.com/office/drawing/2014/main" id="{B1345549-B03C-4A67-B968-52F4B586353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4" name="Rectangle 349">
          <a:extLst>
            <a:ext uri="{FF2B5EF4-FFF2-40B4-BE49-F238E27FC236}">
              <a16:creationId xmlns:a16="http://schemas.microsoft.com/office/drawing/2014/main" id="{0037E0CC-9200-429A-95FC-1EA42C4C93C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5" name="Rectangle 350">
          <a:extLst>
            <a:ext uri="{FF2B5EF4-FFF2-40B4-BE49-F238E27FC236}">
              <a16:creationId xmlns:a16="http://schemas.microsoft.com/office/drawing/2014/main" id="{BD2400A5-52A8-47FB-8DD2-3154DA44861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6" name="Rectangle 351">
          <a:extLst>
            <a:ext uri="{FF2B5EF4-FFF2-40B4-BE49-F238E27FC236}">
              <a16:creationId xmlns:a16="http://schemas.microsoft.com/office/drawing/2014/main" id="{794C71A7-B784-4BEC-BE3D-B2ED22E4474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7" name="Rectangle 352">
          <a:extLst>
            <a:ext uri="{FF2B5EF4-FFF2-40B4-BE49-F238E27FC236}">
              <a16:creationId xmlns:a16="http://schemas.microsoft.com/office/drawing/2014/main" id="{3BDAFEF3-AEA0-49A3-ABE1-FB7D06F7F63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8" name="Rectangle 353">
          <a:extLst>
            <a:ext uri="{FF2B5EF4-FFF2-40B4-BE49-F238E27FC236}">
              <a16:creationId xmlns:a16="http://schemas.microsoft.com/office/drawing/2014/main" id="{07FD3DC0-0FE0-40FA-931E-79A6A00F15E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09" name="Rectangle 354">
          <a:extLst>
            <a:ext uri="{FF2B5EF4-FFF2-40B4-BE49-F238E27FC236}">
              <a16:creationId xmlns:a16="http://schemas.microsoft.com/office/drawing/2014/main" id="{FEF06F0C-8351-42B4-8B05-A0D5CFA2C33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0" name="Rectangle 355">
          <a:extLst>
            <a:ext uri="{FF2B5EF4-FFF2-40B4-BE49-F238E27FC236}">
              <a16:creationId xmlns:a16="http://schemas.microsoft.com/office/drawing/2014/main" id="{F0D65AD6-7A2E-4389-B645-CCD152370EF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1" name="Rectangle 356">
          <a:extLst>
            <a:ext uri="{FF2B5EF4-FFF2-40B4-BE49-F238E27FC236}">
              <a16:creationId xmlns:a16="http://schemas.microsoft.com/office/drawing/2014/main" id="{4FEDBCC5-3955-4164-B94E-45D6ED9F315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2" name="Rectangle 357">
          <a:extLst>
            <a:ext uri="{FF2B5EF4-FFF2-40B4-BE49-F238E27FC236}">
              <a16:creationId xmlns:a16="http://schemas.microsoft.com/office/drawing/2014/main" id="{0129C68E-B7AC-43AF-8C37-F13249C187F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3" name="Rectangle 358">
          <a:extLst>
            <a:ext uri="{FF2B5EF4-FFF2-40B4-BE49-F238E27FC236}">
              <a16:creationId xmlns:a16="http://schemas.microsoft.com/office/drawing/2014/main" id="{0641FA31-0503-4A49-9DA5-4445B97CD04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4" name="Rectangle 359">
          <a:extLst>
            <a:ext uri="{FF2B5EF4-FFF2-40B4-BE49-F238E27FC236}">
              <a16:creationId xmlns:a16="http://schemas.microsoft.com/office/drawing/2014/main" id="{571DD55F-203D-4699-9C83-29784B3E6F8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5" name="Rectangle 360">
          <a:extLst>
            <a:ext uri="{FF2B5EF4-FFF2-40B4-BE49-F238E27FC236}">
              <a16:creationId xmlns:a16="http://schemas.microsoft.com/office/drawing/2014/main" id="{319AC6FC-7AC9-4C75-BD28-302C7BEDAA2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6" name="Rectangle 361">
          <a:extLst>
            <a:ext uri="{FF2B5EF4-FFF2-40B4-BE49-F238E27FC236}">
              <a16:creationId xmlns:a16="http://schemas.microsoft.com/office/drawing/2014/main" id="{CEFB37E9-AB57-4272-B6C1-7DC0C9B3596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7" name="Rectangle 362">
          <a:extLst>
            <a:ext uri="{FF2B5EF4-FFF2-40B4-BE49-F238E27FC236}">
              <a16:creationId xmlns:a16="http://schemas.microsoft.com/office/drawing/2014/main" id="{B7A11D3A-74C3-4E34-9691-9ABE63480E2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8" name="Rectangle 363">
          <a:extLst>
            <a:ext uri="{FF2B5EF4-FFF2-40B4-BE49-F238E27FC236}">
              <a16:creationId xmlns:a16="http://schemas.microsoft.com/office/drawing/2014/main" id="{DFD647FC-8786-49A6-B297-BA4DDB26877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19" name="Rectangle 364">
          <a:extLst>
            <a:ext uri="{FF2B5EF4-FFF2-40B4-BE49-F238E27FC236}">
              <a16:creationId xmlns:a16="http://schemas.microsoft.com/office/drawing/2014/main" id="{288E730A-8845-4377-924C-9B855D71BE4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320" name="Rectangle 365">
          <a:extLst>
            <a:ext uri="{FF2B5EF4-FFF2-40B4-BE49-F238E27FC236}">
              <a16:creationId xmlns:a16="http://schemas.microsoft.com/office/drawing/2014/main" id="{86796665-AE1F-450F-843B-1B6CBF150667}"/>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1" name="Rectangle 366">
          <a:extLst>
            <a:ext uri="{FF2B5EF4-FFF2-40B4-BE49-F238E27FC236}">
              <a16:creationId xmlns:a16="http://schemas.microsoft.com/office/drawing/2014/main" id="{17A3B27D-4BE5-4360-B682-9EF48EDC25E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2" name="Rectangle 367">
          <a:extLst>
            <a:ext uri="{FF2B5EF4-FFF2-40B4-BE49-F238E27FC236}">
              <a16:creationId xmlns:a16="http://schemas.microsoft.com/office/drawing/2014/main" id="{4D75FB30-FBD0-46F4-893E-8872352A971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3" name="Rectangle 368">
          <a:extLst>
            <a:ext uri="{FF2B5EF4-FFF2-40B4-BE49-F238E27FC236}">
              <a16:creationId xmlns:a16="http://schemas.microsoft.com/office/drawing/2014/main" id="{DB5F9F8F-B5AC-4838-84D0-10568B17EAC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4" name="Rectangle 369">
          <a:extLst>
            <a:ext uri="{FF2B5EF4-FFF2-40B4-BE49-F238E27FC236}">
              <a16:creationId xmlns:a16="http://schemas.microsoft.com/office/drawing/2014/main" id="{BEB84BC5-EA69-4E0A-A87A-043382EC5F1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5" name="Rectangle 370">
          <a:extLst>
            <a:ext uri="{FF2B5EF4-FFF2-40B4-BE49-F238E27FC236}">
              <a16:creationId xmlns:a16="http://schemas.microsoft.com/office/drawing/2014/main" id="{426EACA3-650D-436B-B77F-0F7C384DBB6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6" name="Rectangle 371">
          <a:extLst>
            <a:ext uri="{FF2B5EF4-FFF2-40B4-BE49-F238E27FC236}">
              <a16:creationId xmlns:a16="http://schemas.microsoft.com/office/drawing/2014/main" id="{17682815-E85A-4AE4-A58D-B68BFC4948D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7" name="Rectangle 372">
          <a:extLst>
            <a:ext uri="{FF2B5EF4-FFF2-40B4-BE49-F238E27FC236}">
              <a16:creationId xmlns:a16="http://schemas.microsoft.com/office/drawing/2014/main" id="{FDAE53C4-E579-4F6B-AB83-253E3194768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8" name="Rectangle 373">
          <a:extLst>
            <a:ext uri="{FF2B5EF4-FFF2-40B4-BE49-F238E27FC236}">
              <a16:creationId xmlns:a16="http://schemas.microsoft.com/office/drawing/2014/main" id="{3F5A1832-EFF4-4A45-B724-4CADC098A2C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29" name="Rectangle 374">
          <a:extLst>
            <a:ext uri="{FF2B5EF4-FFF2-40B4-BE49-F238E27FC236}">
              <a16:creationId xmlns:a16="http://schemas.microsoft.com/office/drawing/2014/main" id="{19BE2A2E-37B7-4C83-AFEE-19262E6CD5B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0" name="Rectangle 375">
          <a:extLst>
            <a:ext uri="{FF2B5EF4-FFF2-40B4-BE49-F238E27FC236}">
              <a16:creationId xmlns:a16="http://schemas.microsoft.com/office/drawing/2014/main" id="{01702916-C563-4CBE-BCB7-504E2F9B913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1" name="Rectangle 376">
          <a:extLst>
            <a:ext uri="{FF2B5EF4-FFF2-40B4-BE49-F238E27FC236}">
              <a16:creationId xmlns:a16="http://schemas.microsoft.com/office/drawing/2014/main" id="{E0B7C94F-262E-4E3E-9D55-057DD8902CB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2" name="Rectangle 377">
          <a:extLst>
            <a:ext uri="{FF2B5EF4-FFF2-40B4-BE49-F238E27FC236}">
              <a16:creationId xmlns:a16="http://schemas.microsoft.com/office/drawing/2014/main" id="{ED9248F0-CE20-4F9C-8766-0F50FAE9BFE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333" name="Rectangle 378">
          <a:extLst>
            <a:ext uri="{FF2B5EF4-FFF2-40B4-BE49-F238E27FC236}">
              <a16:creationId xmlns:a16="http://schemas.microsoft.com/office/drawing/2014/main" id="{EC792872-81B8-49EE-BA0E-0976D0788E32}"/>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4" name="Rectangle 379">
          <a:extLst>
            <a:ext uri="{FF2B5EF4-FFF2-40B4-BE49-F238E27FC236}">
              <a16:creationId xmlns:a16="http://schemas.microsoft.com/office/drawing/2014/main" id="{6FB2A9E3-7643-43A0-91D5-C38F576C5EE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5" name="Rectangle 380">
          <a:extLst>
            <a:ext uri="{FF2B5EF4-FFF2-40B4-BE49-F238E27FC236}">
              <a16:creationId xmlns:a16="http://schemas.microsoft.com/office/drawing/2014/main" id="{94884DE0-726D-40DC-ACEF-39692ABB930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6" name="Rectangle 381">
          <a:extLst>
            <a:ext uri="{FF2B5EF4-FFF2-40B4-BE49-F238E27FC236}">
              <a16:creationId xmlns:a16="http://schemas.microsoft.com/office/drawing/2014/main" id="{FF0160C7-DAA8-4088-8990-962FA9D18F6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7" name="Rectangle 382">
          <a:extLst>
            <a:ext uri="{FF2B5EF4-FFF2-40B4-BE49-F238E27FC236}">
              <a16:creationId xmlns:a16="http://schemas.microsoft.com/office/drawing/2014/main" id="{5D237160-A1E2-4784-8AD1-CEE3D28220A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8" name="Rectangle 383">
          <a:extLst>
            <a:ext uri="{FF2B5EF4-FFF2-40B4-BE49-F238E27FC236}">
              <a16:creationId xmlns:a16="http://schemas.microsoft.com/office/drawing/2014/main" id="{7165C62C-E74C-40FA-9B3F-86169782125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39" name="Rectangle 384">
          <a:extLst>
            <a:ext uri="{FF2B5EF4-FFF2-40B4-BE49-F238E27FC236}">
              <a16:creationId xmlns:a16="http://schemas.microsoft.com/office/drawing/2014/main" id="{D324FFB5-BB07-4299-9F3C-E05890FB052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0" name="Rectangle 385">
          <a:extLst>
            <a:ext uri="{FF2B5EF4-FFF2-40B4-BE49-F238E27FC236}">
              <a16:creationId xmlns:a16="http://schemas.microsoft.com/office/drawing/2014/main" id="{8D639A38-BFEE-44F1-A805-8EE315DAE65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1" name="Rectangle 386">
          <a:extLst>
            <a:ext uri="{FF2B5EF4-FFF2-40B4-BE49-F238E27FC236}">
              <a16:creationId xmlns:a16="http://schemas.microsoft.com/office/drawing/2014/main" id="{09FFD1BB-2E4F-430C-80BC-9E4C7A928DE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2" name="Rectangle 387">
          <a:extLst>
            <a:ext uri="{FF2B5EF4-FFF2-40B4-BE49-F238E27FC236}">
              <a16:creationId xmlns:a16="http://schemas.microsoft.com/office/drawing/2014/main" id="{AB0F749C-58A7-45A3-A6AB-A52C13F2225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3" name="Rectangle 388">
          <a:extLst>
            <a:ext uri="{FF2B5EF4-FFF2-40B4-BE49-F238E27FC236}">
              <a16:creationId xmlns:a16="http://schemas.microsoft.com/office/drawing/2014/main" id="{4E3C133B-67BD-430F-AB8A-4528424555F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4" name="Rectangle 389">
          <a:extLst>
            <a:ext uri="{FF2B5EF4-FFF2-40B4-BE49-F238E27FC236}">
              <a16:creationId xmlns:a16="http://schemas.microsoft.com/office/drawing/2014/main" id="{268A4F5E-1259-4084-8015-21EEF826FA1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5" name="Rectangle 390">
          <a:extLst>
            <a:ext uri="{FF2B5EF4-FFF2-40B4-BE49-F238E27FC236}">
              <a16:creationId xmlns:a16="http://schemas.microsoft.com/office/drawing/2014/main" id="{3D2FDEE3-A322-408E-AB64-7AF4F1681EC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6" name="Rectangle 391">
          <a:extLst>
            <a:ext uri="{FF2B5EF4-FFF2-40B4-BE49-F238E27FC236}">
              <a16:creationId xmlns:a16="http://schemas.microsoft.com/office/drawing/2014/main" id="{C326D940-AA3F-43CB-87E3-3143320B928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7" name="Rectangle 392">
          <a:extLst>
            <a:ext uri="{FF2B5EF4-FFF2-40B4-BE49-F238E27FC236}">
              <a16:creationId xmlns:a16="http://schemas.microsoft.com/office/drawing/2014/main" id="{01E590C2-7B05-43A7-B005-DBBDF65EA77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8" name="Rectangle 393">
          <a:extLst>
            <a:ext uri="{FF2B5EF4-FFF2-40B4-BE49-F238E27FC236}">
              <a16:creationId xmlns:a16="http://schemas.microsoft.com/office/drawing/2014/main" id="{C819FAF9-621C-454D-BA20-642CF5F313B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49" name="Rectangle 394">
          <a:extLst>
            <a:ext uri="{FF2B5EF4-FFF2-40B4-BE49-F238E27FC236}">
              <a16:creationId xmlns:a16="http://schemas.microsoft.com/office/drawing/2014/main" id="{692658A1-D5DD-4A66-8928-5B3F8D0F92A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0" name="Rectangle 395">
          <a:extLst>
            <a:ext uri="{FF2B5EF4-FFF2-40B4-BE49-F238E27FC236}">
              <a16:creationId xmlns:a16="http://schemas.microsoft.com/office/drawing/2014/main" id="{05C84517-0ECB-4A9B-9909-3D6462EA86F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1" name="Rectangle 396">
          <a:extLst>
            <a:ext uri="{FF2B5EF4-FFF2-40B4-BE49-F238E27FC236}">
              <a16:creationId xmlns:a16="http://schemas.microsoft.com/office/drawing/2014/main" id="{C14EB0AC-5997-4EA2-B83F-9758D51F38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352" name="Rectangle 397">
          <a:extLst>
            <a:ext uri="{FF2B5EF4-FFF2-40B4-BE49-F238E27FC236}">
              <a16:creationId xmlns:a16="http://schemas.microsoft.com/office/drawing/2014/main" id="{DB06079E-F3CB-497C-880D-73791A11BAD8}"/>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3" name="Rectangle 398">
          <a:extLst>
            <a:ext uri="{FF2B5EF4-FFF2-40B4-BE49-F238E27FC236}">
              <a16:creationId xmlns:a16="http://schemas.microsoft.com/office/drawing/2014/main" id="{0972F93A-3CC6-413A-82D9-A54FCDD1097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4" name="Rectangle 399">
          <a:extLst>
            <a:ext uri="{FF2B5EF4-FFF2-40B4-BE49-F238E27FC236}">
              <a16:creationId xmlns:a16="http://schemas.microsoft.com/office/drawing/2014/main" id="{C3022312-42F6-44F2-8B1A-B0DE3AE7442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5" name="Rectangle 400">
          <a:extLst>
            <a:ext uri="{FF2B5EF4-FFF2-40B4-BE49-F238E27FC236}">
              <a16:creationId xmlns:a16="http://schemas.microsoft.com/office/drawing/2014/main" id="{AD0E5396-E095-499D-97D8-C6F9762601C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6" name="Rectangle 401">
          <a:extLst>
            <a:ext uri="{FF2B5EF4-FFF2-40B4-BE49-F238E27FC236}">
              <a16:creationId xmlns:a16="http://schemas.microsoft.com/office/drawing/2014/main" id="{C6B1734B-0F08-439F-9B51-B18EC222CB6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7" name="Rectangle 402">
          <a:extLst>
            <a:ext uri="{FF2B5EF4-FFF2-40B4-BE49-F238E27FC236}">
              <a16:creationId xmlns:a16="http://schemas.microsoft.com/office/drawing/2014/main" id="{A9C1D43C-13AD-4038-8ADF-CA5347A6FEE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8" name="Rectangle 403">
          <a:extLst>
            <a:ext uri="{FF2B5EF4-FFF2-40B4-BE49-F238E27FC236}">
              <a16:creationId xmlns:a16="http://schemas.microsoft.com/office/drawing/2014/main" id="{E1852D19-4E67-4D9B-9C55-50A084D6B1A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59" name="Rectangle 404">
          <a:extLst>
            <a:ext uri="{FF2B5EF4-FFF2-40B4-BE49-F238E27FC236}">
              <a16:creationId xmlns:a16="http://schemas.microsoft.com/office/drawing/2014/main" id="{28A8C4AD-87E3-4785-977D-1FD6EC9BAF1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0" name="Rectangle 405">
          <a:extLst>
            <a:ext uri="{FF2B5EF4-FFF2-40B4-BE49-F238E27FC236}">
              <a16:creationId xmlns:a16="http://schemas.microsoft.com/office/drawing/2014/main" id="{934A34CA-35D3-4CBE-9FCA-D0B58120C88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1" name="Rectangle 406">
          <a:extLst>
            <a:ext uri="{FF2B5EF4-FFF2-40B4-BE49-F238E27FC236}">
              <a16:creationId xmlns:a16="http://schemas.microsoft.com/office/drawing/2014/main" id="{E47ED7CA-8FC9-401C-9D39-33C5B20F28E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2" name="Rectangle 407">
          <a:extLst>
            <a:ext uri="{FF2B5EF4-FFF2-40B4-BE49-F238E27FC236}">
              <a16:creationId xmlns:a16="http://schemas.microsoft.com/office/drawing/2014/main" id="{AC0BF5F7-304E-45A3-91E4-AB5A355FB16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3" name="Rectangle 408">
          <a:extLst>
            <a:ext uri="{FF2B5EF4-FFF2-40B4-BE49-F238E27FC236}">
              <a16:creationId xmlns:a16="http://schemas.microsoft.com/office/drawing/2014/main" id="{6E0C59AC-DA37-43B1-B481-483B3C0DCB6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4" name="Rectangle 409">
          <a:extLst>
            <a:ext uri="{FF2B5EF4-FFF2-40B4-BE49-F238E27FC236}">
              <a16:creationId xmlns:a16="http://schemas.microsoft.com/office/drawing/2014/main" id="{930F93E9-91E0-430C-A91E-117439E768E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5" name="Rectangle 410">
          <a:extLst>
            <a:ext uri="{FF2B5EF4-FFF2-40B4-BE49-F238E27FC236}">
              <a16:creationId xmlns:a16="http://schemas.microsoft.com/office/drawing/2014/main" id="{15767278-ECFF-4D05-92B4-291C1E44DB0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6" name="Rectangle 411">
          <a:extLst>
            <a:ext uri="{FF2B5EF4-FFF2-40B4-BE49-F238E27FC236}">
              <a16:creationId xmlns:a16="http://schemas.microsoft.com/office/drawing/2014/main" id="{9B5BC05B-BB86-470C-8562-B661CE29AD3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7" name="Rectangle 412">
          <a:extLst>
            <a:ext uri="{FF2B5EF4-FFF2-40B4-BE49-F238E27FC236}">
              <a16:creationId xmlns:a16="http://schemas.microsoft.com/office/drawing/2014/main" id="{24883766-81A6-4CA6-80A3-FC85151E849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8" name="Rectangle 413">
          <a:extLst>
            <a:ext uri="{FF2B5EF4-FFF2-40B4-BE49-F238E27FC236}">
              <a16:creationId xmlns:a16="http://schemas.microsoft.com/office/drawing/2014/main" id="{D8C3A70D-54F6-4C4D-9FEE-C667380C473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69" name="Rectangle 414">
          <a:extLst>
            <a:ext uri="{FF2B5EF4-FFF2-40B4-BE49-F238E27FC236}">
              <a16:creationId xmlns:a16="http://schemas.microsoft.com/office/drawing/2014/main" id="{AC386640-5E6C-4F79-B94E-F14DBFD73EA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0" name="Rectangle 415">
          <a:extLst>
            <a:ext uri="{FF2B5EF4-FFF2-40B4-BE49-F238E27FC236}">
              <a16:creationId xmlns:a16="http://schemas.microsoft.com/office/drawing/2014/main" id="{4BFD7427-9E0B-455D-B9F5-39369FD3A46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1" name="Rectangle 416">
          <a:extLst>
            <a:ext uri="{FF2B5EF4-FFF2-40B4-BE49-F238E27FC236}">
              <a16:creationId xmlns:a16="http://schemas.microsoft.com/office/drawing/2014/main" id="{5BCCF8CD-BE99-41B4-9055-840C0575439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2" name="Rectangle 417">
          <a:extLst>
            <a:ext uri="{FF2B5EF4-FFF2-40B4-BE49-F238E27FC236}">
              <a16:creationId xmlns:a16="http://schemas.microsoft.com/office/drawing/2014/main" id="{C913067E-9C48-4319-A375-648A90716B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3" name="Rectangle 418">
          <a:extLst>
            <a:ext uri="{FF2B5EF4-FFF2-40B4-BE49-F238E27FC236}">
              <a16:creationId xmlns:a16="http://schemas.microsoft.com/office/drawing/2014/main" id="{F0683877-2614-48B2-91EF-7106A8591FA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4" name="Rectangle 419">
          <a:extLst>
            <a:ext uri="{FF2B5EF4-FFF2-40B4-BE49-F238E27FC236}">
              <a16:creationId xmlns:a16="http://schemas.microsoft.com/office/drawing/2014/main" id="{1CFA47B5-7810-4391-8443-376BFEFE4C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5" name="Rectangle 420">
          <a:extLst>
            <a:ext uri="{FF2B5EF4-FFF2-40B4-BE49-F238E27FC236}">
              <a16:creationId xmlns:a16="http://schemas.microsoft.com/office/drawing/2014/main" id="{511F4ECF-761C-45B2-8DC3-95E3E17AC8F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6" name="Rectangle 421">
          <a:extLst>
            <a:ext uri="{FF2B5EF4-FFF2-40B4-BE49-F238E27FC236}">
              <a16:creationId xmlns:a16="http://schemas.microsoft.com/office/drawing/2014/main" id="{F5184BE0-29A5-4686-9D9B-171C5E8EE4C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377" name="Rectangle 422">
          <a:extLst>
            <a:ext uri="{FF2B5EF4-FFF2-40B4-BE49-F238E27FC236}">
              <a16:creationId xmlns:a16="http://schemas.microsoft.com/office/drawing/2014/main" id="{AFC68BE5-A874-49F4-A112-79BB8D19C4A0}"/>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8" name="Rectangle 423">
          <a:extLst>
            <a:ext uri="{FF2B5EF4-FFF2-40B4-BE49-F238E27FC236}">
              <a16:creationId xmlns:a16="http://schemas.microsoft.com/office/drawing/2014/main" id="{16FF77B1-B6F2-4A89-BFF3-77B6CDF8111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79" name="Rectangle 424">
          <a:extLst>
            <a:ext uri="{FF2B5EF4-FFF2-40B4-BE49-F238E27FC236}">
              <a16:creationId xmlns:a16="http://schemas.microsoft.com/office/drawing/2014/main" id="{2488DF48-EE75-46E6-B64F-83D818372A0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0" name="Rectangle 425">
          <a:extLst>
            <a:ext uri="{FF2B5EF4-FFF2-40B4-BE49-F238E27FC236}">
              <a16:creationId xmlns:a16="http://schemas.microsoft.com/office/drawing/2014/main" id="{6697C96E-618A-4EA8-986A-D22EDA898BD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1" name="Rectangle 426">
          <a:extLst>
            <a:ext uri="{FF2B5EF4-FFF2-40B4-BE49-F238E27FC236}">
              <a16:creationId xmlns:a16="http://schemas.microsoft.com/office/drawing/2014/main" id="{79534A40-7AF8-40AD-BCA7-0F8CF4E4632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2" name="Rectangle 427">
          <a:extLst>
            <a:ext uri="{FF2B5EF4-FFF2-40B4-BE49-F238E27FC236}">
              <a16:creationId xmlns:a16="http://schemas.microsoft.com/office/drawing/2014/main" id="{9E18C236-1079-4477-8D52-8DE7079D26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3" name="Rectangle 428">
          <a:extLst>
            <a:ext uri="{FF2B5EF4-FFF2-40B4-BE49-F238E27FC236}">
              <a16:creationId xmlns:a16="http://schemas.microsoft.com/office/drawing/2014/main" id="{02E512AD-C905-4870-8840-8A7ED3D4074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4" name="Rectangle 429">
          <a:extLst>
            <a:ext uri="{FF2B5EF4-FFF2-40B4-BE49-F238E27FC236}">
              <a16:creationId xmlns:a16="http://schemas.microsoft.com/office/drawing/2014/main" id="{D8E10962-4A08-44D7-A9F1-C9AA911C086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5" name="Rectangle 430">
          <a:extLst>
            <a:ext uri="{FF2B5EF4-FFF2-40B4-BE49-F238E27FC236}">
              <a16:creationId xmlns:a16="http://schemas.microsoft.com/office/drawing/2014/main" id="{778E11BE-8609-49AD-9D79-0A5A6DEBBDC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6" name="Rectangle 431">
          <a:extLst>
            <a:ext uri="{FF2B5EF4-FFF2-40B4-BE49-F238E27FC236}">
              <a16:creationId xmlns:a16="http://schemas.microsoft.com/office/drawing/2014/main" id="{9F89AE18-1D6A-4543-825A-5F053AE8858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7" name="Rectangle 432">
          <a:extLst>
            <a:ext uri="{FF2B5EF4-FFF2-40B4-BE49-F238E27FC236}">
              <a16:creationId xmlns:a16="http://schemas.microsoft.com/office/drawing/2014/main" id="{DB750293-C455-4578-8244-336DC284F83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8" name="Rectangle 433">
          <a:extLst>
            <a:ext uri="{FF2B5EF4-FFF2-40B4-BE49-F238E27FC236}">
              <a16:creationId xmlns:a16="http://schemas.microsoft.com/office/drawing/2014/main" id="{45F3705A-7C79-42B3-B772-F96BC8B7B3E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89" name="Rectangle 434">
          <a:extLst>
            <a:ext uri="{FF2B5EF4-FFF2-40B4-BE49-F238E27FC236}">
              <a16:creationId xmlns:a16="http://schemas.microsoft.com/office/drawing/2014/main" id="{9D5BC81B-8BF7-47FF-8681-DEA93F4BD7F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0" name="Rectangle 435">
          <a:extLst>
            <a:ext uri="{FF2B5EF4-FFF2-40B4-BE49-F238E27FC236}">
              <a16:creationId xmlns:a16="http://schemas.microsoft.com/office/drawing/2014/main" id="{E6F7C39B-702C-4060-A838-9F2A84D5EA2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1" name="Rectangle 436">
          <a:extLst>
            <a:ext uri="{FF2B5EF4-FFF2-40B4-BE49-F238E27FC236}">
              <a16:creationId xmlns:a16="http://schemas.microsoft.com/office/drawing/2014/main" id="{8ECC71D7-28FB-40F2-B980-DC6903BCA79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2" name="Rectangle 437">
          <a:extLst>
            <a:ext uri="{FF2B5EF4-FFF2-40B4-BE49-F238E27FC236}">
              <a16:creationId xmlns:a16="http://schemas.microsoft.com/office/drawing/2014/main" id="{AA0B08E0-9DCB-49CF-BAB3-B3620FC7E61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3" name="Rectangle 438">
          <a:extLst>
            <a:ext uri="{FF2B5EF4-FFF2-40B4-BE49-F238E27FC236}">
              <a16:creationId xmlns:a16="http://schemas.microsoft.com/office/drawing/2014/main" id="{C0A5C956-F5E7-4689-84F2-DDF9BAA1C8C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4" name="Rectangle 439">
          <a:extLst>
            <a:ext uri="{FF2B5EF4-FFF2-40B4-BE49-F238E27FC236}">
              <a16:creationId xmlns:a16="http://schemas.microsoft.com/office/drawing/2014/main" id="{D8B3E565-ABDD-4B5E-800F-A33AEA78FA1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5" name="Rectangle 440">
          <a:extLst>
            <a:ext uri="{FF2B5EF4-FFF2-40B4-BE49-F238E27FC236}">
              <a16:creationId xmlns:a16="http://schemas.microsoft.com/office/drawing/2014/main" id="{592471CD-9A72-4161-A6F6-085541B5FD2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6" name="Rectangle 441">
          <a:extLst>
            <a:ext uri="{FF2B5EF4-FFF2-40B4-BE49-F238E27FC236}">
              <a16:creationId xmlns:a16="http://schemas.microsoft.com/office/drawing/2014/main" id="{1F59F78B-1937-433F-81FF-69C9B9D39AC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7" name="Rectangle 442">
          <a:extLst>
            <a:ext uri="{FF2B5EF4-FFF2-40B4-BE49-F238E27FC236}">
              <a16:creationId xmlns:a16="http://schemas.microsoft.com/office/drawing/2014/main" id="{EE128982-AEA4-4E53-B2FB-E7FFC3DD6BD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8" name="Rectangle 443">
          <a:extLst>
            <a:ext uri="{FF2B5EF4-FFF2-40B4-BE49-F238E27FC236}">
              <a16:creationId xmlns:a16="http://schemas.microsoft.com/office/drawing/2014/main" id="{9524D401-5AFD-4AA1-B2C2-C9AB11562A9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399" name="Rectangle 444">
          <a:extLst>
            <a:ext uri="{FF2B5EF4-FFF2-40B4-BE49-F238E27FC236}">
              <a16:creationId xmlns:a16="http://schemas.microsoft.com/office/drawing/2014/main" id="{CB349FA1-2B31-4F7C-B0DE-51D52B0FB51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0" name="Rectangle 445">
          <a:extLst>
            <a:ext uri="{FF2B5EF4-FFF2-40B4-BE49-F238E27FC236}">
              <a16:creationId xmlns:a16="http://schemas.microsoft.com/office/drawing/2014/main" id="{AEE355A7-FE6C-4AAB-A0FD-354C05BC018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1" name="Rectangle 446">
          <a:extLst>
            <a:ext uri="{FF2B5EF4-FFF2-40B4-BE49-F238E27FC236}">
              <a16:creationId xmlns:a16="http://schemas.microsoft.com/office/drawing/2014/main" id="{F9A5827D-28CB-48A2-A29D-2E3FFCD0160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2" name="Rectangle 447">
          <a:extLst>
            <a:ext uri="{FF2B5EF4-FFF2-40B4-BE49-F238E27FC236}">
              <a16:creationId xmlns:a16="http://schemas.microsoft.com/office/drawing/2014/main" id="{7643E47D-B17B-4F57-B626-6280F88B59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3" name="Rectangle 448">
          <a:extLst>
            <a:ext uri="{FF2B5EF4-FFF2-40B4-BE49-F238E27FC236}">
              <a16:creationId xmlns:a16="http://schemas.microsoft.com/office/drawing/2014/main" id="{F8028CA2-AE05-4898-9A06-20E6C646FE9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4" name="Rectangle 449">
          <a:extLst>
            <a:ext uri="{FF2B5EF4-FFF2-40B4-BE49-F238E27FC236}">
              <a16:creationId xmlns:a16="http://schemas.microsoft.com/office/drawing/2014/main" id="{D04F363B-0B44-4998-88EA-50538745213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5" name="Rectangle 450">
          <a:extLst>
            <a:ext uri="{FF2B5EF4-FFF2-40B4-BE49-F238E27FC236}">
              <a16:creationId xmlns:a16="http://schemas.microsoft.com/office/drawing/2014/main" id="{20DEA75F-52AA-4811-8175-4874330F28F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6" name="Rectangle 451">
          <a:extLst>
            <a:ext uri="{FF2B5EF4-FFF2-40B4-BE49-F238E27FC236}">
              <a16:creationId xmlns:a16="http://schemas.microsoft.com/office/drawing/2014/main" id="{5DC96466-80FB-4295-A803-C6361310F70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7" name="Rectangle 452">
          <a:extLst>
            <a:ext uri="{FF2B5EF4-FFF2-40B4-BE49-F238E27FC236}">
              <a16:creationId xmlns:a16="http://schemas.microsoft.com/office/drawing/2014/main" id="{263D67BA-9FB7-44F5-AE40-5B5B5511A36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408" name="Rectangle 453">
          <a:extLst>
            <a:ext uri="{FF2B5EF4-FFF2-40B4-BE49-F238E27FC236}">
              <a16:creationId xmlns:a16="http://schemas.microsoft.com/office/drawing/2014/main" id="{9E903952-1B1A-4442-B531-BC428851BBA8}"/>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09" name="Rectangle 454">
          <a:extLst>
            <a:ext uri="{FF2B5EF4-FFF2-40B4-BE49-F238E27FC236}">
              <a16:creationId xmlns:a16="http://schemas.microsoft.com/office/drawing/2014/main" id="{5FB86098-936E-47F2-BE66-65A9C53F122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0" name="Rectangle 455">
          <a:extLst>
            <a:ext uri="{FF2B5EF4-FFF2-40B4-BE49-F238E27FC236}">
              <a16:creationId xmlns:a16="http://schemas.microsoft.com/office/drawing/2014/main" id="{DB9CA467-839F-4FEF-B056-D14639A5D59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1" name="Rectangle 456">
          <a:extLst>
            <a:ext uri="{FF2B5EF4-FFF2-40B4-BE49-F238E27FC236}">
              <a16:creationId xmlns:a16="http://schemas.microsoft.com/office/drawing/2014/main" id="{B6393328-BE40-4346-8559-29063C64108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2" name="Rectangle 457">
          <a:extLst>
            <a:ext uri="{FF2B5EF4-FFF2-40B4-BE49-F238E27FC236}">
              <a16:creationId xmlns:a16="http://schemas.microsoft.com/office/drawing/2014/main" id="{9B414116-C319-428D-9935-F3B80F2AC3A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3" name="Rectangle 458">
          <a:extLst>
            <a:ext uri="{FF2B5EF4-FFF2-40B4-BE49-F238E27FC236}">
              <a16:creationId xmlns:a16="http://schemas.microsoft.com/office/drawing/2014/main" id="{1AB729AC-98BB-49CE-A71E-48B2ED1DD0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4" name="Rectangle 459">
          <a:extLst>
            <a:ext uri="{FF2B5EF4-FFF2-40B4-BE49-F238E27FC236}">
              <a16:creationId xmlns:a16="http://schemas.microsoft.com/office/drawing/2014/main" id="{73593E53-F65E-4CC0-AABD-F53A7BBC716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5" name="Rectangle 460">
          <a:extLst>
            <a:ext uri="{FF2B5EF4-FFF2-40B4-BE49-F238E27FC236}">
              <a16:creationId xmlns:a16="http://schemas.microsoft.com/office/drawing/2014/main" id="{A665C60A-66A8-4417-B6CA-EBDBF4C6314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6" name="Rectangle 461">
          <a:extLst>
            <a:ext uri="{FF2B5EF4-FFF2-40B4-BE49-F238E27FC236}">
              <a16:creationId xmlns:a16="http://schemas.microsoft.com/office/drawing/2014/main" id="{BE5F0969-55FD-4D65-87DB-94D6BD0D786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7" name="Rectangle 462">
          <a:extLst>
            <a:ext uri="{FF2B5EF4-FFF2-40B4-BE49-F238E27FC236}">
              <a16:creationId xmlns:a16="http://schemas.microsoft.com/office/drawing/2014/main" id="{C3FF9C65-96DE-4B3A-8E35-7B5976BD2A8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8" name="Rectangle 463">
          <a:extLst>
            <a:ext uri="{FF2B5EF4-FFF2-40B4-BE49-F238E27FC236}">
              <a16:creationId xmlns:a16="http://schemas.microsoft.com/office/drawing/2014/main" id="{766AF5D8-D4DF-4353-BD9F-019CC81131C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19" name="Rectangle 464">
          <a:extLst>
            <a:ext uri="{FF2B5EF4-FFF2-40B4-BE49-F238E27FC236}">
              <a16:creationId xmlns:a16="http://schemas.microsoft.com/office/drawing/2014/main" id="{3B113420-E62A-4F39-8168-1868244943C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0" name="Rectangle 465">
          <a:extLst>
            <a:ext uri="{FF2B5EF4-FFF2-40B4-BE49-F238E27FC236}">
              <a16:creationId xmlns:a16="http://schemas.microsoft.com/office/drawing/2014/main" id="{668940AE-E19A-40AD-AA94-8CDD2B4A2E4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421" name="Rectangle 466">
          <a:extLst>
            <a:ext uri="{FF2B5EF4-FFF2-40B4-BE49-F238E27FC236}">
              <a16:creationId xmlns:a16="http://schemas.microsoft.com/office/drawing/2014/main" id="{A7A8CB2E-10F9-4626-991D-782BD034C0A1}"/>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2" name="Rectangle 467">
          <a:extLst>
            <a:ext uri="{FF2B5EF4-FFF2-40B4-BE49-F238E27FC236}">
              <a16:creationId xmlns:a16="http://schemas.microsoft.com/office/drawing/2014/main" id="{070B1384-FC37-4E88-B64C-F89EBB1B5F6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3" name="Rectangle 468">
          <a:extLst>
            <a:ext uri="{FF2B5EF4-FFF2-40B4-BE49-F238E27FC236}">
              <a16:creationId xmlns:a16="http://schemas.microsoft.com/office/drawing/2014/main" id="{12BAC56E-8A5B-431F-A200-CD0FCBB8304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4" name="Rectangle 469">
          <a:extLst>
            <a:ext uri="{FF2B5EF4-FFF2-40B4-BE49-F238E27FC236}">
              <a16:creationId xmlns:a16="http://schemas.microsoft.com/office/drawing/2014/main" id="{0398CF73-4714-4409-9D2A-387DEE0E824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5" name="Rectangle 470">
          <a:extLst>
            <a:ext uri="{FF2B5EF4-FFF2-40B4-BE49-F238E27FC236}">
              <a16:creationId xmlns:a16="http://schemas.microsoft.com/office/drawing/2014/main" id="{55ABFEB2-CF0A-4BBB-8043-B3F72086BE3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6" name="Rectangle 471">
          <a:extLst>
            <a:ext uri="{FF2B5EF4-FFF2-40B4-BE49-F238E27FC236}">
              <a16:creationId xmlns:a16="http://schemas.microsoft.com/office/drawing/2014/main" id="{FAEB026E-0ACC-43C8-9A58-FCFE8815B88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7" name="Rectangle 472">
          <a:extLst>
            <a:ext uri="{FF2B5EF4-FFF2-40B4-BE49-F238E27FC236}">
              <a16:creationId xmlns:a16="http://schemas.microsoft.com/office/drawing/2014/main" id="{AD240C9A-21EC-4830-872B-9E924151219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8" name="Rectangle 473">
          <a:extLst>
            <a:ext uri="{FF2B5EF4-FFF2-40B4-BE49-F238E27FC236}">
              <a16:creationId xmlns:a16="http://schemas.microsoft.com/office/drawing/2014/main" id="{C8AEF103-DA78-4BDA-9D57-67F9BC3050E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29" name="Rectangle 474">
          <a:extLst>
            <a:ext uri="{FF2B5EF4-FFF2-40B4-BE49-F238E27FC236}">
              <a16:creationId xmlns:a16="http://schemas.microsoft.com/office/drawing/2014/main" id="{AA03E855-BCB6-436C-9EDB-F71B045EFC8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0" name="Rectangle 475">
          <a:extLst>
            <a:ext uri="{FF2B5EF4-FFF2-40B4-BE49-F238E27FC236}">
              <a16:creationId xmlns:a16="http://schemas.microsoft.com/office/drawing/2014/main" id="{EE35CC5A-B96F-4B90-AF1E-AA9901A41DD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1" name="Rectangle 476">
          <a:extLst>
            <a:ext uri="{FF2B5EF4-FFF2-40B4-BE49-F238E27FC236}">
              <a16:creationId xmlns:a16="http://schemas.microsoft.com/office/drawing/2014/main" id="{0C5D5EF8-50BC-45D1-9E1B-02F8C73181F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2" name="Rectangle 477">
          <a:extLst>
            <a:ext uri="{FF2B5EF4-FFF2-40B4-BE49-F238E27FC236}">
              <a16:creationId xmlns:a16="http://schemas.microsoft.com/office/drawing/2014/main" id="{D94DC70C-8EF0-4CDB-921A-F9FF567787A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3" name="Rectangle 478">
          <a:extLst>
            <a:ext uri="{FF2B5EF4-FFF2-40B4-BE49-F238E27FC236}">
              <a16:creationId xmlns:a16="http://schemas.microsoft.com/office/drawing/2014/main" id="{28BAA2FD-D077-408A-A745-BEBD1247321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4" name="Rectangle 479">
          <a:extLst>
            <a:ext uri="{FF2B5EF4-FFF2-40B4-BE49-F238E27FC236}">
              <a16:creationId xmlns:a16="http://schemas.microsoft.com/office/drawing/2014/main" id="{EC119E22-4F62-4C55-8A9F-5C6A283CB67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5" name="Rectangle 480">
          <a:extLst>
            <a:ext uri="{FF2B5EF4-FFF2-40B4-BE49-F238E27FC236}">
              <a16:creationId xmlns:a16="http://schemas.microsoft.com/office/drawing/2014/main" id="{9FE9E990-83E8-467F-B103-9D22580E94D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6" name="Rectangle 481">
          <a:extLst>
            <a:ext uri="{FF2B5EF4-FFF2-40B4-BE49-F238E27FC236}">
              <a16:creationId xmlns:a16="http://schemas.microsoft.com/office/drawing/2014/main" id="{222388FB-0DE0-43EC-B88C-C12AB7CA52F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7" name="Rectangle 482">
          <a:extLst>
            <a:ext uri="{FF2B5EF4-FFF2-40B4-BE49-F238E27FC236}">
              <a16:creationId xmlns:a16="http://schemas.microsoft.com/office/drawing/2014/main" id="{0CA9B1B8-5EEA-40F5-89B2-80465E0AE21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8" name="Rectangle 483">
          <a:extLst>
            <a:ext uri="{FF2B5EF4-FFF2-40B4-BE49-F238E27FC236}">
              <a16:creationId xmlns:a16="http://schemas.microsoft.com/office/drawing/2014/main" id="{1D9E6990-1117-4931-BA12-B39B35B79F3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39" name="Rectangle 484">
          <a:extLst>
            <a:ext uri="{FF2B5EF4-FFF2-40B4-BE49-F238E27FC236}">
              <a16:creationId xmlns:a16="http://schemas.microsoft.com/office/drawing/2014/main" id="{8285EB74-6B3C-45B1-B0DF-E51F46BA1F7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440" name="Rectangle 485">
          <a:extLst>
            <a:ext uri="{FF2B5EF4-FFF2-40B4-BE49-F238E27FC236}">
              <a16:creationId xmlns:a16="http://schemas.microsoft.com/office/drawing/2014/main" id="{D13211E4-6DD6-4336-A094-B7AD08296207}"/>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1" name="Rectangle 486">
          <a:extLst>
            <a:ext uri="{FF2B5EF4-FFF2-40B4-BE49-F238E27FC236}">
              <a16:creationId xmlns:a16="http://schemas.microsoft.com/office/drawing/2014/main" id="{AE31D14B-70CC-4D71-B9AF-CF5B0B24530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2" name="Rectangle 487">
          <a:extLst>
            <a:ext uri="{FF2B5EF4-FFF2-40B4-BE49-F238E27FC236}">
              <a16:creationId xmlns:a16="http://schemas.microsoft.com/office/drawing/2014/main" id="{D6B4F6E0-7ECB-4910-B740-C982ECCFB49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3" name="Rectangle 488">
          <a:extLst>
            <a:ext uri="{FF2B5EF4-FFF2-40B4-BE49-F238E27FC236}">
              <a16:creationId xmlns:a16="http://schemas.microsoft.com/office/drawing/2014/main" id="{23EDF8CD-E22F-429F-8C72-6C9482EF98D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4" name="Rectangle 489">
          <a:extLst>
            <a:ext uri="{FF2B5EF4-FFF2-40B4-BE49-F238E27FC236}">
              <a16:creationId xmlns:a16="http://schemas.microsoft.com/office/drawing/2014/main" id="{351A780D-B0E9-4347-9478-A6C2323E2A5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5" name="Rectangle 490">
          <a:extLst>
            <a:ext uri="{FF2B5EF4-FFF2-40B4-BE49-F238E27FC236}">
              <a16:creationId xmlns:a16="http://schemas.microsoft.com/office/drawing/2014/main" id="{730979B0-2D77-4EA9-9B61-323340F6908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6" name="Rectangle 491">
          <a:extLst>
            <a:ext uri="{FF2B5EF4-FFF2-40B4-BE49-F238E27FC236}">
              <a16:creationId xmlns:a16="http://schemas.microsoft.com/office/drawing/2014/main" id="{CA37367E-DFDA-431E-A9AF-4D85A958053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7" name="Rectangle 492">
          <a:extLst>
            <a:ext uri="{FF2B5EF4-FFF2-40B4-BE49-F238E27FC236}">
              <a16:creationId xmlns:a16="http://schemas.microsoft.com/office/drawing/2014/main" id="{501BBCE9-ACD5-4557-A465-A1FC0BA9AED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8" name="Rectangle 493">
          <a:extLst>
            <a:ext uri="{FF2B5EF4-FFF2-40B4-BE49-F238E27FC236}">
              <a16:creationId xmlns:a16="http://schemas.microsoft.com/office/drawing/2014/main" id="{79539D14-886F-42A9-89F3-FE376806BBC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49" name="Rectangle 494">
          <a:extLst>
            <a:ext uri="{FF2B5EF4-FFF2-40B4-BE49-F238E27FC236}">
              <a16:creationId xmlns:a16="http://schemas.microsoft.com/office/drawing/2014/main" id="{13A32335-2349-4F64-8718-C1BA9DFB523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0" name="Rectangle 495">
          <a:extLst>
            <a:ext uri="{FF2B5EF4-FFF2-40B4-BE49-F238E27FC236}">
              <a16:creationId xmlns:a16="http://schemas.microsoft.com/office/drawing/2014/main" id="{81E92840-2722-47D5-835B-C3595175777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1" name="Rectangle 496">
          <a:extLst>
            <a:ext uri="{FF2B5EF4-FFF2-40B4-BE49-F238E27FC236}">
              <a16:creationId xmlns:a16="http://schemas.microsoft.com/office/drawing/2014/main" id="{F29833FD-9F13-4DCF-A221-C89ECA19442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2" name="Rectangle 497">
          <a:extLst>
            <a:ext uri="{FF2B5EF4-FFF2-40B4-BE49-F238E27FC236}">
              <a16:creationId xmlns:a16="http://schemas.microsoft.com/office/drawing/2014/main" id="{E8D6A941-4456-450F-9567-3F470C06CC8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3" name="Rectangle 498">
          <a:extLst>
            <a:ext uri="{FF2B5EF4-FFF2-40B4-BE49-F238E27FC236}">
              <a16:creationId xmlns:a16="http://schemas.microsoft.com/office/drawing/2014/main" id="{D79208AA-9FFB-4E90-B125-C9840EF1ED7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4" name="Rectangle 499">
          <a:extLst>
            <a:ext uri="{FF2B5EF4-FFF2-40B4-BE49-F238E27FC236}">
              <a16:creationId xmlns:a16="http://schemas.microsoft.com/office/drawing/2014/main" id="{7BB2615C-48B4-47D7-B8D4-E10E4EFA7D9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5" name="Rectangle 500">
          <a:extLst>
            <a:ext uri="{FF2B5EF4-FFF2-40B4-BE49-F238E27FC236}">
              <a16:creationId xmlns:a16="http://schemas.microsoft.com/office/drawing/2014/main" id="{2BBC130C-567D-4DF5-9D57-E013F882D8B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6" name="Rectangle 501">
          <a:extLst>
            <a:ext uri="{FF2B5EF4-FFF2-40B4-BE49-F238E27FC236}">
              <a16:creationId xmlns:a16="http://schemas.microsoft.com/office/drawing/2014/main" id="{B2A7D715-3DA4-4B2A-9F0E-ED4C79207B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7" name="Rectangle 502">
          <a:extLst>
            <a:ext uri="{FF2B5EF4-FFF2-40B4-BE49-F238E27FC236}">
              <a16:creationId xmlns:a16="http://schemas.microsoft.com/office/drawing/2014/main" id="{F93F170C-7EDD-4ED9-A6D3-55DF762ED0A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8" name="Rectangle 503">
          <a:extLst>
            <a:ext uri="{FF2B5EF4-FFF2-40B4-BE49-F238E27FC236}">
              <a16:creationId xmlns:a16="http://schemas.microsoft.com/office/drawing/2014/main" id="{FD4445E2-6EAC-454D-A546-6D7D1414894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59" name="Rectangle 504">
          <a:extLst>
            <a:ext uri="{FF2B5EF4-FFF2-40B4-BE49-F238E27FC236}">
              <a16:creationId xmlns:a16="http://schemas.microsoft.com/office/drawing/2014/main" id="{29E2C274-5FDA-451A-A461-188C563FFB9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0" name="Rectangle 505">
          <a:extLst>
            <a:ext uri="{FF2B5EF4-FFF2-40B4-BE49-F238E27FC236}">
              <a16:creationId xmlns:a16="http://schemas.microsoft.com/office/drawing/2014/main" id="{155E73B3-07C1-47A5-9C48-FB8DFECDFE9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1" name="Rectangle 506">
          <a:extLst>
            <a:ext uri="{FF2B5EF4-FFF2-40B4-BE49-F238E27FC236}">
              <a16:creationId xmlns:a16="http://schemas.microsoft.com/office/drawing/2014/main" id="{1A2DCC81-85F0-43A1-A60E-8A764A43BDE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2" name="Rectangle 507">
          <a:extLst>
            <a:ext uri="{FF2B5EF4-FFF2-40B4-BE49-F238E27FC236}">
              <a16:creationId xmlns:a16="http://schemas.microsoft.com/office/drawing/2014/main" id="{4D2BE7BC-D38C-43E0-9273-D5390E627A3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3" name="Rectangle 508">
          <a:extLst>
            <a:ext uri="{FF2B5EF4-FFF2-40B4-BE49-F238E27FC236}">
              <a16:creationId xmlns:a16="http://schemas.microsoft.com/office/drawing/2014/main" id="{F2028474-E69A-4EC1-9123-D2E656F6A31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4" name="Rectangle 509">
          <a:extLst>
            <a:ext uri="{FF2B5EF4-FFF2-40B4-BE49-F238E27FC236}">
              <a16:creationId xmlns:a16="http://schemas.microsoft.com/office/drawing/2014/main" id="{03E72E4D-F3EE-41BE-881E-7FCF4577B8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465" name="Rectangle 510">
          <a:extLst>
            <a:ext uri="{FF2B5EF4-FFF2-40B4-BE49-F238E27FC236}">
              <a16:creationId xmlns:a16="http://schemas.microsoft.com/office/drawing/2014/main" id="{C7D74022-5EC4-409C-9F83-3CACBEA50E9A}"/>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6" name="Rectangle 511">
          <a:extLst>
            <a:ext uri="{FF2B5EF4-FFF2-40B4-BE49-F238E27FC236}">
              <a16:creationId xmlns:a16="http://schemas.microsoft.com/office/drawing/2014/main" id="{F83AF952-9A84-4043-93C7-32298BA7444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7" name="Rectangle 512">
          <a:extLst>
            <a:ext uri="{FF2B5EF4-FFF2-40B4-BE49-F238E27FC236}">
              <a16:creationId xmlns:a16="http://schemas.microsoft.com/office/drawing/2014/main" id="{865993E4-6A1A-428B-BD38-EF2E731877C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8" name="Rectangle 513">
          <a:extLst>
            <a:ext uri="{FF2B5EF4-FFF2-40B4-BE49-F238E27FC236}">
              <a16:creationId xmlns:a16="http://schemas.microsoft.com/office/drawing/2014/main" id="{60ED5FBA-F48B-4C6D-9292-219CFC777A2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69" name="Rectangle 514">
          <a:extLst>
            <a:ext uri="{FF2B5EF4-FFF2-40B4-BE49-F238E27FC236}">
              <a16:creationId xmlns:a16="http://schemas.microsoft.com/office/drawing/2014/main" id="{C899E998-87E9-4590-91FE-3AB671D17BF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0" name="Rectangle 515">
          <a:extLst>
            <a:ext uri="{FF2B5EF4-FFF2-40B4-BE49-F238E27FC236}">
              <a16:creationId xmlns:a16="http://schemas.microsoft.com/office/drawing/2014/main" id="{50D99A8F-23EE-4451-80C8-6B19432EDA8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1" name="Rectangle 516">
          <a:extLst>
            <a:ext uri="{FF2B5EF4-FFF2-40B4-BE49-F238E27FC236}">
              <a16:creationId xmlns:a16="http://schemas.microsoft.com/office/drawing/2014/main" id="{8B7C8054-057D-45BF-9F24-F83D3E18248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2" name="Rectangle 517">
          <a:extLst>
            <a:ext uri="{FF2B5EF4-FFF2-40B4-BE49-F238E27FC236}">
              <a16:creationId xmlns:a16="http://schemas.microsoft.com/office/drawing/2014/main" id="{FA44DB25-3F2B-48C4-BD1E-D85C270134C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3" name="Rectangle 518">
          <a:extLst>
            <a:ext uri="{FF2B5EF4-FFF2-40B4-BE49-F238E27FC236}">
              <a16:creationId xmlns:a16="http://schemas.microsoft.com/office/drawing/2014/main" id="{6A1E7FDD-3455-4206-A66D-387FB418DD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4" name="Rectangle 519">
          <a:extLst>
            <a:ext uri="{FF2B5EF4-FFF2-40B4-BE49-F238E27FC236}">
              <a16:creationId xmlns:a16="http://schemas.microsoft.com/office/drawing/2014/main" id="{74A866F5-F30F-4C6C-BC47-2C2355BAE17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5" name="Rectangle 520">
          <a:extLst>
            <a:ext uri="{FF2B5EF4-FFF2-40B4-BE49-F238E27FC236}">
              <a16:creationId xmlns:a16="http://schemas.microsoft.com/office/drawing/2014/main" id="{EF77EB10-7ED0-4588-99B8-4020B9B726C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6" name="Rectangle 521">
          <a:extLst>
            <a:ext uri="{FF2B5EF4-FFF2-40B4-BE49-F238E27FC236}">
              <a16:creationId xmlns:a16="http://schemas.microsoft.com/office/drawing/2014/main" id="{79749D27-2CE6-455A-A33E-D268F9762B1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7" name="Rectangle 522">
          <a:extLst>
            <a:ext uri="{FF2B5EF4-FFF2-40B4-BE49-F238E27FC236}">
              <a16:creationId xmlns:a16="http://schemas.microsoft.com/office/drawing/2014/main" id="{F3A6E2B5-1B81-4ED3-A99F-459CAEAFB77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8" name="Rectangle 523">
          <a:extLst>
            <a:ext uri="{FF2B5EF4-FFF2-40B4-BE49-F238E27FC236}">
              <a16:creationId xmlns:a16="http://schemas.microsoft.com/office/drawing/2014/main" id="{3A6519DB-AFEB-476B-9978-4F6990CC8D8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79" name="Rectangle 524">
          <a:extLst>
            <a:ext uri="{FF2B5EF4-FFF2-40B4-BE49-F238E27FC236}">
              <a16:creationId xmlns:a16="http://schemas.microsoft.com/office/drawing/2014/main" id="{540CEC2D-F319-43F8-9241-7D6B1C6198C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0" name="Rectangle 525">
          <a:extLst>
            <a:ext uri="{FF2B5EF4-FFF2-40B4-BE49-F238E27FC236}">
              <a16:creationId xmlns:a16="http://schemas.microsoft.com/office/drawing/2014/main" id="{186C2B61-F17A-4C6D-ABA6-6E01C7B8674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1" name="Rectangle 526">
          <a:extLst>
            <a:ext uri="{FF2B5EF4-FFF2-40B4-BE49-F238E27FC236}">
              <a16:creationId xmlns:a16="http://schemas.microsoft.com/office/drawing/2014/main" id="{9E3F1231-F03F-426F-B783-ECF56846C11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2" name="Rectangle 527">
          <a:extLst>
            <a:ext uri="{FF2B5EF4-FFF2-40B4-BE49-F238E27FC236}">
              <a16:creationId xmlns:a16="http://schemas.microsoft.com/office/drawing/2014/main" id="{970BFF55-987C-42F2-B022-4AA8291552F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3" name="Rectangle 528">
          <a:extLst>
            <a:ext uri="{FF2B5EF4-FFF2-40B4-BE49-F238E27FC236}">
              <a16:creationId xmlns:a16="http://schemas.microsoft.com/office/drawing/2014/main" id="{31811177-DE6B-45B5-862D-572C43C831C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4" name="Rectangle 238">
          <a:extLst>
            <a:ext uri="{FF2B5EF4-FFF2-40B4-BE49-F238E27FC236}">
              <a16:creationId xmlns:a16="http://schemas.microsoft.com/office/drawing/2014/main" id="{E0B7E682-6F67-436F-AD49-C99349D4905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5" name="Rectangle 249">
          <a:extLst>
            <a:ext uri="{FF2B5EF4-FFF2-40B4-BE49-F238E27FC236}">
              <a16:creationId xmlns:a16="http://schemas.microsoft.com/office/drawing/2014/main" id="{67B91D1B-17C0-4A8D-8787-338B602FA92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6" name="Rectangle 251">
          <a:extLst>
            <a:ext uri="{FF2B5EF4-FFF2-40B4-BE49-F238E27FC236}">
              <a16:creationId xmlns:a16="http://schemas.microsoft.com/office/drawing/2014/main" id="{6EEE3906-33E7-44FD-8733-5B208ECBC98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7" name="Rectangle 253">
          <a:extLst>
            <a:ext uri="{FF2B5EF4-FFF2-40B4-BE49-F238E27FC236}">
              <a16:creationId xmlns:a16="http://schemas.microsoft.com/office/drawing/2014/main" id="{A462584E-8C96-4755-AC47-952447D8AC4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8" name="Rectangle 254">
          <a:extLst>
            <a:ext uri="{FF2B5EF4-FFF2-40B4-BE49-F238E27FC236}">
              <a16:creationId xmlns:a16="http://schemas.microsoft.com/office/drawing/2014/main" id="{E0E7CCA6-52F3-4C57-9111-CE90D46745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89" name="Rectangle 255">
          <a:extLst>
            <a:ext uri="{FF2B5EF4-FFF2-40B4-BE49-F238E27FC236}">
              <a16:creationId xmlns:a16="http://schemas.microsoft.com/office/drawing/2014/main" id="{50C762C4-AA15-461F-83E2-84726C6E0C9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0" name="Rectangle 257">
          <a:extLst>
            <a:ext uri="{FF2B5EF4-FFF2-40B4-BE49-F238E27FC236}">
              <a16:creationId xmlns:a16="http://schemas.microsoft.com/office/drawing/2014/main" id="{B97712DF-3CBC-407C-8C48-C22B0F6C7B0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1" name="Rectangle 258">
          <a:extLst>
            <a:ext uri="{FF2B5EF4-FFF2-40B4-BE49-F238E27FC236}">
              <a16:creationId xmlns:a16="http://schemas.microsoft.com/office/drawing/2014/main" id="{D502902C-B213-47E9-B052-CF4C77B66F2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2" name="Rectangle 259">
          <a:extLst>
            <a:ext uri="{FF2B5EF4-FFF2-40B4-BE49-F238E27FC236}">
              <a16:creationId xmlns:a16="http://schemas.microsoft.com/office/drawing/2014/main" id="{947D4FD1-7BDB-4BD6-B632-22BC1FED502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3" name="Rectangle 260">
          <a:extLst>
            <a:ext uri="{FF2B5EF4-FFF2-40B4-BE49-F238E27FC236}">
              <a16:creationId xmlns:a16="http://schemas.microsoft.com/office/drawing/2014/main" id="{ACCDF6C1-3DB2-4BB6-A51A-141D8CE6AC5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4" name="Rectangle 261">
          <a:extLst>
            <a:ext uri="{FF2B5EF4-FFF2-40B4-BE49-F238E27FC236}">
              <a16:creationId xmlns:a16="http://schemas.microsoft.com/office/drawing/2014/main" id="{8C910BAB-9BD9-4BDC-8426-DA46F6C69E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5" name="Rectangle 262">
          <a:extLst>
            <a:ext uri="{FF2B5EF4-FFF2-40B4-BE49-F238E27FC236}">
              <a16:creationId xmlns:a16="http://schemas.microsoft.com/office/drawing/2014/main" id="{AB777973-1686-431D-8B45-B00D2395DAF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496" name="Rectangle 263">
          <a:extLst>
            <a:ext uri="{FF2B5EF4-FFF2-40B4-BE49-F238E27FC236}">
              <a16:creationId xmlns:a16="http://schemas.microsoft.com/office/drawing/2014/main" id="{3E8F6801-702A-41C3-BF6F-DAA09396A9C3}"/>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7" name="Rectangle 264">
          <a:extLst>
            <a:ext uri="{FF2B5EF4-FFF2-40B4-BE49-F238E27FC236}">
              <a16:creationId xmlns:a16="http://schemas.microsoft.com/office/drawing/2014/main" id="{B6D062A5-1648-4522-9B97-3C1AA0848B2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8" name="Rectangle 265">
          <a:extLst>
            <a:ext uri="{FF2B5EF4-FFF2-40B4-BE49-F238E27FC236}">
              <a16:creationId xmlns:a16="http://schemas.microsoft.com/office/drawing/2014/main" id="{790314AC-7A92-4639-97AB-F4050B0854E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499" name="Rectangle 266">
          <a:extLst>
            <a:ext uri="{FF2B5EF4-FFF2-40B4-BE49-F238E27FC236}">
              <a16:creationId xmlns:a16="http://schemas.microsoft.com/office/drawing/2014/main" id="{831FAFE8-6893-4363-8B81-832F9B227B2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0" name="Rectangle 267">
          <a:extLst>
            <a:ext uri="{FF2B5EF4-FFF2-40B4-BE49-F238E27FC236}">
              <a16:creationId xmlns:a16="http://schemas.microsoft.com/office/drawing/2014/main" id="{9DCE30DF-1D19-43D5-9C74-22F1A184E7F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1" name="Rectangle 268">
          <a:extLst>
            <a:ext uri="{FF2B5EF4-FFF2-40B4-BE49-F238E27FC236}">
              <a16:creationId xmlns:a16="http://schemas.microsoft.com/office/drawing/2014/main" id="{9644CCCC-8AEA-4AB8-8C1A-20603BDE8E9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2" name="Rectangle 269">
          <a:extLst>
            <a:ext uri="{FF2B5EF4-FFF2-40B4-BE49-F238E27FC236}">
              <a16:creationId xmlns:a16="http://schemas.microsoft.com/office/drawing/2014/main" id="{85D9C1C3-C04B-450A-AEC5-2AC6BAF5A09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3" name="Rectangle 270">
          <a:extLst>
            <a:ext uri="{FF2B5EF4-FFF2-40B4-BE49-F238E27FC236}">
              <a16:creationId xmlns:a16="http://schemas.microsoft.com/office/drawing/2014/main" id="{FC59C15F-2020-423F-804E-8B432273C3A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4" name="Rectangle 271">
          <a:extLst>
            <a:ext uri="{FF2B5EF4-FFF2-40B4-BE49-F238E27FC236}">
              <a16:creationId xmlns:a16="http://schemas.microsoft.com/office/drawing/2014/main" id="{FCF206E3-9E76-48DD-8A8E-E000003949F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5" name="Rectangle 272">
          <a:extLst>
            <a:ext uri="{FF2B5EF4-FFF2-40B4-BE49-F238E27FC236}">
              <a16:creationId xmlns:a16="http://schemas.microsoft.com/office/drawing/2014/main" id="{6FA383F5-6232-4162-A6CD-19A61DC96BB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6" name="Rectangle 273">
          <a:extLst>
            <a:ext uri="{FF2B5EF4-FFF2-40B4-BE49-F238E27FC236}">
              <a16:creationId xmlns:a16="http://schemas.microsoft.com/office/drawing/2014/main" id="{0C9CC4C8-6FB6-49A3-9751-E88842FA5A0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7" name="Rectangle 274">
          <a:extLst>
            <a:ext uri="{FF2B5EF4-FFF2-40B4-BE49-F238E27FC236}">
              <a16:creationId xmlns:a16="http://schemas.microsoft.com/office/drawing/2014/main" id="{1CF7D8A0-F4D7-4B47-9802-4F3E156B4CC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08" name="Rectangle 275">
          <a:extLst>
            <a:ext uri="{FF2B5EF4-FFF2-40B4-BE49-F238E27FC236}">
              <a16:creationId xmlns:a16="http://schemas.microsoft.com/office/drawing/2014/main" id="{77548D64-B17F-4702-A54E-293D684C539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509" name="Rectangle 276">
          <a:extLst>
            <a:ext uri="{FF2B5EF4-FFF2-40B4-BE49-F238E27FC236}">
              <a16:creationId xmlns:a16="http://schemas.microsoft.com/office/drawing/2014/main" id="{DF2F2054-ED21-4BA7-BA1D-B2D391D783A0}"/>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0" name="Rectangle 277">
          <a:extLst>
            <a:ext uri="{FF2B5EF4-FFF2-40B4-BE49-F238E27FC236}">
              <a16:creationId xmlns:a16="http://schemas.microsoft.com/office/drawing/2014/main" id="{20A57BB8-FDFF-4E7A-A3DE-1D02E9E71F6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1" name="Rectangle 278">
          <a:extLst>
            <a:ext uri="{FF2B5EF4-FFF2-40B4-BE49-F238E27FC236}">
              <a16:creationId xmlns:a16="http://schemas.microsoft.com/office/drawing/2014/main" id="{F01EB75A-78E0-44BE-9621-6591188505F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2" name="Rectangle 279">
          <a:extLst>
            <a:ext uri="{FF2B5EF4-FFF2-40B4-BE49-F238E27FC236}">
              <a16:creationId xmlns:a16="http://schemas.microsoft.com/office/drawing/2014/main" id="{8A7DE773-3BEF-4E94-97A9-ABA2633211A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3" name="Rectangle 280">
          <a:extLst>
            <a:ext uri="{FF2B5EF4-FFF2-40B4-BE49-F238E27FC236}">
              <a16:creationId xmlns:a16="http://schemas.microsoft.com/office/drawing/2014/main" id="{4705D4C6-7EB8-46BA-9C60-ADB4F0AB6D2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4" name="Rectangle 281">
          <a:extLst>
            <a:ext uri="{FF2B5EF4-FFF2-40B4-BE49-F238E27FC236}">
              <a16:creationId xmlns:a16="http://schemas.microsoft.com/office/drawing/2014/main" id="{927D3C08-C6F3-4EA5-94EA-2A279A8A43B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5" name="Rectangle 282">
          <a:extLst>
            <a:ext uri="{FF2B5EF4-FFF2-40B4-BE49-F238E27FC236}">
              <a16:creationId xmlns:a16="http://schemas.microsoft.com/office/drawing/2014/main" id="{0459139B-E7E9-4438-B4EB-ED11B813675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6" name="Rectangle 283">
          <a:extLst>
            <a:ext uri="{FF2B5EF4-FFF2-40B4-BE49-F238E27FC236}">
              <a16:creationId xmlns:a16="http://schemas.microsoft.com/office/drawing/2014/main" id="{CE3FC79C-7CEA-4354-B976-D60E307B22E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7" name="Rectangle 284">
          <a:extLst>
            <a:ext uri="{FF2B5EF4-FFF2-40B4-BE49-F238E27FC236}">
              <a16:creationId xmlns:a16="http://schemas.microsoft.com/office/drawing/2014/main" id="{9EE770A6-17B0-48BB-BB5E-CD8294BC40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8" name="Rectangle 285">
          <a:extLst>
            <a:ext uri="{FF2B5EF4-FFF2-40B4-BE49-F238E27FC236}">
              <a16:creationId xmlns:a16="http://schemas.microsoft.com/office/drawing/2014/main" id="{07813CF0-5014-4B47-847B-5A3C4065288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19" name="Rectangle 286">
          <a:extLst>
            <a:ext uri="{FF2B5EF4-FFF2-40B4-BE49-F238E27FC236}">
              <a16:creationId xmlns:a16="http://schemas.microsoft.com/office/drawing/2014/main" id="{3002F187-1BB5-4BE0-A859-D8F9C61DC8D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0" name="Rectangle 287">
          <a:extLst>
            <a:ext uri="{FF2B5EF4-FFF2-40B4-BE49-F238E27FC236}">
              <a16:creationId xmlns:a16="http://schemas.microsoft.com/office/drawing/2014/main" id="{6047385D-5272-4803-8371-4CB21FFD76B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1" name="Rectangle 288">
          <a:extLst>
            <a:ext uri="{FF2B5EF4-FFF2-40B4-BE49-F238E27FC236}">
              <a16:creationId xmlns:a16="http://schemas.microsoft.com/office/drawing/2014/main" id="{6BEF7DA7-6D84-434F-885A-AFBF00282A8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2" name="Rectangle 289">
          <a:extLst>
            <a:ext uri="{FF2B5EF4-FFF2-40B4-BE49-F238E27FC236}">
              <a16:creationId xmlns:a16="http://schemas.microsoft.com/office/drawing/2014/main" id="{9B6FC6B6-7134-4DF0-B79E-642B0C6E25A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3" name="Rectangle 290">
          <a:extLst>
            <a:ext uri="{FF2B5EF4-FFF2-40B4-BE49-F238E27FC236}">
              <a16:creationId xmlns:a16="http://schemas.microsoft.com/office/drawing/2014/main" id="{E0B13F88-5F27-4E91-BF43-398A3B29951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4" name="Rectangle 291">
          <a:extLst>
            <a:ext uri="{FF2B5EF4-FFF2-40B4-BE49-F238E27FC236}">
              <a16:creationId xmlns:a16="http://schemas.microsoft.com/office/drawing/2014/main" id="{A112D23F-3FFE-4C87-A265-46F095D03E6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5" name="Rectangle 292">
          <a:extLst>
            <a:ext uri="{FF2B5EF4-FFF2-40B4-BE49-F238E27FC236}">
              <a16:creationId xmlns:a16="http://schemas.microsoft.com/office/drawing/2014/main" id="{9629E7F0-3D1D-4B8D-8FDB-8D5D35BC67D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6" name="Rectangle 293">
          <a:extLst>
            <a:ext uri="{FF2B5EF4-FFF2-40B4-BE49-F238E27FC236}">
              <a16:creationId xmlns:a16="http://schemas.microsoft.com/office/drawing/2014/main" id="{81F2F732-55A4-4D31-B2C4-8BFF54363CA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7" name="Rectangle 294">
          <a:extLst>
            <a:ext uri="{FF2B5EF4-FFF2-40B4-BE49-F238E27FC236}">
              <a16:creationId xmlns:a16="http://schemas.microsoft.com/office/drawing/2014/main" id="{42CB9C7A-360C-4ED0-841A-55D71CC558C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528" name="Rectangle 295">
          <a:extLst>
            <a:ext uri="{FF2B5EF4-FFF2-40B4-BE49-F238E27FC236}">
              <a16:creationId xmlns:a16="http://schemas.microsoft.com/office/drawing/2014/main" id="{D222ECDC-A5DF-4D70-8EBB-4F9B2295F252}"/>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29" name="Rectangle 296">
          <a:extLst>
            <a:ext uri="{FF2B5EF4-FFF2-40B4-BE49-F238E27FC236}">
              <a16:creationId xmlns:a16="http://schemas.microsoft.com/office/drawing/2014/main" id="{9F00B727-DCD7-47A8-B276-97A6DB11EA9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0" name="Rectangle 297">
          <a:extLst>
            <a:ext uri="{FF2B5EF4-FFF2-40B4-BE49-F238E27FC236}">
              <a16:creationId xmlns:a16="http://schemas.microsoft.com/office/drawing/2014/main" id="{B7D10E2F-1909-40DC-9A94-BC0C4BDAC58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1" name="Rectangle 298">
          <a:extLst>
            <a:ext uri="{FF2B5EF4-FFF2-40B4-BE49-F238E27FC236}">
              <a16:creationId xmlns:a16="http://schemas.microsoft.com/office/drawing/2014/main" id="{6E4D8A75-53AE-44E5-B078-0186F8527A1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2" name="Rectangle 299">
          <a:extLst>
            <a:ext uri="{FF2B5EF4-FFF2-40B4-BE49-F238E27FC236}">
              <a16:creationId xmlns:a16="http://schemas.microsoft.com/office/drawing/2014/main" id="{B10FBD32-678C-414C-8257-35A43E5C6BB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3" name="Rectangle 300">
          <a:extLst>
            <a:ext uri="{FF2B5EF4-FFF2-40B4-BE49-F238E27FC236}">
              <a16:creationId xmlns:a16="http://schemas.microsoft.com/office/drawing/2014/main" id="{31B0F566-1147-4F65-904B-FE7BF10C3EF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4" name="Rectangle 301">
          <a:extLst>
            <a:ext uri="{FF2B5EF4-FFF2-40B4-BE49-F238E27FC236}">
              <a16:creationId xmlns:a16="http://schemas.microsoft.com/office/drawing/2014/main" id="{FEF021B7-360D-4B44-97C0-77005B34CC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5" name="Rectangle 302">
          <a:extLst>
            <a:ext uri="{FF2B5EF4-FFF2-40B4-BE49-F238E27FC236}">
              <a16:creationId xmlns:a16="http://schemas.microsoft.com/office/drawing/2014/main" id="{E5C50A8C-7A21-4F61-A2B4-42B1C30C258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6" name="Rectangle 303">
          <a:extLst>
            <a:ext uri="{FF2B5EF4-FFF2-40B4-BE49-F238E27FC236}">
              <a16:creationId xmlns:a16="http://schemas.microsoft.com/office/drawing/2014/main" id="{3165B81E-828B-46DD-A4FC-388815BE4F2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7" name="Rectangle 304">
          <a:extLst>
            <a:ext uri="{FF2B5EF4-FFF2-40B4-BE49-F238E27FC236}">
              <a16:creationId xmlns:a16="http://schemas.microsoft.com/office/drawing/2014/main" id="{3A587CB0-F2B8-4418-955D-A8C0A7412DF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8" name="Rectangle 305">
          <a:extLst>
            <a:ext uri="{FF2B5EF4-FFF2-40B4-BE49-F238E27FC236}">
              <a16:creationId xmlns:a16="http://schemas.microsoft.com/office/drawing/2014/main" id="{1DBD7134-34B1-48D4-97E9-EAABC30C30A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39" name="Rectangle 306">
          <a:extLst>
            <a:ext uri="{FF2B5EF4-FFF2-40B4-BE49-F238E27FC236}">
              <a16:creationId xmlns:a16="http://schemas.microsoft.com/office/drawing/2014/main" id="{4E29D5E2-E1A1-4747-8E20-DDB51103C17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0" name="Rectangle 307">
          <a:extLst>
            <a:ext uri="{FF2B5EF4-FFF2-40B4-BE49-F238E27FC236}">
              <a16:creationId xmlns:a16="http://schemas.microsoft.com/office/drawing/2014/main" id="{EA28B22A-01C9-4905-B662-1AF68A81CD9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1" name="Rectangle 308">
          <a:extLst>
            <a:ext uri="{FF2B5EF4-FFF2-40B4-BE49-F238E27FC236}">
              <a16:creationId xmlns:a16="http://schemas.microsoft.com/office/drawing/2014/main" id="{771EC495-B321-49BA-B1C5-653078F69EB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2" name="Rectangle 309">
          <a:extLst>
            <a:ext uri="{FF2B5EF4-FFF2-40B4-BE49-F238E27FC236}">
              <a16:creationId xmlns:a16="http://schemas.microsoft.com/office/drawing/2014/main" id="{ECB2C96E-F139-402A-B2E5-75BCDA73C07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3" name="Rectangle 310">
          <a:extLst>
            <a:ext uri="{FF2B5EF4-FFF2-40B4-BE49-F238E27FC236}">
              <a16:creationId xmlns:a16="http://schemas.microsoft.com/office/drawing/2014/main" id="{A004F72F-A147-4E78-91E2-6A10D08F84E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4" name="Rectangle 311">
          <a:extLst>
            <a:ext uri="{FF2B5EF4-FFF2-40B4-BE49-F238E27FC236}">
              <a16:creationId xmlns:a16="http://schemas.microsoft.com/office/drawing/2014/main" id="{43F75F7C-A392-427B-BF2C-71C9A096DE3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5" name="Rectangle 312">
          <a:extLst>
            <a:ext uri="{FF2B5EF4-FFF2-40B4-BE49-F238E27FC236}">
              <a16:creationId xmlns:a16="http://schemas.microsoft.com/office/drawing/2014/main" id="{0CDF0080-D3D9-4028-8C47-D2AC0304B87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6" name="Rectangle 313">
          <a:extLst>
            <a:ext uri="{FF2B5EF4-FFF2-40B4-BE49-F238E27FC236}">
              <a16:creationId xmlns:a16="http://schemas.microsoft.com/office/drawing/2014/main" id="{D9BE95B4-C8DB-4060-8B25-30B8D20C350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7" name="Rectangle 314">
          <a:extLst>
            <a:ext uri="{FF2B5EF4-FFF2-40B4-BE49-F238E27FC236}">
              <a16:creationId xmlns:a16="http://schemas.microsoft.com/office/drawing/2014/main" id="{4B3BB9F2-1DED-4501-829E-41D239DD7E0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8" name="Rectangle 315">
          <a:extLst>
            <a:ext uri="{FF2B5EF4-FFF2-40B4-BE49-F238E27FC236}">
              <a16:creationId xmlns:a16="http://schemas.microsoft.com/office/drawing/2014/main" id="{793F8346-DBC7-4178-9E2E-E7F4162DD9A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49" name="Rectangle 316">
          <a:extLst>
            <a:ext uri="{FF2B5EF4-FFF2-40B4-BE49-F238E27FC236}">
              <a16:creationId xmlns:a16="http://schemas.microsoft.com/office/drawing/2014/main" id="{33EF8A84-A803-4CF4-BE34-4D3B3138DFF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0" name="Rectangle 317">
          <a:extLst>
            <a:ext uri="{FF2B5EF4-FFF2-40B4-BE49-F238E27FC236}">
              <a16:creationId xmlns:a16="http://schemas.microsoft.com/office/drawing/2014/main" id="{94A8D36E-D043-46BA-98BB-1DD6E5B3A6C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1" name="Rectangle 318">
          <a:extLst>
            <a:ext uri="{FF2B5EF4-FFF2-40B4-BE49-F238E27FC236}">
              <a16:creationId xmlns:a16="http://schemas.microsoft.com/office/drawing/2014/main" id="{0BC2A99B-223D-4CC5-BCCE-D5E878DB928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2" name="Rectangle 319">
          <a:extLst>
            <a:ext uri="{FF2B5EF4-FFF2-40B4-BE49-F238E27FC236}">
              <a16:creationId xmlns:a16="http://schemas.microsoft.com/office/drawing/2014/main" id="{319E019C-36D7-4D0E-B569-B02B0ED27F9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553" name="Rectangle 320">
          <a:extLst>
            <a:ext uri="{FF2B5EF4-FFF2-40B4-BE49-F238E27FC236}">
              <a16:creationId xmlns:a16="http://schemas.microsoft.com/office/drawing/2014/main" id="{AD42AC0E-DEF2-4AFB-8297-73840ADFEAD1}"/>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4" name="Rectangle 321">
          <a:extLst>
            <a:ext uri="{FF2B5EF4-FFF2-40B4-BE49-F238E27FC236}">
              <a16:creationId xmlns:a16="http://schemas.microsoft.com/office/drawing/2014/main" id="{C23CEE1C-6D94-4299-BC72-764ED81E3F6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5" name="Rectangle 322">
          <a:extLst>
            <a:ext uri="{FF2B5EF4-FFF2-40B4-BE49-F238E27FC236}">
              <a16:creationId xmlns:a16="http://schemas.microsoft.com/office/drawing/2014/main" id="{38D2A19F-EC36-4019-984D-8551F093FC4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6" name="Rectangle 323">
          <a:extLst>
            <a:ext uri="{FF2B5EF4-FFF2-40B4-BE49-F238E27FC236}">
              <a16:creationId xmlns:a16="http://schemas.microsoft.com/office/drawing/2014/main" id="{18D79EC7-882B-4A6F-B023-E3B01D3D942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7" name="Rectangle 324">
          <a:extLst>
            <a:ext uri="{FF2B5EF4-FFF2-40B4-BE49-F238E27FC236}">
              <a16:creationId xmlns:a16="http://schemas.microsoft.com/office/drawing/2014/main" id="{15A4B5B7-2FF3-499F-8644-06D0A4EE9C5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8" name="Rectangle 325">
          <a:extLst>
            <a:ext uri="{FF2B5EF4-FFF2-40B4-BE49-F238E27FC236}">
              <a16:creationId xmlns:a16="http://schemas.microsoft.com/office/drawing/2014/main" id="{324DBA49-6E60-4739-8E35-409F7DAED09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59" name="Rectangle 326">
          <a:extLst>
            <a:ext uri="{FF2B5EF4-FFF2-40B4-BE49-F238E27FC236}">
              <a16:creationId xmlns:a16="http://schemas.microsoft.com/office/drawing/2014/main" id="{5E79CD9E-0867-4FBF-BBC8-DFD9A9D1EBC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0" name="Rectangle 327">
          <a:extLst>
            <a:ext uri="{FF2B5EF4-FFF2-40B4-BE49-F238E27FC236}">
              <a16:creationId xmlns:a16="http://schemas.microsoft.com/office/drawing/2014/main" id="{51195433-3316-427A-95DD-51D317AAAC5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1" name="Rectangle 328">
          <a:extLst>
            <a:ext uri="{FF2B5EF4-FFF2-40B4-BE49-F238E27FC236}">
              <a16:creationId xmlns:a16="http://schemas.microsoft.com/office/drawing/2014/main" id="{F4C72565-A3AD-45E7-BFD5-A421F642D56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2" name="Rectangle 329">
          <a:extLst>
            <a:ext uri="{FF2B5EF4-FFF2-40B4-BE49-F238E27FC236}">
              <a16:creationId xmlns:a16="http://schemas.microsoft.com/office/drawing/2014/main" id="{DB158E9A-8FE7-43DB-AF09-9C0A0B0A83B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3" name="Rectangle 330">
          <a:extLst>
            <a:ext uri="{FF2B5EF4-FFF2-40B4-BE49-F238E27FC236}">
              <a16:creationId xmlns:a16="http://schemas.microsoft.com/office/drawing/2014/main" id="{35783913-1401-4D67-AD27-5EA5D48F108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4" name="Rectangle 331">
          <a:extLst>
            <a:ext uri="{FF2B5EF4-FFF2-40B4-BE49-F238E27FC236}">
              <a16:creationId xmlns:a16="http://schemas.microsoft.com/office/drawing/2014/main" id="{DB10954C-D55C-4660-82A9-683F3FEC6D7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5" name="Rectangle 332">
          <a:extLst>
            <a:ext uri="{FF2B5EF4-FFF2-40B4-BE49-F238E27FC236}">
              <a16:creationId xmlns:a16="http://schemas.microsoft.com/office/drawing/2014/main" id="{1F7EEA77-8D7C-4E66-87C2-5298E15C8AE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6" name="Rectangle 333">
          <a:extLst>
            <a:ext uri="{FF2B5EF4-FFF2-40B4-BE49-F238E27FC236}">
              <a16:creationId xmlns:a16="http://schemas.microsoft.com/office/drawing/2014/main" id="{8279C4FB-8141-42FD-B0D9-C8A1EAB6A04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7" name="Rectangle 334">
          <a:extLst>
            <a:ext uri="{FF2B5EF4-FFF2-40B4-BE49-F238E27FC236}">
              <a16:creationId xmlns:a16="http://schemas.microsoft.com/office/drawing/2014/main" id="{839355FF-22C3-4923-B4DE-7D4B909F70A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8" name="Rectangle 335">
          <a:extLst>
            <a:ext uri="{FF2B5EF4-FFF2-40B4-BE49-F238E27FC236}">
              <a16:creationId xmlns:a16="http://schemas.microsoft.com/office/drawing/2014/main" id="{665DC77F-E4C8-47CC-B509-4BB231B0AD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69" name="Rectangle 336">
          <a:extLst>
            <a:ext uri="{FF2B5EF4-FFF2-40B4-BE49-F238E27FC236}">
              <a16:creationId xmlns:a16="http://schemas.microsoft.com/office/drawing/2014/main" id="{A54551FC-6AD3-4F89-BD24-7C07D8E6A1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0" name="Rectangle 337">
          <a:extLst>
            <a:ext uri="{FF2B5EF4-FFF2-40B4-BE49-F238E27FC236}">
              <a16:creationId xmlns:a16="http://schemas.microsoft.com/office/drawing/2014/main" id="{E663DCD6-7DF0-473E-A147-DE94BD30F2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1" name="Rectangle 338">
          <a:extLst>
            <a:ext uri="{FF2B5EF4-FFF2-40B4-BE49-F238E27FC236}">
              <a16:creationId xmlns:a16="http://schemas.microsoft.com/office/drawing/2014/main" id="{B08E265D-7262-42FB-BDBC-AC3D4674303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572" name="Rectangle 339">
          <a:extLst>
            <a:ext uri="{FF2B5EF4-FFF2-40B4-BE49-F238E27FC236}">
              <a16:creationId xmlns:a16="http://schemas.microsoft.com/office/drawing/2014/main" id="{7BEF0A95-7FE9-4AE6-AEE8-1078202A55AE}"/>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3" name="Rectangle 340">
          <a:extLst>
            <a:ext uri="{FF2B5EF4-FFF2-40B4-BE49-F238E27FC236}">
              <a16:creationId xmlns:a16="http://schemas.microsoft.com/office/drawing/2014/main" id="{6B2AABCF-0CE5-4959-BEFE-49D39C6367F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4" name="Rectangle 341">
          <a:extLst>
            <a:ext uri="{FF2B5EF4-FFF2-40B4-BE49-F238E27FC236}">
              <a16:creationId xmlns:a16="http://schemas.microsoft.com/office/drawing/2014/main" id="{5409D504-B76F-48A4-A24B-04C8E7B26E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5" name="Rectangle 342">
          <a:extLst>
            <a:ext uri="{FF2B5EF4-FFF2-40B4-BE49-F238E27FC236}">
              <a16:creationId xmlns:a16="http://schemas.microsoft.com/office/drawing/2014/main" id="{F69796C2-C632-47D7-91AA-BFE5055432C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6" name="Rectangle 343">
          <a:extLst>
            <a:ext uri="{FF2B5EF4-FFF2-40B4-BE49-F238E27FC236}">
              <a16:creationId xmlns:a16="http://schemas.microsoft.com/office/drawing/2014/main" id="{B25B05CF-1972-4361-A54C-E62037856CE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7" name="Rectangle 344">
          <a:extLst>
            <a:ext uri="{FF2B5EF4-FFF2-40B4-BE49-F238E27FC236}">
              <a16:creationId xmlns:a16="http://schemas.microsoft.com/office/drawing/2014/main" id="{0B78063A-D40F-4082-B426-EB6774BB116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78" name="Rectangle 345">
          <a:extLst>
            <a:ext uri="{FF2B5EF4-FFF2-40B4-BE49-F238E27FC236}">
              <a16:creationId xmlns:a16="http://schemas.microsoft.com/office/drawing/2014/main" id="{A9A1056D-96A9-4A63-870D-C7290D1A63C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579" name="Rectangle 346">
          <a:extLst>
            <a:ext uri="{FF2B5EF4-FFF2-40B4-BE49-F238E27FC236}">
              <a16:creationId xmlns:a16="http://schemas.microsoft.com/office/drawing/2014/main" id="{6C314CC7-A2F0-4F57-8910-F3D025FAEA8B}"/>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0" name="Rectangle 347">
          <a:extLst>
            <a:ext uri="{FF2B5EF4-FFF2-40B4-BE49-F238E27FC236}">
              <a16:creationId xmlns:a16="http://schemas.microsoft.com/office/drawing/2014/main" id="{0EA4E03A-3A8B-4CDB-BAA0-45D25E16320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1" name="Rectangle 348">
          <a:extLst>
            <a:ext uri="{FF2B5EF4-FFF2-40B4-BE49-F238E27FC236}">
              <a16:creationId xmlns:a16="http://schemas.microsoft.com/office/drawing/2014/main" id="{F4EC6605-1C5E-4A70-A378-9ED888D9035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2" name="Rectangle 349">
          <a:extLst>
            <a:ext uri="{FF2B5EF4-FFF2-40B4-BE49-F238E27FC236}">
              <a16:creationId xmlns:a16="http://schemas.microsoft.com/office/drawing/2014/main" id="{CBC7686D-DA5F-497D-896B-685009AA7CF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3" name="Rectangle 350">
          <a:extLst>
            <a:ext uri="{FF2B5EF4-FFF2-40B4-BE49-F238E27FC236}">
              <a16:creationId xmlns:a16="http://schemas.microsoft.com/office/drawing/2014/main" id="{7A9AAF35-16D2-4C09-9127-3185CD7800B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4" name="Rectangle 351">
          <a:extLst>
            <a:ext uri="{FF2B5EF4-FFF2-40B4-BE49-F238E27FC236}">
              <a16:creationId xmlns:a16="http://schemas.microsoft.com/office/drawing/2014/main" id="{02AF9A19-7C92-4EB6-8891-AB5D522A220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5" name="Rectangle 352">
          <a:extLst>
            <a:ext uri="{FF2B5EF4-FFF2-40B4-BE49-F238E27FC236}">
              <a16:creationId xmlns:a16="http://schemas.microsoft.com/office/drawing/2014/main" id="{AF47BCEF-A538-4A63-BDEF-ED140036DD1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6" name="Rectangle 353">
          <a:extLst>
            <a:ext uri="{FF2B5EF4-FFF2-40B4-BE49-F238E27FC236}">
              <a16:creationId xmlns:a16="http://schemas.microsoft.com/office/drawing/2014/main" id="{7F73D44A-9DB3-4497-B74E-91A97555B96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7" name="Rectangle 354">
          <a:extLst>
            <a:ext uri="{FF2B5EF4-FFF2-40B4-BE49-F238E27FC236}">
              <a16:creationId xmlns:a16="http://schemas.microsoft.com/office/drawing/2014/main" id="{3FF1A3F3-FD88-4951-9FBC-C0630C0D60A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8" name="Rectangle 355">
          <a:extLst>
            <a:ext uri="{FF2B5EF4-FFF2-40B4-BE49-F238E27FC236}">
              <a16:creationId xmlns:a16="http://schemas.microsoft.com/office/drawing/2014/main" id="{910BE3C8-7505-4C1A-AE63-FD3C86CC7AB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89" name="Rectangle 356">
          <a:extLst>
            <a:ext uri="{FF2B5EF4-FFF2-40B4-BE49-F238E27FC236}">
              <a16:creationId xmlns:a16="http://schemas.microsoft.com/office/drawing/2014/main" id="{34A20689-574C-4AD1-AC28-7ADDA98A04A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0" name="Rectangle 357">
          <a:extLst>
            <a:ext uri="{FF2B5EF4-FFF2-40B4-BE49-F238E27FC236}">
              <a16:creationId xmlns:a16="http://schemas.microsoft.com/office/drawing/2014/main" id="{760D7FB5-D485-4618-8A03-29F24A4056D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1" name="Rectangle 358">
          <a:extLst>
            <a:ext uri="{FF2B5EF4-FFF2-40B4-BE49-F238E27FC236}">
              <a16:creationId xmlns:a16="http://schemas.microsoft.com/office/drawing/2014/main" id="{1E905E53-833C-4203-9093-44492274E96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2" name="Rectangle 359">
          <a:extLst>
            <a:ext uri="{FF2B5EF4-FFF2-40B4-BE49-F238E27FC236}">
              <a16:creationId xmlns:a16="http://schemas.microsoft.com/office/drawing/2014/main" id="{D3FE0CC3-6C73-43F2-8746-4CC183B9238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3" name="Rectangle 360">
          <a:extLst>
            <a:ext uri="{FF2B5EF4-FFF2-40B4-BE49-F238E27FC236}">
              <a16:creationId xmlns:a16="http://schemas.microsoft.com/office/drawing/2014/main" id="{E256A0EC-338B-41EF-A400-B7EE2D6B22E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4" name="Rectangle 361">
          <a:extLst>
            <a:ext uri="{FF2B5EF4-FFF2-40B4-BE49-F238E27FC236}">
              <a16:creationId xmlns:a16="http://schemas.microsoft.com/office/drawing/2014/main" id="{7D571119-F54C-4B46-BA8E-134A9CADCF1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5" name="Rectangle 362">
          <a:extLst>
            <a:ext uri="{FF2B5EF4-FFF2-40B4-BE49-F238E27FC236}">
              <a16:creationId xmlns:a16="http://schemas.microsoft.com/office/drawing/2014/main" id="{78C3B27B-D23B-4D85-BE7D-3CF584B1B1E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6" name="Rectangle 363">
          <a:extLst>
            <a:ext uri="{FF2B5EF4-FFF2-40B4-BE49-F238E27FC236}">
              <a16:creationId xmlns:a16="http://schemas.microsoft.com/office/drawing/2014/main" id="{3232F945-0401-48E6-AC0C-886ADE25E30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7" name="Rectangle 364">
          <a:extLst>
            <a:ext uri="{FF2B5EF4-FFF2-40B4-BE49-F238E27FC236}">
              <a16:creationId xmlns:a16="http://schemas.microsoft.com/office/drawing/2014/main" id="{52E6D99B-01B4-4B50-B77B-44BC1A338D1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598" name="Rectangle 365">
          <a:extLst>
            <a:ext uri="{FF2B5EF4-FFF2-40B4-BE49-F238E27FC236}">
              <a16:creationId xmlns:a16="http://schemas.microsoft.com/office/drawing/2014/main" id="{A74F2588-A42B-4F27-992C-937F228BE3D7}"/>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599" name="Rectangle 366">
          <a:extLst>
            <a:ext uri="{FF2B5EF4-FFF2-40B4-BE49-F238E27FC236}">
              <a16:creationId xmlns:a16="http://schemas.microsoft.com/office/drawing/2014/main" id="{688BBDBD-7056-44B9-A9C6-B18A2CB1E3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0" name="Rectangle 367">
          <a:extLst>
            <a:ext uri="{FF2B5EF4-FFF2-40B4-BE49-F238E27FC236}">
              <a16:creationId xmlns:a16="http://schemas.microsoft.com/office/drawing/2014/main" id="{9606A9D5-FB8D-449C-8309-CABD2D2C46A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1" name="Rectangle 368">
          <a:extLst>
            <a:ext uri="{FF2B5EF4-FFF2-40B4-BE49-F238E27FC236}">
              <a16:creationId xmlns:a16="http://schemas.microsoft.com/office/drawing/2014/main" id="{91599C24-2214-487D-8D5F-17E6CD5C657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2" name="Rectangle 369">
          <a:extLst>
            <a:ext uri="{FF2B5EF4-FFF2-40B4-BE49-F238E27FC236}">
              <a16:creationId xmlns:a16="http://schemas.microsoft.com/office/drawing/2014/main" id="{25F0F1C1-F4E3-4180-B939-C9DB31836FA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3" name="Rectangle 370">
          <a:extLst>
            <a:ext uri="{FF2B5EF4-FFF2-40B4-BE49-F238E27FC236}">
              <a16:creationId xmlns:a16="http://schemas.microsoft.com/office/drawing/2014/main" id="{1825E3F2-52CC-4662-A54B-1B76212C151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4" name="Rectangle 371">
          <a:extLst>
            <a:ext uri="{FF2B5EF4-FFF2-40B4-BE49-F238E27FC236}">
              <a16:creationId xmlns:a16="http://schemas.microsoft.com/office/drawing/2014/main" id="{856795E2-6067-4D5B-98AF-4321A437B8C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5" name="Rectangle 372">
          <a:extLst>
            <a:ext uri="{FF2B5EF4-FFF2-40B4-BE49-F238E27FC236}">
              <a16:creationId xmlns:a16="http://schemas.microsoft.com/office/drawing/2014/main" id="{0F9DE6CF-54FE-49DF-8195-4DEBE132393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6" name="Rectangle 373">
          <a:extLst>
            <a:ext uri="{FF2B5EF4-FFF2-40B4-BE49-F238E27FC236}">
              <a16:creationId xmlns:a16="http://schemas.microsoft.com/office/drawing/2014/main" id="{BB7B3271-4B5C-4F1E-BF5B-9A06E1D5D4B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7" name="Rectangle 374">
          <a:extLst>
            <a:ext uri="{FF2B5EF4-FFF2-40B4-BE49-F238E27FC236}">
              <a16:creationId xmlns:a16="http://schemas.microsoft.com/office/drawing/2014/main" id="{38AE20A0-44BB-4671-A136-BC977B5882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8" name="Rectangle 375">
          <a:extLst>
            <a:ext uri="{FF2B5EF4-FFF2-40B4-BE49-F238E27FC236}">
              <a16:creationId xmlns:a16="http://schemas.microsoft.com/office/drawing/2014/main" id="{A631F8B2-B5B1-4E72-AB96-39393B3E17D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09" name="Rectangle 376">
          <a:extLst>
            <a:ext uri="{FF2B5EF4-FFF2-40B4-BE49-F238E27FC236}">
              <a16:creationId xmlns:a16="http://schemas.microsoft.com/office/drawing/2014/main" id="{306891D1-3574-47F5-91D8-5EFA32CC110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0" name="Rectangle 377">
          <a:extLst>
            <a:ext uri="{FF2B5EF4-FFF2-40B4-BE49-F238E27FC236}">
              <a16:creationId xmlns:a16="http://schemas.microsoft.com/office/drawing/2014/main" id="{8C166329-C55F-4795-8F20-C81DD82D672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611" name="Rectangle 378">
          <a:extLst>
            <a:ext uri="{FF2B5EF4-FFF2-40B4-BE49-F238E27FC236}">
              <a16:creationId xmlns:a16="http://schemas.microsoft.com/office/drawing/2014/main" id="{6861C97A-E8D7-45C7-8BE7-3E3F8CFDC685}"/>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2" name="Rectangle 379">
          <a:extLst>
            <a:ext uri="{FF2B5EF4-FFF2-40B4-BE49-F238E27FC236}">
              <a16:creationId xmlns:a16="http://schemas.microsoft.com/office/drawing/2014/main" id="{07885A47-753E-4AD0-BF7E-5ACD5C3C6F3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3" name="Rectangle 380">
          <a:extLst>
            <a:ext uri="{FF2B5EF4-FFF2-40B4-BE49-F238E27FC236}">
              <a16:creationId xmlns:a16="http://schemas.microsoft.com/office/drawing/2014/main" id="{61034891-2D4E-45BD-B516-953D56D3EB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4" name="Rectangle 381">
          <a:extLst>
            <a:ext uri="{FF2B5EF4-FFF2-40B4-BE49-F238E27FC236}">
              <a16:creationId xmlns:a16="http://schemas.microsoft.com/office/drawing/2014/main" id="{CF1F7F5F-B87B-4052-8E20-AF68C0F682E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5" name="Rectangle 382">
          <a:extLst>
            <a:ext uri="{FF2B5EF4-FFF2-40B4-BE49-F238E27FC236}">
              <a16:creationId xmlns:a16="http://schemas.microsoft.com/office/drawing/2014/main" id="{B558E09E-A637-49FB-B029-3EF2173A124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6" name="Rectangle 383">
          <a:extLst>
            <a:ext uri="{FF2B5EF4-FFF2-40B4-BE49-F238E27FC236}">
              <a16:creationId xmlns:a16="http://schemas.microsoft.com/office/drawing/2014/main" id="{647EBF85-61AE-4E41-8390-FCF048F4297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7" name="Rectangle 384">
          <a:extLst>
            <a:ext uri="{FF2B5EF4-FFF2-40B4-BE49-F238E27FC236}">
              <a16:creationId xmlns:a16="http://schemas.microsoft.com/office/drawing/2014/main" id="{3084C490-2D01-4F68-99BB-9BACAABDE4A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8" name="Rectangle 385">
          <a:extLst>
            <a:ext uri="{FF2B5EF4-FFF2-40B4-BE49-F238E27FC236}">
              <a16:creationId xmlns:a16="http://schemas.microsoft.com/office/drawing/2014/main" id="{F5A6E875-E0E7-4F9B-8B17-3407DC384B9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19" name="Rectangle 386">
          <a:extLst>
            <a:ext uri="{FF2B5EF4-FFF2-40B4-BE49-F238E27FC236}">
              <a16:creationId xmlns:a16="http://schemas.microsoft.com/office/drawing/2014/main" id="{521D3393-58BA-4AF3-B987-7B1BB507244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0" name="Rectangle 387">
          <a:extLst>
            <a:ext uri="{FF2B5EF4-FFF2-40B4-BE49-F238E27FC236}">
              <a16:creationId xmlns:a16="http://schemas.microsoft.com/office/drawing/2014/main" id="{B4151342-17DE-437B-B5DB-95D7DC6CC7E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1" name="Rectangle 388">
          <a:extLst>
            <a:ext uri="{FF2B5EF4-FFF2-40B4-BE49-F238E27FC236}">
              <a16:creationId xmlns:a16="http://schemas.microsoft.com/office/drawing/2014/main" id="{AF96C1C5-DC53-481C-8B28-C8A0FFDBD2D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2" name="Rectangle 389">
          <a:extLst>
            <a:ext uri="{FF2B5EF4-FFF2-40B4-BE49-F238E27FC236}">
              <a16:creationId xmlns:a16="http://schemas.microsoft.com/office/drawing/2014/main" id="{62F1DD59-2192-4AB5-BB53-245B3715470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3" name="Rectangle 390">
          <a:extLst>
            <a:ext uri="{FF2B5EF4-FFF2-40B4-BE49-F238E27FC236}">
              <a16:creationId xmlns:a16="http://schemas.microsoft.com/office/drawing/2014/main" id="{0072997C-4DEE-41CE-8DCC-CCFD87B5F92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4" name="Rectangle 391">
          <a:extLst>
            <a:ext uri="{FF2B5EF4-FFF2-40B4-BE49-F238E27FC236}">
              <a16:creationId xmlns:a16="http://schemas.microsoft.com/office/drawing/2014/main" id="{4B7E7A2C-7409-4013-8191-904304EAB1B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5" name="Rectangle 392">
          <a:extLst>
            <a:ext uri="{FF2B5EF4-FFF2-40B4-BE49-F238E27FC236}">
              <a16:creationId xmlns:a16="http://schemas.microsoft.com/office/drawing/2014/main" id="{F01F5ABB-97F7-4E17-97F8-653C331AFF7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6" name="Rectangle 393">
          <a:extLst>
            <a:ext uri="{FF2B5EF4-FFF2-40B4-BE49-F238E27FC236}">
              <a16:creationId xmlns:a16="http://schemas.microsoft.com/office/drawing/2014/main" id="{8B48BAF0-0DB9-4F5E-B938-52868CBB90A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7" name="Rectangle 394">
          <a:extLst>
            <a:ext uri="{FF2B5EF4-FFF2-40B4-BE49-F238E27FC236}">
              <a16:creationId xmlns:a16="http://schemas.microsoft.com/office/drawing/2014/main" id="{75E0D0D5-FA3B-4507-A0AD-87F41BD7A11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8" name="Rectangle 395">
          <a:extLst>
            <a:ext uri="{FF2B5EF4-FFF2-40B4-BE49-F238E27FC236}">
              <a16:creationId xmlns:a16="http://schemas.microsoft.com/office/drawing/2014/main" id="{59334805-6B5A-4DB1-91B1-A9F9B7419F8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29" name="Rectangle 396">
          <a:extLst>
            <a:ext uri="{FF2B5EF4-FFF2-40B4-BE49-F238E27FC236}">
              <a16:creationId xmlns:a16="http://schemas.microsoft.com/office/drawing/2014/main" id="{29FF8236-D32A-4B48-B8DF-006079D764D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630" name="Rectangle 397">
          <a:extLst>
            <a:ext uri="{FF2B5EF4-FFF2-40B4-BE49-F238E27FC236}">
              <a16:creationId xmlns:a16="http://schemas.microsoft.com/office/drawing/2014/main" id="{507CA0D7-0498-4197-B219-2B589838B3C7}"/>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1" name="Rectangle 398">
          <a:extLst>
            <a:ext uri="{FF2B5EF4-FFF2-40B4-BE49-F238E27FC236}">
              <a16:creationId xmlns:a16="http://schemas.microsoft.com/office/drawing/2014/main" id="{A2928A77-2BCC-42E5-B908-55D496F24B7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2" name="Rectangle 399">
          <a:extLst>
            <a:ext uri="{FF2B5EF4-FFF2-40B4-BE49-F238E27FC236}">
              <a16:creationId xmlns:a16="http://schemas.microsoft.com/office/drawing/2014/main" id="{27F6550E-0CDC-4ACB-B6B5-9603B81A8DF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3" name="Rectangle 400">
          <a:extLst>
            <a:ext uri="{FF2B5EF4-FFF2-40B4-BE49-F238E27FC236}">
              <a16:creationId xmlns:a16="http://schemas.microsoft.com/office/drawing/2014/main" id="{C1FDAC23-5FE9-4E23-AA60-B77ED4B67D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4" name="Rectangle 401">
          <a:extLst>
            <a:ext uri="{FF2B5EF4-FFF2-40B4-BE49-F238E27FC236}">
              <a16:creationId xmlns:a16="http://schemas.microsoft.com/office/drawing/2014/main" id="{5B67E8B1-953E-4799-A520-57014F8913B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5" name="Rectangle 402">
          <a:extLst>
            <a:ext uri="{FF2B5EF4-FFF2-40B4-BE49-F238E27FC236}">
              <a16:creationId xmlns:a16="http://schemas.microsoft.com/office/drawing/2014/main" id="{EB8C0900-8AE2-46FB-8828-F4C13674AE3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6" name="Rectangle 403">
          <a:extLst>
            <a:ext uri="{FF2B5EF4-FFF2-40B4-BE49-F238E27FC236}">
              <a16:creationId xmlns:a16="http://schemas.microsoft.com/office/drawing/2014/main" id="{6C49E8EE-4AD8-45AB-B723-7BABB36CA71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7" name="Rectangle 404">
          <a:extLst>
            <a:ext uri="{FF2B5EF4-FFF2-40B4-BE49-F238E27FC236}">
              <a16:creationId xmlns:a16="http://schemas.microsoft.com/office/drawing/2014/main" id="{735A815C-A31B-410D-A437-20521A1BB5E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8" name="Rectangle 405">
          <a:extLst>
            <a:ext uri="{FF2B5EF4-FFF2-40B4-BE49-F238E27FC236}">
              <a16:creationId xmlns:a16="http://schemas.microsoft.com/office/drawing/2014/main" id="{2D43EAC3-D244-46E6-B235-4A85040524A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39" name="Rectangle 406">
          <a:extLst>
            <a:ext uri="{FF2B5EF4-FFF2-40B4-BE49-F238E27FC236}">
              <a16:creationId xmlns:a16="http://schemas.microsoft.com/office/drawing/2014/main" id="{A639EA00-577F-4F78-A191-0FB3206933C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0" name="Rectangle 407">
          <a:extLst>
            <a:ext uri="{FF2B5EF4-FFF2-40B4-BE49-F238E27FC236}">
              <a16:creationId xmlns:a16="http://schemas.microsoft.com/office/drawing/2014/main" id="{E73FB0D5-10FB-40A4-A122-F21C7C358D7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1" name="Rectangle 408">
          <a:extLst>
            <a:ext uri="{FF2B5EF4-FFF2-40B4-BE49-F238E27FC236}">
              <a16:creationId xmlns:a16="http://schemas.microsoft.com/office/drawing/2014/main" id="{01B1E8BF-717C-4EEC-8DD8-151370CD409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2" name="Rectangle 409">
          <a:extLst>
            <a:ext uri="{FF2B5EF4-FFF2-40B4-BE49-F238E27FC236}">
              <a16:creationId xmlns:a16="http://schemas.microsoft.com/office/drawing/2014/main" id="{BEBC490B-F022-40E0-B101-C22C038E7B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3" name="Rectangle 410">
          <a:extLst>
            <a:ext uri="{FF2B5EF4-FFF2-40B4-BE49-F238E27FC236}">
              <a16:creationId xmlns:a16="http://schemas.microsoft.com/office/drawing/2014/main" id="{CF09A7C8-B1EB-47F7-A5C6-EF2A90BAFC4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4" name="Rectangle 411">
          <a:extLst>
            <a:ext uri="{FF2B5EF4-FFF2-40B4-BE49-F238E27FC236}">
              <a16:creationId xmlns:a16="http://schemas.microsoft.com/office/drawing/2014/main" id="{9FA90BC9-06D3-453A-9B06-D6345069BC2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5" name="Rectangle 412">
          <a:extLst>
            <a:ext uri="{FF2B5EF4-FFF2-40B4-BE49-F238E27FC236}">
              <a16:creationId xmlns:a16="http://schemas.microsoft.com/office/drawing/2014/main" id="{51976667-5237-4AA2-BBDA-43CCA78A1F4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6" name="Rectangle 413">
          <a:extLst>
            <a:ext uri="{FF2B5EF4-FFF2-40B4-BE49-F238E27FC236}">
              <a16:creationId xmlns:a16="http://schemas.microsoft.com/office/drawing/2014/main" id="{3EB5B5C0-072D-4C34-83B2-C8B58FBE361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7" name="Rectangle 414">
          <a:extLst>
            <a:ext uri="{FF2B5EF4-FFF2-40B4-BE49-F238E27FC236}">
              <a16:creationId xmlns:a16="http://schemas.microsoft.com/office/drawing/2014/main" id="{568F0668-0D6E-495E-8307-0377448DB3C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8" name="Rectangle 415">
          <a:extLst>
            <a:ext uri="{FF2B5EF4-FFF2-40B4-BE49-F238E27FC236}">
              <a16:creationId xmlns:a16="http://schemas.microsoft.com/office/drawing/2014/main" id="{A1063ED9-F281-42B1-BC78-E8B976FA490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49" name="Rectangle 416">
          <a:extLst>
            <a:ext uri="{FF2B5EF4-FFF2-40B4-BE49-F238E27FC236}">
              <a16:creationId xmlns:a16="http://schemas.microsoft.com/office/drawing/2014/main" id="{CC2D5452-CF3B-4A63-B9C5-4170B12D3E4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0" name="Rectangle 417">
          <a:extLst>
            <a:ext uri="{FF2B5EF4-FFF2-40B4-BE49-F238E27FC236}">
              <a16:creationId xmlns:a16="http://schemas.microsoft.com/office/drawing/2014/main" id="{372678A6-8E57-4B17-8CAF-9B5E1EB8920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1" name="Rectangle 418">
          <a:extLst>
            <a:ext uri="{FF2B5EF4-FFF2-40B4-BE49-F238E27FC236}">
              <a16:creationId xmlns:a16="http://schemas.microsoft.com/office/drawing/2014/main" id="{115FE3F8-3C38-4A09-BDEF-3A6C377B3F7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2" name="Rectangle 419">
          <a:extLst>
            <a:ext uri="{FF2B5EF4-FFF2-40B4-BE49-F238E27FC236}">
              <a16:creationId xmlns:a16="http://schemas.microsoft.com/office/drawing/2014/main" id="{A6B8C25D-505E-40F9-9254-2ADDA3E8ED9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3" name="Rectangle 420">
          <a:extLst>
            <a:ext uri="{FF2B5EF4-FFF2-40B4-BE49-F238E27FC236}">
              <a16:creationId xmlns:a16="http://schemas.microsoft.com/office/drawing/2014/main" id="{DA4DED8F-033F-4AE8-929F-5FFCB91FE59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4" name="Rectangle 421">
          <a:extLst>
            <a:ext uri="{FF2B5EF4-FFF2-40B4-BE49-F238E27FC236}">
              <a16:creationId xmlns:a16="http://schemas.microsoft.com/office/drawing/2014/main" id="{A27B4906-BE28-4C9E-AADC-7AD1A236289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655" name="Rectangle 422">
          <a:extLst>
            <a:ext uri="{FF2B5EF4-FFF2-40B4-BE49-F238E27FC236}">
              <a16:creationId xmlns:a16="http://schemas.microsoft.com/office/drawing/2014/main" id="{2D905B15-C181-4579-977B-DC703688EEA9}"/>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6" name="Rectangle 423">
          <a:extLst>
            <a:ext uri="{FF2B5EF4-FFF2-40B4-BE49-F238E27FC236}">
              <a16:creationId xmlns:a16="http://schemas.microsoft.com/office/drawing/2014/main" id="{10CF6946-3101-41CE-A617-34AF7517AF5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7" name="Rectangle 424">
          <a:extLst>
            <a:ext uri="{FF2B5EF4-FFF2-40B4-BE49-F238E27FC236}">
              <a16:creationId xmlns:a16="http://schemas.microsoft.com/office/drawing/2014/main" id="{F55703AB-D35A-4C78-85BC-1C1CBD49DE5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8" name="Rectangle 425">
          <a:extLst>
            <a:ext uri="{FF2B5EF4-FFF2-40B4-BE49-F238E27FC236}">
              <a16:creationId xmlns:a16="http://schemas.microsoft.com/office/drawing/2014/main" id="{69DB2203-0526-4887-B559-B884AFB866E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59" name="Rectangle 426">
          <a:extLst>
            <a:ext uri="{FF2B5EF4-FFF2-40B4-BE49-F238E27FC236}">
              <a16:creationId xmlns:a16="http://schemas.microsoft.com/office/drawing/2014/main" id="{3C8F4AC4-AA97-4AB2-A507-1535C77B191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0" name="Rectangle 427">
          <a:extLst>
            <a:ext uri="{FF2B5EF4-FFF2-40B4-BE49-F238E27FC236}">
              <a16:creationId xmlns:a16="http://schemas.microsoft.com/office/drawing/2014/main" id="{D7FFEBF9-8D02-41C1-B206-6BB56BD4EB5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1" name="Rectangle 428">
          <a:extLst>
            <a:ext uri="{FF2B5EF4-FFF2-40B4-BE49-F238E27FC236}">
              <a16:creationId xmlns:a16="http://schemas.microsoft.com/office/drawing/2014/main" id="{93338644-B60A-4FBE-ABED-D2A5347F13B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2" name="Rectangle 429">
          <a:extLst>
            <a:ext uri="{FF2B5EF4-FFF2-40B4-BE49-F238E27FC236}">
              <a16:creationId xmlns:a16="http://schemas.microsoft.com/office/drawing/2014/main" id="{D8E2C8B5-43A9-45AF-A0B6-2B37095C408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3" name="Rectangle 430">
          <a:extLst>
            <a:ext uri="{FF2B5EF4-FFF2-40B4-BE49-F238E27FC236}">
              <a16:creationId xmlns:a16="http://schemas.microsoft.com/office/drawing/2014/main" id="{0C825233-0859-49DF-9D15-943E3C46605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4" name="Rectangle 431">
          <a:extLst>
            <a:ext uri="{FF2B5EF4-FFF2-40B4-BE49-F238E27FC236}">
              <a16:creationId xmlns:a16="http://schemas.microsoft.com/office/drawing/2014/main" id="{5E405BF4-AF75-45A5-B848-D3DA1559380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5" name="Rectangle 432">
          <a:extLst>
            <a:ext uri="{FF2B5EF4-FFF2-40B4-BE49-F238E27FC236}">
              <a16:creationId xmlns:a16="http://schemas.microsoft.com/office/drawing/2014/main" id="{3C49DF7A-2B2F-4B73-A9FD-47DD02CF296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6" name="Rectangle 433">
          <a:extLst>
            <a:ext uri="{FF2B5EF4-FFF2-40B4-BE49-F238E27FC236}">
              <a16:creationId xmlns:a16="http://schemas.microsoft.com/office/drawing/2014/main" id="{84EF394F-238E-4C9D-AFD4-91F62E39F80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7" name="Rectangle 434">
          <a:extLst>
            <a:ext uri="{FF2B5EF4-FFF2-40B4-BE49-F238E27FC236}">
              <a16:creationId xmlns:a16="http://schemas.microsoft.com/office/drawing/2014/main" id="{51B4496B-938F-45D5-8956-F0CD98EE94F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8" name="Rectangle 435">
          <a:extLst>
            <a:ext uri="{FF2B5EF4-FFF2-40B4-BE49-F238E27FC236}">
              <a16:creationId xmlns:a16="http://schemas.microsoft.com/office/drawing/2014/main" id="{F151B6BA-D61B-4B3A-8AFA-9E8E81E5FE7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69" name="Rectangle 436">
          <a:extLst>
            <a:ext uri="{FF2B5EF4-FFF2-40B4-BE49-F238E27FC236}">
              <a16:creationId xmlns:a16="http://schemas.microsoft.com/office/drawing/2014/main" id="{6848EF58-DA02-45D3-83C5-0CB3C1EA037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0" name="Rectangle 437">
          <a:extLst>
            <a:ext uri="{FF2B5EF4-FFF2-40B4-BE49-F238E27FC236}">
              <a16:creationId xmlns:a16="http://schemas.microsoft.com/office/drawing/2014/main" id="{2FEF6703-0061-42EE-8939-B5BC991C1BC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1" name="Rectangle 438">
          <a:extLst>
            <a:ext uri="{FF2B5EF4-FFF2-40B4-BE49-F238E27FC236}">
              <a16:creationId xmlns:a16="http://schemas.microsoft.com/office/drawing/2014/main" id="{003A1998-AF73-44A5-8980-7720FCD0942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2" name="Rectangle 439">
          <a:extLst>
            <a:ext uri="{FF2B5EF4-FFF2-40B4-BE49-F238E27FC236}">
              <a16:creationId xmlns:a16="http://schemas.microsoft.com/office/drawing/2014/main" id="{4C0F5C19-EB6D-4997-BFA3-0DAC90D1B3D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3" name="Rectangle 440">
          <a:extLst>
            <a:ext uri="{FF2B5EF4-FFF2-40B4-BE49-F238E27FC236}">
              <a16:creationId xmlns:a16="http://schemas.microsoft.com/office/drawing/2014/main" id="{A77F6776-8550-4D81-B18B-DC77D14E0F2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4" name="Rectangle 441">
          <a:extLst>
            <a:ext uri="{FF2B5EF4-FFF2-40B4-BE49-F238E27FC236}">
              <a16:creationId xmlns:a16="http://schemas.microsoft.com/office/drawing/2014/main" id="{331D2749-676A-455D-8716-315AC94045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5" name="Rectangle 442">
          <a:extLst>
            <a:ext uri="{FF2B5EF4-FFF2-40B4-BE49-F238E27FC236}">
              <a16:creationId xmlns:a16="http://schemas.microsoft.com/office/drawing/2014/main" id="{6274399F-48BD-4B1B-BA98-AEE08E5B59C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6" name="Rectangle 443">
          <a:extLst>
            <a:ext uri="{FF2B5EF4-FFF2-40B4-BE49-F238E27FC236}">
              <a16:creationId xmlns:a16="http://schemas.microsoft.com/office/drawing/2014/main" id="{9E11F595-7BA4-4AD4-BEEE-1604882B95C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7" name="Rectangle 444">
          <a:extLst>
            <a:ext uri="{FF2B5EF4-FFF2-40B4-BE49-F238E27FC236}">
              <a16:creationId xmlns:a16="http://schemas.microsoft.com/office/drawing/2014/main" id="{50A075B2-8923-4820-8911-E12DA0DEB1A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8" name="Rectangle 445">
          <a:extLst>
            <a:ext uri="{FF2B5EF4-FFF2-40B4-BE49-F238E27FC236}">
              <a16:creationId xmlns:a16="http://schemas.microsoft.com/office/drawing/2014/main" id="{A53A88B1-1360-443D-86F0-EF1A79EB335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79" name="Rectangle 446">
          <a:extLst>
            <a:ext uri="{FF2B5EF4-FFF2-40B4-BE49-F238E27FC236}">
              <a16:creationId xmlns:a16="http://schemas.microsoft.com/office/drawing/2014/main" id="{67B960B4-C0CA-4D2D-96DC-1E3259CC872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0" name="Rectangle 447">
          <a:extLst>
            <a:ext uri="{FF2B5EF4-FFF2-40B4-BE49-F238E27FC236}">
              <a16:creationId xmlns:a16="http://schemas.microsoft.com/office/drawing/2014/main" id="{BF2917E5-2014-4403-AE65-7A33B9D6AAA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1" name="Rectangle 448">
          <a:extLst>
            <a:ext uri="{FF2B5EF4-FFF2-40B4-BE49-F238E27FC236}">
              <a16:creationId xmlns:a16="http://schemas.microsoft.com/office/drawing/2014/main" id="{AC00435D-C76E-4F0E-AF94-C6207C732E6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2" name="Rectangle 449">
          <a:extLst>
            <a:ext uri="{FF2B5EF4-FFF2-40B4-BE49-F238E27FC236}">
              <a16:creationId xmlns:a16="http://schemas.microsoft.com/office/drawing/2014/main" id="{AC9478B3-FEFC-4E82-8C96-18CEF3A8F42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3" name="Rectangle 450">
          <a:extLst>
            <a:ext uri="{FF2B5EF4-FFF2-40B4-BE49-F238E27FC236}">
              <a16:creationId xmlns:a16="http://schemas.microsoft.com/office/drawing/2014/main" id="{1FD3F4FC-038B-4CA4-9CAA-D820805F669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4" name="Rectangle 451">
          <a:extLst>
            <a:ext uri="{FF2B5EF4-FFF2-40B4-BE49-F238E27FC236}">
              <a16:creationId xmlns:a16="http://schemas.microsoft.com/office/drawing/2014/main" id="{8E64C142-5BB4-4855-8CEE-A9103BE63F6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5" name="Rectangle 452">
          <a:extLst>
            <a:ext uri="{FF2B5EF4-FFF2-40B4-BE49-F238E27FC236}">
              <a16:creationId xmlns:a16="http://schemas.microsoft.com/office/drawing/2014/main" id="{DE85A1A8-7E4A-49AC-AB1F-48AA1BC6B15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686" name="Rectangle 453">
          <a:extLst>
            <a:ext uri="{FF2B5EF4-FFF2-40B4-BE49-F238E27FC236}">
              <a16:creationId xmlns:a16="http://schemas.microsoft.com/office/drawing/2014/main" id="{26469052-BBD2-4109-B9F7-393CE4C0AC30}"/>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7" name="Rectangle 454">
          <a:extLst>
            <a:ext uri="{FF2B5EF4-FFF2-40B4-BE49-F238E27FC236}">
              <a16:creationId xmlns:a16="http://schemas.microsoft.com/office/drawing/2014/main" id="{136C9546-3BB9-4866-A7A4-80099C493D1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8" name="Rectangle 455">
          <a:extLst>
            <a:ext uri="{FF2B5EF4-FFF2-40B4-BE49-F238E27FC236}">
              <a16:creationId xmlns:a16="http://schemas.microsoft.com/office/drawing/2014/main" id="{F3565F03-E375-40FC-80E1-49AFEA385A1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89" name="Rectangle 456">
          <a:extLst>
            <a:ext uri="{FF2B5EF4-FFF2-40B4-BE49-F238E27FC236}">
              <a16:creationId xmlns:a16="http://schemas.microsoft.com/office/drawing/2014/main" id="{47B25524-3D0F-4E01-B004-0CD3D3B0E42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0" name="Rectangle 457">
          <a:extLst>
            <a:ext uri="{FF2B5EF4-FFF2-40B4-BE49-F238E27FC236}">
              <a16:creationId xmlns:a16="http://schemas.microsoft.com/office/drawing/2014/main" id="{E284D9DC-AB42-4D27-9B4D-590E604C17C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1" name="Rectangle 458">
          <a:extLst>
            <a:ext uri="{FF2B5EF4-FFF2-40B4-BE49-F238E27FC236}">
              <a16:creationId xmlns:a16="http://schemas.microsoft.com/office/drawing/2014/main" id="{01E18786-5682-4918-8EB4-45EF6BC9CA6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2" name="Rectangle 459">
          <a:extLst>
            <a:ext uri="{FF2B5EF4-FFF2-40B4-BE49-F238E27FC236}">
              <a16:creationId xmlns:a16="http://schemas.microsoft.com/office/drawing/2014/main" id="{524032A6-0700-4E6A-8FA1-BFC1D8C99C9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3" name="Rectangle 460">
          <a:extLst>
            <a:ext uri="{FF2B5EF4-FFF2-40B4-BE49-F238E27FC236}">
              <a16:creationId xmlns:a16="http://schemas.microsoft.com/office/drawing/2014/main" id="{81F46DE6-253B-4087-98BE-A8B90956B68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4" name="Rectangle 461">
          <a:extLst>
            <a:ext uri="{FF2B5EF4-FFF2-40B4-BE49-F238E27FC236}">
              <a16:creationId xmlns:a16="http://schemas.microsoft.com/office/drawing/2014/main" id="{5CB31793-EC7A-4595-AE8C-C63890BE89B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5" name="Rectangle 462">
          <a:extLst>
            <a:ext uri="{FF2B5EF4-FFF2-40B4-BE49-F238E27FC236}">
              <a16:creationId xmlns:a16="http://schemas.microsoft.com/office/drawing/2014/main" id="{F209F973-8917-4732-8EF5-407112F6790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6" name="Rectangle 463">
          <a:extLst>
            <a:ext uri="{FF2B5EF4-FFF2-40B4-BE49-F238E27FC236}">
              <a16:creationId xmlns:a16="http://schemas.microsoft.com/office/drawing/2014/main" id="{3F7F80F4-76DC-4FA9-8F42-F34C1351274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7" name="Rectangle 464">
          <a:extLst>
            <a:ext uri="{FF2B5EF4-FFF2-40B4-BE49-F238E27FC236}">
              <a16:creationId xmlns:a16="http://schemas.microsoft.com/office/drawing/2014/main" id="{2B1C6839-24C4-4823-9424-426FAFC777C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698" name="Rectangle 465">
          <a:extLst>
            <a:ext uri="{FF2B5EF4-FFF2-40B4-BE49-F238E27FC236}">
              <a16:creationId xmlns:a16="http://schemas.microsoft.com/office/drawing/2014/main" id="{7734DCC8-6C8A-4FC0-A4F9-0F61BE6FFD5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699" name="Rectangle 466">
          <a:extLst>
            <a:ext uri="{FF2B5EF4-FFF2-40B4-BE49-F238E27FC236}">
              <a16:creationId xmlns:a16="http://schemas.microsoft.com/office/drawing/2014/main" id="{513B69DA-0733-4807-88DF-439FB770509E}"/>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0" name="Rectangle 467">
          <a:extLst>
            <a:ext uri="{FF2B5EF4-FFF2-40B4-BE49-F238E27FC236}">
              <a16:creationId xmlns:a16="http://schemas.microsoft.com/office/drawing/2014/main" id="{153B6095-0F2E-4018-A2C5-C167B40399F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1" name="Rectangle 468">
          <a:extLst>
            <a:ext uri="{FF2B5EF4-FFF2-40B4-BE49-F238E27FC236}">
              <a16:creationId xmlns:a16="http://schemas.microsoft.com/office/drawing/2014/main" id="{C1DB78BB-C09A-4A7A-9C9F-5763ED92817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2" name="Rectangle 469">
          <a:extLst>
            <a:ext uri="{FF2B5EF4-FFF2-40B4-BE49-F238E27FC236}">
              <a16:creationId xmlns:a16="http://schemas.microsoft.com/office/drawing/2014/main" id="{6EAD1F57-2FA8-4F42-92CF-F7B1EE9C27E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3" name="Rectangle 470">
          <a:extLst>
            <a:ext uri="{FF2B5EF4-FFF2-40B4-BE49-F238E27FC236}">
              <a16:creationId xmlns:a16="http://schemas.microsoft.com/office/drawing/2014/main" id="{29F3E71A-8332-415F-A49F-62906F5C2E5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4" name="Rectangle 471">
          <a:extLst>
            <a:ext uri="{FF2B5EF4-FFF2-40B4-BE49-F238E27FC236}">
              <a16:creationId xmlns:a16="http://schemas.microsoft.com/office/drawing/2014/main" id="{9646AAED-621E-4011-9E01-69FA87525A1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5" name="Rectangle 472">
          <a:extLst>
            <a:ext uri="{FF2B5EF4-FFF2-40B4-BE49-F238E27FC236}">
              <a16:creationId xmlns:a16="http://schemas.microsoft.com/office/drawing/2014/main" id="{E170908A-79A6-47E3-9D8D-15140A369F1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6" name="Rectangle 473">
          <a:extLst>
            <a:ext uri="{FF2B5EF4-FFF2-40B4-BE49-F238E27FC236}">
              <a16:creationId xmlns:a16="http://schemas.microsoft.com/office/drawing/2014/main" id="{D8C9E264-DA36-4509-B264-A803522AC86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7" name="Rectangle 474">
          <a:extLst>
            <a:ext uri="{FF2B5EF4-FFF2-40B4-BE49-F238E27FC236}">
              <a16:creationId xmlns:a16="http://schemas.microsoft.com/office/drawing/2014/main" id="{93B44598-F25A-48C0-9883-3AFC72D276B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8" name="Rectangle 475">
          <a:extLst>
            <a:ext uri="{FF2B5EF4-FFF2-40B4-BE49-F238E27FC236}">
              <a16:creationId xmlns:a16="http://schemas.microsoft.com/office/drawing/2014/main" id="{AD15B2DA-9C82-4CD2-9E58-BCF620183D5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09" name="Rectangle 476">
          <a:extLst>
            <a:ext uri="{FF2B5EF4-FFF2-40B4-BE49-F238E27FC236}">
              <a16:creationId xmlns:a16="http://schemas.microsoft.com/office/drawing/2014/main" id="{6E73E84D-DC48-4B77-A804-E01895FA788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0" name="Rectangle 477">
          <a:extLst>
            <a:ext uri="{FF2B5EF4-FFF2-40B4-BE49-F238E27FC236}">
              <a16:creationId xmlns:a16="http://schemas.microsoft.com/office/drawing/2014/main" id="{CFFDD4C1-079D-4DB2-ABB3-5116C7411E9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1" name="Rectangle 478">
          <a:extLst>
            <a:ext uri="{FF2B5EF4-FFF2-40B4-BE49-F238E27FC236}">
              <a16:creationId xmlns:a16="http://schemas.microsoft.com/office/drawing/2014/main" id="{A3BD8C4C-314B-414A-AD61-998B32CD9C8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2" name="Rectangle 479">
          <a:extLst>
            <a:ext uri="{FF2B5EF4-FFF2-40B4-BE49-F238E27FC236}">
              <a16:creationId xmlns:a16="http://schemas.microsoft.com/office/drawing/2014/main" id="{774D0215-433C-4B5E-BF62-7DE53D32AAC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3" name="Rectangle 480">
          <a:extLst>
            <a:ext uri="{FF2B5EF4-FFF2-40B4-BE49-F238E27FC236}">
              <a16:creationId xmlns:a16="http://schemas.microsoft.com/office/drawing/2014/main" id="{FEE69296-06EF-40BF-9462-F41023465A4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4" name="Rectangle 481">
          <a:extLst>
            <a:ext uri="{FF2B5EF4-FFF2-40B4-BE49-F238E27FC236}">
              <a16:creationId xmlns:a16="http://schemas.microsoft.com/office/drawing/2014/main" id="{9461E88A-027C-44A5-94A2-F3AD0CE74E0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5" name="Rectangle 482">
          <a:extLst>
            <a:ext uri="{FF2B5EF4-FFF2-40B4-BE49-F238E27FC236}">
              <a16:creationId xmlns:a16="http://schemas.microsoft.com/office/drawing/2014/main" id="{334D1995-0DB2-47D3-92A1-726009BF72F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6" name="Rectangle 483">
          <a:extLst>
            <a:ext uri="{FF2B5EF4-FFF2-40B4-BE49-F238E27FC236}">
              <a16:creationId xmlns:a16="http://schemas.microsoft.com/office/drawing/2014/main" id="{8EC22456-E87A-43F8-95E9-AD03FE6736C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7" name="Rectangle 484">
          <a:extLst>
            <a:ext uri="{FF2B5EF4-FFF2-40B4-BE49-F238E27FC236}">
              <a16:creationId xmlns:a16="http://schemas.microsoft.com/office/drawing/2014/main" id="{753F8A21-BB40-4ECD-BD66-27CD0257038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718" name="Rectangle 485">
          <a:extLst>
            <a:ext uri="{FF2B5EF4-FFF2-40B4-BE49-F238E27FC236}">
              <a16:creationId xmlns:a16="http://schemas.microsoft.com/office/drawing/2014/main" id="{BCF590A1-99F2-441B-9ADB-78CA6E857C1D}"/>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19" name="Rectangle 486">
          <a:extLst>
            <a:ext uri="{FF2B5EF4-FFF2-40B4-BE49-F238E27FC236}">
              <a16:creationId xmlns:a16="http://schemas.microsoft.com/office/drawing/2014/main" id="{DCFB45CB-1DBE-4020-B917-7B8DCE6AB89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0" name="Rectangle 487">
          <a:extLst>
            <a:ext uri="{FF2B5EF4-FFF2-40B4-BE49-F238E27FC236}">
              <a16:creationId xmlns:a16="http://schemas.microsoft.com/office/drawing/2014/main" id="{E9D3124C-44A4-4B30-B7B8-0B217D15F7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1" name="Rectangle 488">
          <a:extLst>
            <a:ext uri="{FF2B5EF4-FFF2-40B4-BE49-F238E27FC236}">
              <a16:creationId xmlns:a16="http://schemas.microsoft.com/office/drawing/2014/main" id="{57824E53-C222-474A-B493-4BB4F6817CF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2" name="Rectangle 489">
          <a:extLst>
            <a:ext uri="{FF2B5EF4-FFF2-40B4-BE49-F238E27FC236}">
              <a16:creationId xmlns:a16="http://schemas.microsoft.com/office/drawing/2014/main" id="{EF56F9CE-D30D-491F-B6AF-DA1829A3F04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3" name="Rectangle 490">
          <a:extLst>
            <a:ext uri="{FF2B5EF4-FFF2-40B4-BE49-F238E27FC236}">
              <a16:creationId xmlns:a16="http://schemas.microsoft.com/office/drawing/2014/main" id="{08834B48-C25A-480E-AE3E-65567362D1F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4" name="Rectangle 491">
          <a:extLst>
            <a:ext uri="{FF2B5EF4-FFF2-40B4-BE49-F238E27FC236}">
              <a16:creationId xmlns:a16="http://schemas.microsoft.com/office/drawing/2014/main" id="{34ADF404-281F-4F5C-B9EF-DDDCC58AEDE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5" name="Rectangle 492">
          <a:extLst>
            <a:ext uri="{FF2B5EF4-FFF2-40B4-BE49-F238E27FC236}">
              <a16:creationId xmlns:a16="http://schemas.microsoft.com/office/drawing/2014/main" id="{24AB0697-E122-4D4E-A005-FCC3723DF38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6" name="Rectangle 493">
          <a:extLst>
            <a:ext uri="{FF2B5EF4-FFF2-40B4-BE49-F238E27FC236}">
              <a16:creationId xmlns:a16="http://schemas.microsoft.com/office/drawing/2014/main" id="{70FD4AE1-BB32-40CC-A5E2-823F84AA6B1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7" name="Rectangle 494">
          <a:extLst>
            <a:ext uri="{FF2B5EF4-FFF2-40B4-BE49-F238E27FC236}">
              <a16:creationId xmlns:a16="http://schemas.microsoft.com/office/drawing/2014/main" id="{17DA0FEF-99FF-47F8-988F-2B573EC0C6A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8" name="Rectangle 495">
          <a:extLst>
            <a:ext uri="{FF2B5EF4-FFF2-40B4-BE49-F238E27FC236}">
              <a16:creationId xmlns:a16="http://schemas.microsoft.com/office/drawing/2014/main" id="{757BE29F-1FF6-44CE-B324-52C876CD272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29" name="Rectangle 496">
          <a:extLst>
            <a:ext uri="{FF2B5EF4-FFF2-40B4-BE49-F238E27FC236}">
              <a16:creationId xmlns:a16="http://schemas.microsoft.com/office/drawing/2014/main" id="{DFB5765E-2FAC-4D1F-BD56-92D2D721496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0" name="Rectangle 497">
          <a:extLst>
            <a:ext uri="{FF2B5EF4-FFF2-40B4-BE49-F238E27FC236}">
              <a16:creationId xmlns:a16="http://schemas.microsoft.com/office/drawing/2014/main" id="{18FDE80C-BBA3-47DB-9299-BCA541F33A7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1" name="Rectangle 498">
          <a:extLst>
            <a:ext uri="{FF2B5EF4-FFF2-40B4-BE49-F238E27FC236}">
              <a16:creationId xmlns:a16="http://schemas.microsoft.com/office/drawing/2014/main" id="{5E859226-930E-40C1-AB45-F0FF59AF918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2" name="Rectangle 499">
          <a:extLst>
            <a:ext uri="{FF2B5EF4-FFF2-40B4-BE49-F238E27FC236}">
              <a16:creationId xmlns:a16="http://schemas.microsoft.com/office/drawing/2014/main" id="{14C09CA2-6AC6-4161-ACEC-47231449216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3" name="Rectangle 500">
          <a:extLst>
            <a:ext uri="{FF2B5EF4-FFF2-40B4-BE49-F238E27FC236}">
              <a16:creationId xmlns:a16="http://schemas.microsoft.com/office/drawing/2014/main" id="{F75FFB48-EBFF-4B21-BF4B-C17BA062198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4" name="Rectangle 501">
          <a:extLst>
            <a:ext uri="{FF2B5EF4-FFF2-40B4-BE49-F238E27FC236}">
              <a16:creationId xmlns:a16="http://schemas.microsoft.com/office/drawing/2014/main" id="{D393F0F8-6324-462B-890D-48A99850AE1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5" name="Rectangle 502">
          <a:extLst>
            <a:ext uri="{FF2B5EF4-FFF2-40B4-BE49-F238E27FC236}">
              <a16:creationId xmlns:a16="http://schemas.microsoft.com/office/drawing/2014/main" id="{79BD46B3-DEB7-4992-B57B-D6AB4645DAD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6" name="Rectangle 503">
          <a:extLst>
            <a:ext uri="{FF2B5EF4-FFF2-40B4-BE49-F238E27FC236}">
              <a16:creationId xmlns:a16="http://schemas.microsoft.com/office/drawing/2014/main" id="{1052AB3B-D72E-42E0-AE3C-83BA33ABB79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7" name="Rectangle 504">
          <a:extLst>
            <a:ext uri="{FF2B5EF4-FFF2-40B4-BE49-F238E27FC236}">
              <a16:creationId xmlns:a16="http://schemas.microsoft.com/office/drawing/2014/main" id="{2494F108-F27B-4910-830B-E2554C558D7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8" name="Rectangle 505">
          <a:extLst>
            <a:ext uri="{FF2B5EF4-FFF2-40B4-BE49-F238E27FC236}">
              <a16:creationId xmlns:a16="http://schemas.microsoft.com/office/drawing/2014/main" id="{FD6E5A18-2CB1-409E-B975-E555D0301AB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39" name="Rectangle 506">
          <a:extLst>
            <a:ext uri="{FF2B5EF4-FFF2-40B4-BE49-F238E27FC236}">
              <a16:creationId xmlns:a16="http://schemas.microsoft.com/office/drawing/2014/main" id="{3BD12A28-3D5D-4615-AA69-91F35DD3C58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0" name="Rectangle 507">
          <a:extLst>
            <a:ext uri="{FF2B5EF4-FFF2-40B4-BE49-F238E27FC236}">
              <a16:creationId xmlns:a16="http://schemas.microsoft.com/office/drawing/2014/main" id="{6736D894-C0E8-41A8-9C7B-EDC23EEEA60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1" name="Rectangle 508">
          <a:extLst>
            <a:ext uri="{FF2B5EF4-FFF2-40B4-BE49-F238E27FC236}">
              <a16:creationId xmlns:a16="http://schemas.microsoft.com/office/drawing/2014/main" id="{7E5AF87E-66F2-4C3D-B5EF-274C12C03ED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2" name="Rectangle 509">
          <a:extLst>
            <a:ext uri="{FF2B5EF4-FFF2-40B4-BE49-F238E27FC236}">
              <a16:creationId xmlns:a16="http://schemas.microsoft.com/office/drawing/2014/main" id="{F703E039-3E6E-498A-AF5D-7D806143DEA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743" name="Rectangle 510">
          <a:extLst>
            <a:ext uri="{FF2B5EF4-FFF2-40B4-BE49-F238E27FC236}">
              <a16:creationId xmlns:a16="http://schemas.microsoft.com/office/drawing/2014/main" id="{72314F9E-74CA-4DEA-9353-4D77764AB494}"/>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4" name="Rectangle 511">
          <a:extLst>
            <a:ext uri="{FF2B5EF4-FFF2-40B4-BE49-F238E27FC236}">
              <a16:creationId xmlns:a16="http://schemas.microsoft.com/office/drawing/2014/main" id="{1D6F74F9-FF28-46D4-B449-61C6E75FB94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5" name="Rectangle 512">
          <a:extLst>
            <a:ext uri="{FF2B5EF4-FFF2-40B4-BE49-F238E27FC236}">
              <a16:creationId xmlns:a16="http://schemas.microsoft.com/office/drawing/2014/main" id="{991FEB90-E564-4BA2-8510-4BB9A2EB927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6" name="Rectangle 513">
          <a:extLst>
            <a:ext uri="{FF2B5EF4-FFF2-40B4-BE49-F238E27FC236}">
              <a16:creationId xmlns:a16="http://schemas.microsoft.com/office/drawing/2014/main" id="{6ACACD64-73DD-4433-B542-1EBA3C4DB14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7" name="Rectangle 514">
          <a:extLst>
            <a:ext uri="{FF2B5EF4-FFF2-40B4-BE49-F238E27FC236}">
              <a16:creationId xmlns:a16="http://schemas.microsoft.com/office/drawing/2014/main" id="{1361926F-0B4E-49B9-8B4D-DC729E53534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8" name="Rectangle 515">
          <a:extLst>
            <a:ext uri="{FF2B5EF4-FFF2-40B4-BE49-F238E27FC236}">
              <a16:creationId xmlns:a16="http://schemas.microsoft.com/office/drawing/2014/main" id="{0C01C980-053F-41A1-BBB1-FF0CEA6CAB4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49" name="Rectangle 516">
          <a:extLst>
            <a:ext uri="{FF2B5EF4-FFF2-40B4-BE49-F238E27FC236}">
              <a16:creationId xmlns:a16="http://schemas.microsoft.com/office/drawing/2014/main" id="{86680A3D-34A6-4FF5-8465-811ED85AA0E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0" name="Rectangle 517">
          <a:extLst>
            <a:ext uri="{FF2B5EF4-FFF2-40B4-BE49-F238E27FC236}">
              <a16:creationId xmlns:a16="http://schemas.microsoft.com/office/drawing/2014/main" id="{0852D911-E1D0-46FA-AC11-BE0A49660B7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1" name="Rectangle 518">
          <a:extLst>
            <a:ext uri="{FF2B5EF4-FFF2-40B4-BE49-F238E27FC236}">
              <a16:creationId xmlns:a16="http://schemas.microsoft.com/office/drawing/2014/main" id="{64A915ED-E4A6-4509-BC9F-2CDFE3BEC4F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2" name="Rectangle 519">
          <a:extLst>
            <a:ext uri="{FF2B5EF4-FFF2-40B4-BE49-F238E27FC236}">
              <a16:creationId xmlns:a16="http://schemas.microsoft.com/office/drawing/2014/main" id="{BA8E2ADB-D6CE-40F7-A494-FEE145BB03D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3" name="Rectangle 520">
          <a:extLst>
            <a:ext uri="{FF2B5EF4-FFF2-40B4-BE49-F238E27FC236}">
              <a16:creationId xmlns:a16="http://schemas.microsoft.com/office/drawing/2014/main" id="{F7D6E68C-DF8B-44D2-923A-828C73A541A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4" name="Rectangle 521">
          <a:extLst>
            <a:ext uri="{FF2B5EF4-FFF2-40B4-BE49-F238E27FC236}">
              <a16:creationId xmlns:a16="http://schemas.microsoft.com/office/drawing/2014/main" id="{DFBA4587-54C5-437D-B94B-C37BCC2C8A6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5" name="Rectangle 522">
          <a:extLst>
            <a:ext uri="{FF2B5EF4-FFF2-40B4-BE49-F238E27FC236}">
              <a16:creationId xmlns:a16="http://schemas.microsoft.com/office/drawing/2014/main" id="{452B1210-D3C3-4CDB-A0CF-C4551CD21AB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6" name="Rectangle 523">
          <a:extLst>
            <a:ext uri="{FF2B5EF4-FFF2-40B4-BE49-F238E27FC236}">
              <a16:creationId xmlns:a16="http://schemas.microsoft.com/office/drawing/2014/main" id="{0061FAEB-B828-47DC-A223-FAF6C031550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7" name="Rectangle 524">
          <a:extLst>
            <a:ext uri="{FF2B5EF4-FFF2-40B4-BE49-F238E27FC236}">
              <a16:creationId xmlns:a16="http://schemas.microsoft.com/office/drawing/2014/main" id="{6D80FCEE-68E0-414F-90BB-6ED3AA967B6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8" name="Rectangle 525">
          <a:extLst>
            <a:ext uri="{FF2B5EF4-FFF2-40B4-BE49-F238E27FC236}">
              <a16:creationId xmlns:a16="http://schemas.microsoft.com/office/drawing/2014/main" id="{1D28EB70-19E4-42D4-8E28-E55CA253B59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59" name="Rectangle 526">
          <a:extLst>
            <a:ext uri="{FF2B5EF4-FFF2-40B4-BE49-F238E27FC236}">
              <a16:creationId xmlns:a16="http://schemas.microsoft.com/office/drawing/2014/main" id="{155C49AD-3E14-4848-99C7-72366C4BFAF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0" name="Rectangle 527">
          <a:extLst>
            <a:ext uri="{FF2B5EF4-FFF2-40B4-BE49-F238E27FC236}">
              <a16:creationId xmlns:a16="http://schemas.microsoft.com/office/drawing/2014/main" id="{452EAE0B-40AD-496A-9877-5DD27BF65AA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1" name="Rectangle 528">
          <a:extLst>
            <a:ext uri="{FF2B5EF4-FFF2-40B4-BE49-F238E27FC236}">
              <a16:creationId xmlns:a16="http://schemas.microsoft.com/office/drawing/2014/main" id="{3A670B3E-85A0-4795-BEEA-1013364FBD2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2" name="Rectangle 238">
          <a:extLst>
            <a:ext uri="{FF2B5EF4-FFF2-40B4-BE49-F238E27FC236}">
              <a16:creationId xmlns:a16="http://schemas.microsoft.com/office/drawing/2014/main" id="{84996426-E7D1-4554-86F7-AF96A941C46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3" name="Rectangle 249">
          <a:extLst>
            <a:ext uri="{FF2B5EF4-FFF2-40B4-BE49-F238E27FC236}">
              <a16:creationId xmlns:a16="http://schemas.microsoft.com/office/drawing/2014/main" id="{4916E3F5-687B-4753-9C07-C1FCE3D1E22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4" name="Rectangle 251">
          <a:extLst>
            <a:ext uri="{FF2B5EF4-FFF2-40B4-BE49-F238E27FC236}">
              <a16:creationId xmlns:a16="http://schemas.microsoft.com/office/drawing/2014/main" id="{20CCB317-E4BA-499E-83B2-AEC7CED30A5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5" name="Rectangle 253">
          <a:extLst>
            <a:ext uri="{FF2B5EF4-FFF2-40B4-BE49-F238E27FC236}">
              <a16:creationId xmlns:a16="http://schemas.microsoft.com/office/drawing/2014/main" id="{CF5ED826-8226-4420-9948-A170A98E963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6" name="Rectangle 254">
          <a:extLst>
            <a:ext uri="{FF2B5EF4-FFF2-40B4-BE49-F238E27FC236}">
              <a16:creationId xmlns:a16="http://schemas.microsoft.com/office/drawing/2014/main" id="{DCDC1B8A-72C3-43A6-870A-38D4FEBF91B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7" name="Rectangle 255">
          <a:extLst>
            <a:ext uri="{FF2B5EF4-FFF2-40B4-BE49-F238E27FC236}">
              <a16:creationId xmlns:a16="http://schemas.microsoft.com/office/drawing/2014/main" id="{7A08B14B-9575-4503-8FE3-C322B4BA91C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8" name="Rectangle 257">
          <a:extLst>
            <a:ext uri="{FF2B5EF4-FFF2-40B4-BE49-F238E27FC236}">
              <a16:creationId xmlns:a16="http://schemas.microsoft.com/office/drawing/2014/main" id="{DF46E4DA-A800-4FC6-9261-0220B7971F3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69" name="Rectangle 258">
          <a:extLst>
            <a:ext uri="{FF2B5EF4-FFF2-40B4-BE49-F238E27FC236}">
              <a16:creationId xmlns:a16="http://schemas.microsoft.com/office/drawing/2014/main" id="{999439B1-48CB-41B7-9B91-CB976FDC53B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0" name="Rectangle 259">
          <a:extLst>
            <a:ext uri="{FF2B5EF4-FFF2-40B4-BE49-F238E27FC236}">
              <a16:creationId xmlns:a16="http://schemas.microsoft.com/office/drawing/2014/main" id="{E6A5A8AE-E9F9-47AE-9D3E-CB71028D94C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1" name="Rectangle 260">
          <a:extLst>
            <a:ext uri="{FF2B5EF4-FFF2-40B4-BE49-F238E27FC236}">
              <a16:creationId xmlns:a16="http://schemas.microsoft.com/office/drawing/2014/main" id="{BD83FC2B-3241-4FBF-AE44-08AEA72258C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2" name="Rectangle 261">
          <a:extLst>
            <a:ext uri="{FF2B5EF4-FFF2-40B4-BE49-F238E27FC236}">
              <a16:creationId xmlns:a16="http://schemas.microsoft.com/office/drawing/2014/main" id="{6154E286-B8E8-43C2-9D52-0B216062726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3" name="Rectangle 262">
          <a:extLst>
            <a:ext uri="{FF2B5EF4-FFF2-40B4-BE49-F238E27FC236}">
              <a16:creationId xmlns:a16="http://schemas.microsoft.com/office/drawing/2014/main" id="{8AD1B4C1-8272-4DCC-907F-97FBAE5FE2B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774" name="Rectangle 263">
          <a:extLst>
            <a:ext uri="{FF2B5EF4-FFF2-40B4-BE49-F238E27FC236}">
              <a16:creationId xmlns:a16="http://schemas.microsoft.com/office/drawing/2014/main" id="{C6D4E90E-A940-498B-85DB-78A7DDD36084}"/>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5" name="Rectangle 264">
          <a:extLst>
            <a:ext uri="{FF2B5EF4-FFF2-40B4-BE49-F238E27FC236}">
              <a16:creationId xmlns:a16="http://schemas.microsoft.com/office/drawing/2014/main" id="{77323FCA-1BF2-467B-A527-4F273066445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6" name="Rectangle 265">
          <a:extLst>
            <a:ext uri="{FF2B5EF4-FFF2-40B4-BE49-F238E27FC236}">
              <a16:creationId xmlns:a16="http://schemas.microsoft.com/office/drawing/2014/main" id="{88C39B77-225B-45D9-8873-A1C5E570974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7" name="Rectangle 266">
          <a:extLst>
            <a:ext uri="{FF2B5EF4-FFF2-40B4-BE49-F238E27FC236}">
              <a16:creationId xmlns:a16="http://schemas.microsoft.com/office/drawing/2014/main" id="{9F43ECD8-EF9D-41B2-A6CD-DEF827D914D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8" name="Rectangle 267">
          <a:extLst>
            <a:ext uri="{FF2B5EF4-FFF2-40B4-BE49-F238E27FC236}">
              <a16:creationId xmlns:a16="http://schemas.microsoft.com/office/drawing/2014/main" id="{3B5D48AB-88EF-40F5-A276-E4850FE01F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79" name="Rectangle 268">
          <a:extLst>
            <a:ext uri="{FF2B5EF4-FFF2-40B4-BE49-F238E27FC236}">
              <a16:creationId xmlns:a16="http://schemas.microsoft.com/office/drawing/2014/main" id="{1BC034BC-E895-4685-A9B5-72BD4FA4FD1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0" name="Rectangle 269">
          <a:extLst>
            <a:ext uri="{FF2B5EF4-FFF2-40B4-BE49-F238E27FC236}">
              <a16:creationId xmlns:a16="http://schemas.microsoft.com/office/drawing/2014/main" id="{9C96ECFF-DB43-4CC3-BA62-67B91CDF045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1" name="Rectangle 270">
          <a:extLst>
            <a:ext uri="{FF2B5EF4-FFF2-40B4-BE49-F238E27FC236}">
              <a16:creationId xmlns:a16="http://schemas.microsoft.com/office/drawing/2014/main" id="{26D8253D-E5C6-4E3D-8AB9-5F429394F74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2" name="Rectangle 271">
          <a:extLst>
            <a:ext uri="{FF2B5EF4-FFF2-40B4-BE49-F238E27FC236}">
              <a16:creationId xmlns:a16="http://schemas.microsoft.com/office/drawing/2014/main" id="{4967F0DB-D1CE-4C8F-AB98-309373C5D24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3" name="Rectangle 272">
          <a:extLst>
            <a:ext uri="{FF2B5EF4-FFF2-40B4-BE49-F238E27FC236}">
              <a16:creationId xmlns:a16="http://schemas.microsoft.com/office/drawing/2014/main" id="{61E35800-4AEE-44CC-8E0E-BD46030DD9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4" name="Rectangle 273">
          <a:extLst>
            <a:ext uri="{FF2B5EF4-FFF2-40B4-BE49-F238E27FC236}">
              <a16:creationId xmlns:a16="http://schemas.microsoft.com/office/drawing/2014/main" id="{56F4138E-14D4-4A94-9A04-0AABE50D6A1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5" name="Rectangle 274">
          <a:extLst>
            <a:ext uri="{FF2B5EF4-FFF2-40B4-BE49-F238E27FC236}">
              <a16:creationId xmlns:a16="http://schemas.microsoft.com/office/drawing/2014/main" id="{5FD1E86C-EC40-4162-8FFE-FB375BC2431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6" name="Rectangle 275">
          <a:extLst>
            <a:ext uri="{FF2B5EF4-FFF2-40B4-BE49-F238E27FC236}">
              <a16:creationId xmlns:a16="http://schemas.microsoft.com/office/drawing/2014/main" id="{E9870191-1DEF-4825-89BD-88ED73EF66D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787" name="Rectangle 276">
          <a:extLst>
            <a:ext uri="{FF2B5EF4-FFF2-40B4-BE49-F238E27FC236}">
              <a16:creationId xmlns:a16="http://schemas.microsoft.com/office/drawing/2014/main" id="{40BF2217-2064-4428-8A64-5EECEBBE1141}"/>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8" name="Rectangle 277">
          <a:extLst>
            <a:ext uri="{FF2B5EF4-FFF2-40B4-BE49-F238E27FC236}">
              <a16:creationId xmlns:a16="http://schemas.microsoft.com/office/drawing/2014/main" id="{3835F341-75D4-4BF2-8EF7-80E4A6E1244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89" name="Rectangle 278">
          <a:extLst>
            <a:ext uri="{FF2B5EF4-FFF2-40B4-BE49-F238E27FC236}">
              <a16:creationId xmlns:a16="http://schemas.microsoft.com/office/drawing/2014/main" id="{5E2387C3-16C3-4A5B-A5C3-0AC5F13778A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0" name="Rectangle 279">
          <a:extLst>
            <a:ext uri="{FF2B5EF4-FFF2-40B4-BE49-F238E27FC236}">
              <a16:creationId xmlns:a16="http://schemas.microsoft.com/office/drawing/2014/main" id="{520189E2-548A-40F9-A3C8-BF3650B483E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1" name="Rectangle 280">
          <a:extLst>
            <a:ext uri="{FF2B5EF4-FFF2-40B4-BE49-F238E27FC236}">
              <a16:creationId xmlns:a16="http://schemas.microsoft.com/office/drawing/2014/main" id="{ACFCD07B-150B-4D0B-9391-6B3AD0C8B60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2" name="Rectangle 281">
          <a:extLst>
            <a:ext uri="{FF2B5EF4-FFF2-40B4-BE49-F238E27FC236}">
              <a16:creationId xmlns:a16="http://schemas.microsoft.com/office/drawing/2014/main" id="{9F6C205A-5945-4F51-8484-C6FFEF4D567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3" name="Rectangle 282">
          <a:extLst>
            <a:ext uri="{FF2B5EF4-FFF2-40B4-BE49-F238E27FC236}">
              <a16:creationId xmlns:a16="http://schemas.microsoft.com/office/drawing/2014/main" id="{50416CB1-F22F-494A-82A7-AD0DFEC2E91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4" name="Rectangle 283">
          <a:extLst>
            <a:ext uri="{FF2B5EF4-FFF2-40B4-BE49-F238E27FC236}">
              <a16:creationId xmlns:a16="http://schemas.microsoft.com/office/drawing/2014/main" id="{21A863AB-EFCB-464E-A9BE-9F1F9ACFB82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5" name="Rectangle 284">
          <a:extLst>
            <a:ext uri="{FF2B5EF4-FFF2-40B4-BE49-F238E27FC236}">
              <a16:creationId xmlns:a16="http://schemas.microsoft.com/office/drawing/2014/main" id="{6B969518-BC5F-41B0-9398-C1F1465581D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6" name="Rectangle 285">
          <a:extLst>
            <a:ext uri="{FF2B5EF4-FFF2-40B4-BE49-F238E27FC236}">
              <a16:creationId xmlns:a16="http://schemas.microsoft.com/office/drawing/2014/main" id="{98288D26-E8EB-4F67-88C8-05B0CB313FA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7" name="Rectangle 286">
          <a:extLst>
            <a:ext uri="{FF2B5EF4-FFF2-40B4-BE49-F238E27FC236}">
              <a16:creationId xmlns:a16="http://schemas.microsoft.com/office/drawing/2014/main" id="{D5EA492E-0CD4-4A49-A361-5D7DE38BA61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8" name="Rectangle 287">
          <a:extLst>
            <a:ext uri="{FF2B5EF4-FFF2-40B4-BE49-F238E27FC236}">
              <a16:creationId xmlns:a16="http://schemas.microsoft.com/office/drawing/2014/main" id="{8762273C-3ECA-4DCA-BA7B-127BF5A567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799" name="Rectangle 288">
          <a:extLst>
            <a:ext uri="{FF2B5EF4-FFF2-40B4-BE49-F238E27FC236}">
              <a16:creationId xmlns:a16="http://schemas.microsoft.com/office/drawing/2014/main" id="{DB781BE1-A0E4-4226-BD00-8959DA5C4C6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0" name="Rectangle 289">
          <a:extLst>
            <a:ext uri="{FF2B5EF4-FFF2-40B4-BE49-F238E27FC236}">
              <a16:creationId xmlns:a16="http://schemas.microsoft.com/office/drawing/2014/main" id="{85495D8A-E2CC-4B80-9A3B-E9DF818A8AA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1" name="Rectangle 290">
          <a:extLst>
            <a:ext uri="{FF2B5EF4-FFF2-40B4-BE49-F238E27FC236}">
              <a16:creationId xmlns:a16="http://schemas.microsoft.com/office/drawing/2014/main" id="{75C919BD-CEB3-48F4-BF9E-94BD781710D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2" name="Rectangle 291">
          <a:extLst>
            <a:ext uri="{FF2B5EF4-FFF2-40B4-BE49-F238E27FC236}">
              <a16:creationId xmlns:a16="http://schemas.microsoft.com/office/drawing/2014/main" id="{EB13A52C-EC22-41EB-A49F-7C3701D297E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3" name="Rectangle 292">
          <a:extLst>
            <a:ext uri="{FF2B5EF4-FFF2-40B4-BE49-F238E27FC236}">
              <a16:creationId xmlns:a16="http://schemas.microsoft.com/office/drawing/2014/main" id="{AA183ABF-6566-45F3-AB69-5227B4CDAF4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4" name="Rectangle 293">
          <a:extLst>
            <a:ext uri="{FF2B5EF4-FFF2-40B4-BE49-F238E27FC236}">
              <a16:creationId xmlns:a16="http://schemas.microsoft.com/office/drawing/2014/main" id="{829D6FAE-8A86-469E-BC5F-8C74E2C8C36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5" name="Rectangle 294">
          <a:extLst>
            <a:ext uri="{FF2B5EF4-FFF2-40B4-BE49-F238E27FC236}">
              <a16:creationId xmlns:a16="http://schemas.microsoft.com/office/drawing/2014/main" id="{3D72DBFD-3521-4436-B40B-2929859E8AE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806" name="Rectangle 295">
          <a:extLst>
            <a:ext uri="{FF2B5EF4-FFF2-40B4-BE49-F238E27FC236}">
              <a16:creationId xmlns:a16="http://schemas.microsoft.com/office/drawing/2014/main" id="{7013937A-A2DF-431B-AF3A-33D6D29E980D}"/>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7" name="Rectangle 296">
          <a:extLst>
            <a:ext uri="{FF2B5EF4-FFF2-40B4-BE49-F238E27FC236}">
              <a16:creationId xmlns:a16="http://schemas.microsoft.com/office/drawing/2014/main" id="{7EB26A14-E39A-4376-8412-E05DE4EBCFD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8" name="Rectangle 297">
          <a:extLst>
            <a:ext uri="{FF2B5EF4-FFF2-40B4-BE49-F238E27FC236}">
              <a16:creationId xmlns:a16="http://schemas.microsoft.com/office/drawing/2014/main" id="{32771B45-E13D-40CB-A736-4420932E569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09" name="Rectangle 298">
          <a:extLst>
            <a:ext uri="{FF2B5EF4-FFF2-40B4-BE49-F238E27FC236}">
              <a16:creationId xmlns:a16="http://schemas.microsoft.com/office/drawing/2014/main" id="{059E2D52-420B-4A11-90AA-E03349E4635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0" name="Rectangle 299">
          <a:extLst>
            <a:ext uri="{FF2B5EF4-FFF2-40B4-BE49-F238E27FC236}">
              <a16:creationId xmlns:a16="http://schemas.microsoft.com/office/drawing/2014/main" id="{88307E97-2007-48C9-A044-B51A9FA8CB4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1" name="Rectangle 300">
          <a:extLst>
            <a:ext uri="{FF2B5EF4-FFF2-40B4-BE49-F238E27FC236}">
              <a16:creationId xmlns:a16="http://schemas.microsoft.com/office/drawing/2014/main" id="{62FB61EA-858F-4FDF-9F16-B4442538D26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2" name="Rectangle 301">
          <a:extLst>
            <a:ext uri="{FF2B5EF4-FFF2-40B4-BE49-F238E27FC236}">
              <a16:creationId xmlns:a16="http://schemas.microsoft.com/office/drawing/2014/main" id="{78AC9C1F-AEFE-4D3A-935F-AAEFFB8AAB6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3" name="Rectangle 302">
          <a:extLst>
            <a:ext uri="{FF2B5EF4-FFF2-40B4-BE49-F238E27FC236}">
              <a16:creationId xmlns:a16="http://schemas.microsoft.com/office/drawing/2014/main" id="{3E63B824-0CD5-4325-BC27-1C4E4C3899A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4" name="Rectangle 303">
          <a:extLst>
            <a:ext uri="{FF2B5EF4-FFF2-40B4-BE49-F238E27FC236}">
              <a16:creationId xmlns:a16="http://schemas.microsoft.com/office/drawing/2014/main" id="{ACCDBA7F-014C-499E-9C0A-6977C0B0F10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5" name="Rectangle 304">
          <a:extLst>
            <a:ext uri="{FF2B5EF4-FFF2-40B4-BE49-F238E27FC236}">
              <a16:creationId xmlns:a16="http://schemas.microsoft.com/office/drawing/2014/main" id="{C7983684-5214-4886-9EB5-407AC445D77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6" name="Rectangle 305">
          <a:extLst>
            <a:ext uri="{FF2B5EF4-FFF2-40B4-BE49-F238E27FC236}">
              <a16:creationId xmlns:a16="http://schemas.microsoft.com/office/drawing/2014/main" id="{243A8992-D4AE-4B9C-86A5-89AF7A8A72C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7" name="Rectangle 306">
          <a:extLst>
            <a:ext uri="{FF2B5EF4-FFF2-40B4-BE49-F238E27FC236}">
              <a16:creationId xmlns:a16="http://schemas.microsoft.com/office/drawing/2014/main" id="{1170E928-D266-4ED6-AC9D-F07E6BA687F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8" name="Rectangle 307">
          <a:extLst>
            <a:ext uri="{FF2B5EF4-FFF2-40B4-BE49-F238E27FC236}">
              <a16:creationId xmlns:a16="http://schemas.microsoft.com/office/drawing/2014/main" id="{7B042C7B-5044-413B-8A44-F785177C7B0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19" name="Rectangle 308">
          <a:extLst>
            <a:ext uri="{FF2B5EF4-FFF2-40B4-BE49-F238E27FC236}">
              <a16:creationId xmlns:a16="http://schemas.microsoft.com/office/drawing/2014/main" id="{85899C00-F08A-42C6-A088-ED11DBA449C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0" name="Rectangle 309">
          <a:extLst>
            <a:ext uri="{FF2B5EF4-FFF2-40B4-BE49-F238E27FC236}">
              <a16:creationId xmlns:a16="http://schemas.microsoft.com/office/drawing/2014/main" id="{0658C17A-040E-4EC6-8760-73B7D3EBEF5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1" name="Rectangle 310">
          <a:extLst>
            <a:ext uri="{FF2B5EF4-FFF2-40B4-BE49-F238E27FC236}">
              <a16:creationId xmlns:a16="http://schemas.microsoft.com/office/drawing/2014/main" id="{F45601ED-6934-46F8-9094-8BE1EF20E30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2" name="Rectangle 311">
          <a:extLst>
            <a:ext uri="{FF2B5EF4-FFF2-40B4-BE49-F238E27FC236}">
              <a16:creationId xmlns:a16="http://schemas.microsoft.com/office/drawing/2014/main" id="{C209BD58-E0F5-4DB2-8127-9FBC920D056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3" name="Rectangle 312">
          <a:extLst>
            <a:ext uri="{FF2B5EF4-FFF2-40B4-BE49-F238E27FC236}">
              <a16:creationId xmlns:a16="http://schemas.microsoft.com/office/drawing/2014/main" id="{7997738D-7D25-4D1D-AD0C-825675E232A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4" name="Rectangle 313">
          <a:extLst>
            <a:ext uri="{FF2B5EF4-FFF2-40B4-BE49-F238E27FC236}">
              <a16:creationId xmlns:a16="http://schemas.microsoft.com/office/drawing/2014/main" id="{3CD8C404-4B2D-4C6B-A9D8-69BFC2BD4A6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5" name="Rectangle 314">
          <a:extLst>
            <a:ext uri="{FF2B5EF4-FFF2-40B4-BE49-F238E27FC236}">
              <a16:creationId xmlns:a16="http://schemas.microsoft.com/office/drawing/2014/main" id="{F0AEB6C6-148D-498E-859B-D8A0251E95F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6" name="Rectangle 315">
          <a:extLst>
            <a:ext uri="{FF2B5EF4-FFF2-40B4-BE49-F238E27FC236}">
              <a16:creationId xmlns:a16="http://schemas.microsoft.com/office/drawing/2014/main" id="{D582BE2C-5E7E-4FDD-8D8F-E935661B58B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7" name="Rectangle 316">
          <a:extLst>
            <a:ext uri="{FF2B5EF4-FFF2-40B4-BE49-F238E27FC236}">
              <a16:creationId xmlns:a16="http://schemas.microsoft.com/office/drawing/2014/main" id="{0308056C-6600-4283-A247-9CB00FF24C1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8" name="Rectangle 317">
          <a:extLst>
            <a:ext uri="{FF2B5EF4-FFF2-40B4-BE49-F238E27FC236}">
              <a16:creationId xmlns:a16="http://schemas.microsoft.com/office/drawing/2014/main" id="{E971F5DA-5A2F-42A7-B839-A462DF24514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29" name="Rectangle 318">
          <a:extLst>
            <a:ext uri="{FF2B5EF4-FFF2-40B4-BE49-F238E27FC236}">
              <a16:creationId xmlns:a16="http://schemas.microsoft.com/office/drawing/2014/main" id="{CF1A20B1-09BC-4A85-A1D0-950F0492D37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0" name="Rectangle 319">
          <a:extLst>
            <a:ext uri="{FF2B5EF4-FFF2-40B4-BE49-F238E27FC236}">
              <a16:creationId xmlns:a16="http://schemas.microsoft.com/office/drawing/2014/main" id="{64D14295-4F42-44DD-8575-89AB5F3463A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831" name="Rectangle 320">
          <a:extLst>
            <a:ext uri="{FF2B5EF4-FFF2-40B4-BE49-F238E27FC236}">
              <a16:creationId xmlns:a16="http://schemas.microsoft.com/office/drawing/2014/main" id="{4BAA1FE7-5853-44B8-AC1C-40F20F1577CC}"/>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2" name="Rectangle 321">
          <a:extLst>
            <a:ext uri="{FF2B5EF4-FFF2-40B4-BE49-F238E27FC236}">
              <a16:creationId xmlns:a16="http://schemas.microsoft.com/office/drawing/2014/main" id="{CF641A47-430C-4ECE-95DE-EEB93D3774D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3" name="Rectangle 322">
          <a:extLst>
            <a:ext uri="{FF2B5EF4-FFF2-40B4-BE49-F238E27FC236}">
              <a16:creationId xmlns:a16="http://schemas.microsoft.com/office/drawing/2014/main" id="{AE0BC213-3B3A-4948-8C2E-A5CC976E6B4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4" name="Rectangle 323">
          <a:extLst>
            <a:ext uri="{FF2B5EF4-FFF2-40B4-BE49-F238E27FC236}">
              <a16:creationId xmlns:a16="http://schemas.microsoft.com/office/drawing/2014/main" id="{A1DA26A0-76C0-41ED-9CC5-726F0F23E1B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5" name="Rectangle 324">
          <a:extLst>
            <a:ext uri="{FF2B5EF4-FFF2-40B4-BE49-F238E27FC236}">
              <a16:creationId xmlns:a16="http://schemas.microsoft.com/office/drawing/2014/main" id="{3A1EE7E1-ACCF-4125-8CC6-8CCBC396659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6" name="Rectangle 325">
          <a:extLst>
            <a:ext uri="{FF2B5EF4-FFF2-40B4-BE49-F238E27FC236}">
              <a16:creationId xmlns:a16="http://schemas.microsoft.com/office/drawing/2014/main" id="{CDEBD9DA-21DE-4991-9F15-201E7F9255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7" name="Rectangle 326">
          <a:extLst>
            <a:ext uri="{FF2B5EF4-FFF2-40B4-BE49-F238E27FC236}">
              <a16:creationId xmlns:a16="http://schemas.microsoft.com/office/drawing/2014/main" id="{6F035199-AAE2-45E6-A62D-A4C7EB95666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8" name="Rectangle 327">
          <a:extLst>
            <a:ext uri="{FF2B5EF4-FFF2-40B4-BE49-F238E27FC236}">
              <a16:creationId xmlns:a16="http://schemas.microsoft.com/office/drawing/2014/main" id="{FA5F62DE-DA4B-4825-93A4-AA3468FF988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39" name="Rectangle 328">
          <a:extLst>
            <a:ext uri="{FF2B5EF4-FFF2-40B4-BE49-F238E27FC236}">
              <a16:creationId xmlns:a16="http://schemas.microsoft.com/office/drawing/2014/main" id="{80043ADF-D75E-4779-BC3F-71D99D6A184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0" name="Rectangle 329">
          <a:extLst>
            <a:ext uri="{FF2B5EF4-FFF2-40B4-BE49-F238E27FC236}">
              <a16:creationId xmlns:a16="http://schemas.microsoft.com/office/drawing/2014/main" id="{DE1FA468-C623-4CAD-A677-A1733173C13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1" name="Rectangle 330">
          <a:extLst>
            <a:ext uri="{FF2B5EF4-FFF2-40B4-BE49-F238E27FC236}">
              <a16:creationId xmlns:a16="http://schemas.microsoft.com/office/drawing/2014/main" id="{5F28CDA9-ACE8-4F34-BCBA-4D19AD64654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2" name="Rectangle 331">
          <a:extLst>
            <a:ext uri="{FF2B5EF4-FFF2-40B4-BE49-F238E27FC236}">
              <a16:creationId xmlns:a16="http://schemas.microsoft.com/office/drawing/2014/main" id="{E60C581B-85F3-490A-9ADB-1C5DF05F063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3" name="Rectangle 332">
          <a:extLst>
            <a:ext uri="{FF2B5EF4-FFF2-40B4-BE49-F238E27FC236}">
              <a16:creationId xmlns:a16="http://schemas.microsoft.com/office/drawing/2014/main" id="{40AEF414-A858-4252-BFCB-872BBF593B3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4" name="Rectangle 333">
          <a:extLst>
            <a:ext uri="{FF2B5EF4-FFF2-40B4-BE49-F238E27FC236}">
              <a16:creationId xmlns:a16="http://schemas.microsoft.com/office/drawing/2014/main" id="{7CA76304-6859-4D94-94F3-B3817AF6817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5" name="Rectangle 334">
          <a:extLst>
            <a:ext uri="{FF2B5EF4-FFF2-40B4-BE49-F238E27FC236}">
              <a16:creationId xmlns:a16="http://schemas.microsoft.com/office/drawing/2014/main" id="{6CEC4975-93A6-468E-BC65-57113BF5714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6" name="Rectangle 335">
          <a:extLst>
            <a:ext uri="{FF2B5EF4-FFF2-40B4-BE49-F238E27FC236}">
              <a16:creationId xmlns:a16="http://schemas.microsoft.com/office/drawing/2014/main" id="{18974279-5358-48BC-9C24-34AC061CDD0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7" name="Rectangle 336">
          <a:extLst>
            <a:ext uri="{FF2B5EF4-FFF2-40B4-BE49-F238E27FC236}">
              <a16:creationId xmlns:a16="http://schemas.microsoft.com/office/drawing/2014/main" id="{768740D0-0BD7-457B-B234-CECD941F89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8" name="Rectangle 337">
          <a:extLst>
            <a:ext uri="{FF2B5EF4-FFF2-40B4-BE49-F238E27FC236}">
              <a16:creationId xmlns:a16="http://schemas.microsoft.com/office/drawing/2014/main" id="{2233D111-A65E-40A5-9E3E-DF95C812793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49" name="Rectangle 338">
          <a:extLst>
            <a:ext uri="{FF2B5EF4-FFF2-40B4-BE49-F238E27FC236}">
              <a16:creationId xmlns:a16="http://schemas.microsoft.com/office/drawing/2014/main" id="{1F748807-429F-4D05-9AA1-25F46DDBDCD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850" name="Rectangle 339">
          <a:extLst>
            <a:ext uri="{FF2B5EF4-FFF2-40B4-BE49-F238E27FC236}">
              <a16:creationId xmlns:a16="http://schemas.microsoft.com/office/drawing/2014/main" id="{B7F7D8D7-10D6-4233-9DA5-B4669B43C21D}"/>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1" name="Rectangle 340">
          <a:extLst>
            <a:ext uri="{FF2B5EF4-FFF2-40B4-BE49-F238E27FC236}">
              <a16:creationId xmlns:a16="http://schemas.microsoft.com/office/drawing/2014/main" id="{86D0C350-7DA2-4D7B-936A-71B92CCB997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2" name="Rectangle 341">
          <a:extLst>
            <a:ext uri="{FF2B5EF4-FFF2-40B4-BE49-F238E27FC236}">
              <a16:creationId xmlns:a16="http://schemas.microsoft.com/office/drawing/2014/main" id="{17ED7B8F-722A-41F6-9E0E-34CD9AEC41C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3" name="Rectangle 342">
          <a:extLst>
            <a:ext uri="{FF2B5EF4-FFF2-40B4-BE49-F238E27FC236}">
              <a16:creationId xmlns:a16="http://schemas.microsoft.com/office/drawing/2014/main" id="{300FA8C7-6D54-4912-9F51-A2E954AFF63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4" name="Rectangle 343">
          <a:extLst>
            <a:ext uri="{FF2B5EF4-FFF2-40B4-BE49-F238E27FC236}">
              <a16:creationId xmlns:a16="http://schemas.microsoft.com/office/drawing/2014/main" id="{D8D43970-135A-44A1-B28B-27803BF76DC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5" name="Rectangle 344">
          <a:extLst>
            <a:ext uri="{FF2B5EF4-FFF2-40B4-BE49-F238E27FC236}">
              <a16:creationId xmlns:a16="http://schemas.microsoft.com/office/drawing/2014/main" id="{3FA555A0-AACF-40D3-98E4-B0FF3D88E84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6" name="Rectangle 345">
          <a:extLst>
            <a:ext uri="{FF2B5EF4-FFF2-40B4-BE49-F238E27FC236}">
              <a16:creationId xmlns:a16="http://schemas.microsoft.com/office/drawing/2014/main" id="{4D316107-75C5-4884-B45E-23EA2A10C87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857" name="Rectangle 346">
          <a:extLst>
            <a:ext uri="{FF2B5EF4-FFF2-40B4-BE49-F238E27FC236}">
              <a16:creationId xmlns:a16="http://schemas.microsoft.com/office/drawing/2014/main" id="{3F8A38EE-3B47-47E8-B035-BBA5D2269BC1}"/>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8" name="Rectangle 347">
          <a:extLst>
            <a:ext uri="{FF2B5EF4-FFF2-40B4-BE49-F238E27FC236}">
              <a16:creationId xmlns:a16="http://schemas.microsoft.com/office/drawing/2014/main" id="{64A85378-F3FF-4BE9-8FC6-3FE5B17113F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59" name="Rectangle 348">
          <a:extLst>
            <a:ext uri="{FF2B5EF4-FFF2-40B4-BE49-F238E27FC236}">
              <a16:creationId xmlns:a16="http://schemas.microsoft.com/office/drawing/2014/main" id="{1B412E50-49F6-41DB-872B-6D4367206A2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0" name="Rectangle 349">
          <a:extLst>
            <a:ext uri="{FF2B5EF4-FFF2-40B4-BE49-F238E27FC236}">
              <a16:creationId xmlns:a16="http://schemas.microsoft.com/office/drawing/2014/main" id="{AF602258-B490-4D1E-A1A2-AACC2AFFAD7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1" name="Rectangle 350">
          <a:extLst>
            <a:ext uri="{FF2B5EF4-FFF2-40B4-BE49-F238E27FC236}">
              <a16:creationId xmlns:a16="http://schemas.microsoft.com/office/drawing/2014/main" id="{28C719E4-5C04-484C-8775-4B89324377B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2" name="Rectangle 351">
          <a:extLst>
            <a:ext uri="{FF2B5EF4-FFF2-40B4-BE49-F238E27FC236}">
              <a16:creationId xmlns:a16="http://schemas.microsoft.com/office/drawing/2014/main" id="{69A4EAA0-9877-4485-A0C4-82A7398F629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3" name="Rectangle 352">
          <a:extLst>
            <a:ext uri="{FF2B5EF4-FFF2-40B4-BE49-F238E27FC236}">
              <a16:creationId xmlns:a16="http://schemas.microsoft.com/office/drawing/2014/main" id="{2059D7BF-5BF9-49FD-88EE-C9EBFCFF240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4" name="Rectangle 353">
          <a:extLst>
            <a:ext uri="{FF2B5EF4-FFF2-40B4-BE49-F238E27FC236}">
              <a16:creationId xmlns:a16="http://schemas.microsoft.com/office/drawing/2014/main" id="{776A6DB1-60CE-4B75-82B9-F908B8DC96B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5" name="Rectangle 354">
          <a:extLst>
            <a:ext uri="{FF2B5EF4-FFF2-40B4-BE49-F238E27FC236}">
              <a16:creationId xmlns:a16="http://schemas.microsoft.com/office/drawing/2014/main" id="{4F910A0E-834F-410D-8BDC-CFAA0C8211D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6" name="Rectangle 355">
          <a:extLst>
            <a:ext uri="{FF2B5EF4-FFF2-40B4-BE49-F238E27FC236}">
              <a16:creationId xmlns:a16="http://schemas.microsoft.com/office/drawing/2014/main" id="{36667627-93EE-419A-9736-415F1511FE9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7" name="Rectangle 356">
          <a:extLst>
            <a:ext uri="{FF2B5EF4-FFF2-40B4-BE49-F238E27FC236}">
              <a16:creationId xmlns:a16="http://schemas.microsoft.com/office/drawing/2014/main" id="{6A9BCEEC-61D9-42D5-902F-1368DBC422A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8" name="Rectangle 357">
          <a:extLst>
            <a:ext uri="{FF2B5EF4-FFF2-40B4-BE49-F238E27FC236}">
              <a16:creationId xmlns:a16="http://schemas.microsoft.com/office/drawing/2014/main" id="{1067B894-ABB1-4C74-9222-2762EE83E6A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69" name="Rectangle 358">
          <a:extLst>
            <a:ext uri="{FF2B5EF4-FFF2-40B4-BE49-F238E27FC236}">
              <a16:creationId xmlns:a16="http://schemas.microsoft.com/office/drawing/2014/main" id="{C948BC12-BDEC-44CC-B781-6A4AEAA9F69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0" name="Rectangle 359">
          <a:extLst>
            <a:ext uri="{FF2B5EF4-FFF2-40B4-BE49-F238E27FC236}">
              <a16:creationId xmlns:a16="http://schemas.microsoft.com/office/drawing/2014/main" id="{817DE506-CBCF-46BA-832B-B84823786AE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1" name="Rectangle 360">
          <a:extLst>
            <a:ext uri="{FF2B5EF4-FFF2-40B4-BE49-F238E27FC236}">
              <a16:creationId xmlns:a16="http://schemas.microsoft.com/office/drawing/2014/main" id="{FFD0383D-F1F9-4F5A-A09C-4BC8CC2B4EC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2" name="Rectangle 361">
          <a:extLst>
            <a:ext uri="{FF2B5EF4-FFF2-40B4-BE49-F238E27FC236}">
              <a16:creationId xmlns:a16="http://schemas.microsoft.com/office/drawing/2014/main" id="{2A884213-9683-4535-AD87-C4EB4B7C270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3" name="Rectangle 362">
          <a:extLst>
            <a:ext uri="{FF2B5EF4-FFF2-40B4-BE49-F238E27FC236}">
              <a16:creationId xmlns:a16="http://schemas.microsoft.com/office/drawing/2014/main" id="{0E87C9CE-2B4F-4C26-94D8-1FF3F904005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4" name="Rectangle 363">
          <a:extLst>
            <a:ext uri="{FF2B5EF4-FFF2-40B4-BE49-F238E27FC236}">
              <a16:creationId xmlns:a16="http://schemas.microsoft.com/office/drawing/2014/main" id="{DD77984C-140F-4E24-8B7A-B490B8E9227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5" name="Rectangle 364">
          <a:extLst>
            <a:ext uri="{FF2B5EF4-FFF2-40B4-BE49-F238E27FC236}">
              <a16:creationId xmlns:a16="http://schemas.microsoft.com/office/drawing/2014/main" id="{19358DB2-0A0E-4260-B468-9FB536BF113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876" name="Rectangle 365">
          <a:extLst>
            <a:ext uri="{FF2B5EF4-FFF2-40B4-BE49-F238E27FC236}">
              <a16:creationId xmlns:a16="http://schemas.microsoft.com/office/drawing/2014/main" id="{C1185B1F-C39E-4E2D-9AD6-2D1EFAA6DA7C}"/>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7" name="Rectangle 366">
          <a:extLst>
            <a:ext uri="{FF2B5EF4-FFF2-40B4-BE49-F238E27FC236}">
              <a16:creationId xmlns:a16="http://schemas.microsoft.com/office/drawing/2014/main" id="{FC036C57-E147-49F5-88E8-49398372EC5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8" name="Rectangle 367">
          <a:extLst>
            <a:ext uri="{FF2B5EF4-FFF2-40B4-BE49-F238E27FC236}">
              <a16:creationId xmlns:a16="http://schemas.microsoft.com/office/drawing/2014/main" id="{B455CC73-FBF7-4DBB-9827-E046FECD1E0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79" name="Rectangle 368">
          <a:extLst>
            <a:ext uri="{FF2B5EF4-FFF2-40B4-BE49-F238E27FC236}">
              <a16:creationId xmlns:a16="http://schemas.microsoft.com/office/drawing/2014/main" id="{C884E800-F0A0-4194-A15D-0E6611A87E2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0" name="Rectangle 369">
          <a:extLst>
            <a:ext uri="{FF2B5EF4-FFF2-40B4-BE49-F238E27FC236}">
              <a16:creationId xmlns:a16="http://schemas.microsoft.com/office/drawing/2014/main" id="{96B0ABF2-95DA-4EEC-AE2F-BAE2CB501A2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1" name="Rectangle 370">
          <a:extLst>
            <a:ext uri="{FF2B5EF4-FFF2-40B4-BE49-F238E27FC236}">
              <a16:creationId xmlns:a16="http://schemas.microsoft.com/office/drawing/2014/main" id="{41EEE983-F119-4111-A372-30A4D9C90BA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2" name="Rectangle 371">
          <a:extLst>
            <a:ext uri="{FF2B5EF4-FFF2-40B4-BE49-F238E27FC236}">
              <a16:creationId xmlns:a16="http://schemas.microsoft.com/office/drawing/2014/main" id="{73EECCED-4324-4960-817A-3ACCE749567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3" name="Rectangle 372">
          <a:extLst>
            <a:ext uri="{FF2B5EF4-FFF2-40B4-BE49-F238E27FC236}">
              <a16:creationId xmlns:a16="http://schemas.microsoft.com/office/drawing/2014/main" id="{34B44579-0970-4FD2-931C-9E2800BD751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4" name="Rectangle 373">
          <a:extLst>
            <a:ext uri="{FF2B5EF4-FFF2-40B4-BE49-F238E27FC236}">
              <a16:creationId xmlns:a16="http://schemas.microsoft.com/office/drawing/2014/main" id="{CC6B75E9-561C-4D66-8872-AF199034479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5" name="Rectangle 374">
          <a:extLst>
            <a:ext uri="{FF2B5EF4-FFF2-40B4-BE49-F238E27FC236}">
              <a16:creationId xmlns:a16="http://schemas.microsoft.com/office/drawing/2014/main" id="{66F09E8A-EF51-4D13-B905-F417E4E5681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6" name="Rectangle 375">
          <a:extLst>
            <a:ext uri="{FF2B5EF4-FFF2-40B4-BE49-F238E27FC236}">
              <a16:creationId xmlns:a16="http://schemas.microsoft.com/office/drawing/2014/main" id="{2C7B10DC-DFBB-4067-ADAC-8CC94BBB477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7" name="Rectangle 376">
          <a:extLst>
            <a:ext uri="{FF2B5EF4-FFF2-40B4-BE49-F238E27FC236}">
              <a16:creationId xmlns:a16="http://schemas.microsoft.com/office/drawing/2014/main" id="{C74903F7-5321-4153-9962-0D0D8F0643E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88" name="Rectangle 377">
          <a:extLst>
            <a:ext uri="{FF2B5EF4-FFF2-40B4-BE49-F238E27FC236}">
              <a16:creationId xmlns:a16="http://schemas.microsoft.com/office/drawing/2014/main" id="{0243D4D5-1BAF-4895-850E-7790C4158CA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889" name="Rectangle 378">
          <a:extLst>
            <a:ext uri="{FF2B5EF4-FFF2-40B4-BE49-F238E27FC236}">
              <a16:creationId xmlns:a16="http://schemas.microsoft.com/office/drawing/2014/main" id="{10CC53E8-EE81-43DB-82B9-C1ED38DD7074}"/>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0" name="Rectangle 379">
          <a:extLst>
            <a:ext uri="{FF2B5EF4-FFF2-40B4-BE49-F238E27FC236}">
              <a16:creationId xmlns:a16="http://schemas.microsoft.com/office/drawing/2014/main" id="{E638BA39-4D38-4CAF-875A-ED432B345CC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1" name="Rectangle 380">
          <a:extLst>
            <a:ext uri="{FF2B5EF4-FFF2-40B4-BE49-F238E27FC236}">
              <a16:creationId xmlns:a16="http://schemas.microsoft.com/office/drawing/2014/main" id="{9368F49A-EA03-433A-A9B5-A0ED97190FE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2" name="Rectangle 381">
          <a:extLst>
            <a:ext uri="{FF2B5EF4-FFF2-40B4-BE49-F238E27FC236}">
              <a16:creationId xmlns:a16="http://schemas.microsoft.com/office/drawing/2014/main" id="{AE87C859-240D-4A34-9541-A02F3DA7F21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3" name="Rectangle 382">
          <a:extLst>
            <a:ext uri="{FF2B5EF4-FFF2-40B4-BE49-F238E27FC236}">
              <a16:creationId xmlns:a16="http://schemas.microsoft.com/office/drawing/2014/main" id="{48CA9DEE-737A-49C4-B2CD-D3F941F8FE4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4" name="Rectangle 383">
          <a:extLst>
            <a:ext uri="{FF2B5EF4-FFF2-40B4-BE49-F238E27FC236}">
              <a16:creationId xmlns:a16="http://schemas.microsoft.com/office/drawing/2014/main" id="{F7660053-A699-45CA-B1AD-49E6A2C090F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5" name="Rectangle 384">
          <a:extLst>
            <a:ext uri="{FF2B5EF4-FFF2-40B4-BE49-F238E27FC236}">
              <a16:creationId xmlns:a16="http://schemas.microsoft.com/office/drawing/2014/main" id="{1A98E155-92C2-4774-84AB-85F51BE3947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6" name="Rectangle 385">
          <a:extLst>
            <a:ext uri="{FF2B5EF4-FFF2-40B4-BE49-F238E27FC236}">
              <a16:creationId xmlns:a16="http://schemas.microsoft.com/office/drawing/2014/main" id="{75047D80-5F9F-4BF0-8A8A-5A281ED4717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7" name="Rectangle 386">
          <a:extLst>
            <a:ext uri="{FF2B5EF4-FFF2-40B4-BE49-F238E27FC236}">
              <a16:creationId xmlns:a16="http://schemas.microsoft.com/office/drawing/2014/main" id="{BBB61005-8CEA-47C9-9675-74FF8CD5C60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8" name="Rectangle 387">
          <a:extLst>
            <a:ext uri="{FF2B5EF4-FFF2-40B4-BE49-F238E27FC236}">
              <a16:creationId xmlns:a16="http://schemas.microsoft.com/office/drawing/2014/main" id="{75185F54-25CA-409F-AE34-3AD3DABF0CE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899" name="Rectangle 388">
          <a:extLst>
            <a:ext uri="{FF2B5EF4-FFF2-40B4-BE49-F238E27FC236}">
              <a16:creationId xmlns:a16="http://schemas.microsoft.com/office/drawing/2014/main" id="{337D23CC-804B-42BF-B70D-1E5D1AA6EBD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0" name="Rectangle 389">
          <a:extLst>
            <a:ext uri="{FF2B5EF4-FFF2-40B4-BE49-F238E27FC236}">
              <a16:creationId xmlns:a16="http://schemas.microsoft.com/office/drawing/2014/main" id="{A41DC5E9-2FF7-4561-A754-D62E40112D9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1" name="Rectangle 390">
          <a:extLst>
            <a:ext uri="{FF2B5EF4-FFF2-40B4-BE49-F238E27FC236}">
              <a16:creationId xmlns:a16="http://schemas.microsoft.com/office/drawing/2014/main" id="{2F2773B6-4EF0-49D6-A9F9-9E4CBEB5B7E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2" name="Rectangle 391">
          <a:extLst>
            <a:ext uri="{FF2B5EF4-FFF2-40B4-BE49-F238E27FC236}">
              <a16:creationId xmlns:a16="http://schemas.microsoft.com/office/drawing/2014/main" id="{E956D43F-A615-4ACD-954F-449A6AB39BF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3" name="Rectangle 392">
          <a:extLst>
            <a:ext uri="{FF2B5EF4-FFF2-40B4-BE49-F238E27FC236}">
              <a16:creationId xmlns:a16="http://schemas.microsoft.com/office/drawing/2014/main" id="{C3E0573D-2687-485E-8E49-006D61281F3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4" name="Rectangle 393">
          <a:extLst>
            <a:ext uri="{FF2B5EF4-FFF2-40B4-BE49-F238E27FC236}">
              <a16:creationId xmlns:a16="http://schemas.microsoft.com/office/drawing/2014/main" id="{2C7AE29E-313A-4026-9950-1BF9ED152FD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5" name="Rectangle 394">
          <a:extLst>
            <a:ext uri="{FF2B5EF4-FFF2-40B4-BE49-F238E27FC236}">
              <a16:creationId xmlns:a16="http://schemas.microsoft.com/office/drawing/2014/main" id="{4A5BEEEF-AF26-4BA7-8B35-6C0CF3B32D0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6" name="Rectangle 395">
          <a:extLst>
            <a:ext uri="{FF2B5EF4-FFF2-40B4-BE49-F238E27FC236}">
              <a16:creationId xmlns:a16="http://schemas.microsoft.com/office/drawing/2014/main" id="{52057071-65C8-4446-8E4A-EB250C1E2D3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7" name="Rectangle 396">
          <a:extLst>
            <a:ext uri="{FF2B5EF4-FFF2-40B4-BE49-F238E27FC236}">
              <a16:creationId xmlns:a16="http://schemas.microsoft.com/office/drawing/2014/main" id="{DE709FF9-E03C-4CA6-AE34-907E36B64E3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908" name="Rectangle 397">
          <a:extLst>
            <a:ext uri="{FF2B5EF4-FFF2-40B4-BE49-F238E27FC236}">
              <a16:creationId xmlns:a16="http://schemas.microsoft.com/office/drawing/2014/main" id="{AD6BD15B-147C-487B-BB94-A86B870182DC}"/>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09" name="Rectangle 398">
          <a:extLst>
            <a:ext uri="{FF2B5EF4-FFF2-40B4-BE49-F238E27FC236}">
              <a16:creationId xmlns:a16="http://schemas.microsoft.com/office/drawing/2014/main" id="{6DCC97D8-6B83-4D84-977B-50245AD0382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0" name="Rectangle 399">
          <a:extLst>
            <a:ext uri="{FF2B5EF4-FFF2-40B4-BE49-F238E27FC236}">
              <a16:creationId xmlns:a16="http://schemas.microsoft.com/office/drawing/2014/main" id="{EAEE98D9-9D79-4B75-85B4-D1BEA016B80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1" name="Rectangle 400">
          <a:extLst>
            <a:ext uri="{FF2B5EF4-FFF2-40B4-BE49-F238E27FC236}">
              <a16:creationId xmlns:a16="http://schemas.microsoft.com/office/drawing/2014/main" id="{ADA9FA69-A3EC-4FD2-AE61-BCA8349AFAC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2" name="Rectangle 401">
          <a:extLst>
            <a:ext uri="{FF2B5EF4-FFF2-40B4-BE49-F238E27FC236}">
              <a16:creationId xmlns:a16="http://schemas.microsoft.com/office/drawing/2014/main" id="{6B58E4F7-73A0-4FCA-99A2-80DE920CC8F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3" name="Rectangle 402">
          <a:extLst>
            <a:ext uri="{FF2B5EF4-FFF2-40B4-BE49-F238E27FC236}">
              <a16:creationId xmlns:a16="http://schemas.microsoft.com/office/drawing/2014/main" id="{45B420A6-83AF-40E1-806E-BB9EDA5D708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4" name="Rectangle 403">
          <a:extLst>
            <a:ext uri="{FF2B5EF4-FFF2-40B4-BE49-F238E27FC236}">
              <a16:creationId xmlns:a16="http://schemas.microsoft.com/office/drawing/2014/main" id="{ED1F0552-7705-47C6-B4B2-637BF7ABB91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5" name="Rectangle 404">
          <a:extLst>
            <a:ext uri="{FF2B5EF4-FFF2-40B4-BE49-F238E27FC236}">
              <a16:creationId xmlns:a16="http://schemas.microsoft.com/office/drawing/2014/main" id="{F7794044-5623-4AE4-9010-E97D59FCB42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6" name="Rectangle 405">
          <a:extLst>
            <a:ext uri="{FF2B5EF4-FFF2-40B4-BE49-F238E27FC236}">
              <a16:creationId xmlns:a16="http://schemas.microsoft.com/office/drawing/2014/main" id="{D7CBDFBA-BAFA-4EBD-8028-FFDB5003D10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7" name="Rectangle 406">
          <a:extLst>
            <a:ext uri="{FF2B5EF4-FFF2-40B4-BE49-F238E27FC236}">
              <a16:creationId xmlns:a16="http://schemas.microsoft.com/office/drawing/2014/main" id="{EBDEB6ED-B0CC-4C4A-A48E-F9373FA87EC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8" name="Rectangle 407">
          <a:extLst>
            <a:ext uri="{FF2B5EF4-FFF2-40B4-BE49-F238E27FC236}">
              <a16:creationId xmlns:a16="http://schemas.microsoft.com/office/drawing/2014/main" id="{2D633CFE-A6A2-4471-8834-AD5F8E2A114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19" name="Rectangle 408">
          <a:extLst>
            <a:ext uri="{FF2B5EF4-FFF2-40B4-BE49-F238E27FC236}">
              <a16:creationId xmlns:a16="http://schemas.microsoft.com/office/drawing/2014/main" id="{027EE4E6-66FD-446B-87E2-0EF7499CE04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0" name="Rectangle 409">
          <a:extLst>
            <a:ext uri="{FF2B5EF4-FFF2-40B4-BE49-F238E27FC236}">
              <a16:creationId xmlns:a16="http://schemas.microsoft.com/office/drawing/2014/main" id="{20C3ECBD-DB89-4100-9AB5-D46A4D82FCA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1" name="Rectangle 410">
          <a:extLst>
            <a:ext uri="{FF2B5EF4-FFF2-40B4-BE49-F238E27FC236}">
              <a16:creationId xmlns:a16="http://schemas.microsoft.com/office/drawing/2014/main" id="{A327EC06-59A6-45A2-92BC-B9C5BED20C5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2" name="Rectangle 411">
          <a:extLst>
            <a:ext uri="{FF2B5EF4-FFF2-40B4-BE49-F238E27FC236}">
              <a16:creationId xmlns:a16="http://schemas.microsoft.com/office/drawing/2014/main" id="{4E55E805-39CB-45B7-AC7C-6948D2471B8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3" name="Rectangle 412">
          <a:extLst>
            <a:ext uri="{FF2B5EF4-FFF2-40B4-BE49-F238E27FC236}">
              <a16:creationId xmlns:a16="http://schemas.microsoft.com/office/drawing/2014/main" id="{DBAC613E-9ADF-441C-8C11-035408F7F02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4" name="Rectangle 413">
          <a:extLst>
            <a:ext uri="{FF2B5EF4-FFF2-40B4-BE49-F238E27FC236}">
              <a16:creationId xmlns:a16="http://schemas.microsoft.com/office/drawing/2014/main" id="{A6C720AF-18AB-41EC-B28E-A7CEDFCBE78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5" name="Rectangle 414">
          <a:extLst>
            <a:ext uri="{FF2B5EF4-FFF2-40B4-BE49-F238E27FC236}">
              <a16:creationId xmlns:a16="http://schemas.microsoft.com/office/drawing/2014/main" id="{764949D7-1235-4235-9495-E1BD6D9AA3C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6" name="Rectangle 415">
          <a:extLst>
            <a:ext uri="{FF2B5EF4-FFF2-40B4-BE49-F238E27FC236}">
              <a16:creationId xmlns:a16="http://schemas.microsoft.com/office/drawing/2014/main" id="{A5DA86A2-D41D-47AF-932E-6149F467260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7" name="Rectangle 416">
          <a:extLst>
            <a:ext uri="{FF2B5EF4-FFF2-40B4-BE49-F238E27FC236}">
              <a16:creationId xmlns:a16="http://schemas.microsoft.com/office/drawing/2014/main" id="{716E28C6-B5B4-406F-BBD0-B60A9E879A0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8" name="Rectangle 417">
          <a:extLst>
            <a:ext uri="{FF2B5EF4-FFF2-40B4-BE49-F238E27FC236}">
              <a16:creationId xmlns:a16="http://schemas.microsoft.com/office/drawing/2014/main" id="{9F9018EB-AE28-4F72-95F3-3A2519DA661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29" name="Rectangle 418">
          <a:extLst>
            <a:ext uri="{FF2B5EF4-FFF2-40B4-BE49-F238E27FC236}">
              <a16:creationId xmlns:a16="http://schemas.microsoft.com/office/drawing/2014/main" id="{B25CEFEB-C07C-46C6-95DC-9F669886FE3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0" name="Rectangle 419">
          <a:extLst>
            <a:ext uri="{FF2B5EF4-FFF2-40B4-BE49-F238E27FC236}">
              <a16:creationId xmlns:a16="http://schemas.microsoft.com/office/drawing/2014/main" id="{8B8779C3-6A71-4CB1-BC31-2898DF3B51A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1" name="Rectangle 420">
          <a:extLst>
            <a:ext uri="{FF2B5EF4-FFF2-40B4-BE49-F238E27FC236}">
              <a16:creationId xmlns:a16="http://schemas.microsoft.com/office/drawing/2014/main" id="{8F3EB8F1-CB7C-4563-AF22-DFE79EC4C14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2" name="Rectangle 421">
          <a:extLst>
            <a:ext uri="{FF2B5EF4-FFF2-40B4-BE49-F238E27FC236}">
              <a16:creationId xmlns:a16="http://schemas.microsoft.com/office/drawing/2014/main" id="{8E82EB0B-D84C-46BB-8D01-8BD0CFC3E74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933" name="Rectangle 422">
          <a:extLst>
            <a:ext uri="{FF2B5EF4-FFF2-40B4-BE49-F238E27FC236}">
              <a16:creationId xmlns:a16="http://schemas.microsoft.com/office/drawing/2014/main" id="{58A181E2-1620-42D4-8246-E43B4E2AF348}"/>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4" name="Rectangle 423">
          <a:extLst>
            <a:ext uri="{FF2B5EF4-FFF2-40B4-BE49-F238E27FC236}">
              <a16:creationId xmlns:a16="http://schemas.microsoft.com/office/drawing/2014/main" id="{15EAB627-136A-4E07-ABCC-CDFCAE46E6D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5" name="Rectangle 424">
          <a:extLst>
            <a:ext uri="{FF2B5EF4-FFF2-40B4-BE49-F238E27FC236}">
              <a16:creationId xmlns:a16="http://schemas.microsoft.com/office/drawing/2014/main" id="{5BC3CE1D-D85B-4E47-92B0-804DAF586FE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6" name="Rectangle 425">
          <a:extLst>
            <a:ext uri="{FF2B5EF4-FFF2-40B4-BE49-F238E27FC236}">
              <a16:creationId xmlns:a16="http://schemas.microsoft.com/office/drawing/2014/main" id="{A38CE96A-1C0C-4099-BA03-838A3427ADD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7" name="Rectangle 426">
          <a:extLst>
            <a:ext uri="{FF2B5EF4-FFF2-40B4-BE49-F238E27FC236}">
              <a16:creationId xmlns:a16="http://schemas.microsoft.com/office/drawing/2014/main" id="{4A200F00-28E9-4479-B006-EC9727EDD46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8" name="Rectangle 427">
          <a:extLst>
            <a:ext uri="{FF2B5EF4-FFF2-40B4-BE49-F238E27FC236}">
              <a16:creationId xmlns:a16="http://schemas.microsoft.com/office/drawing/2014/main" id="{658ADF19-8505-4992-9F6A-4E0DDC6DC02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39" name="Rectangle 428">
          <a:extLst>
            <a:ext uri="{FF2B5EF4-FFF2-40B4-BE49-F238E27FC236}">
              <a16:creationId xmlns:a16="http://schemas.microsoft.com/office/drawing/2014/main" id="{86C9665C-C941-4F86-A56B-1349C9A7020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0" name="Rectangle 429">
          <a:extLst>
            <a:ext uri="{FF2B5EF4-FFF2-40B4-BE49-F238E27FC236}">
              <a16:creationId xmlns:a16="http://schemas.microsoft.com/office/drawing/2014/main" id="{9770428F-D0A8-4DB8-8831-58668C0EE83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1" name="Rectangle 430">
          <a:extLst>
            <a:ext uri="{FF2B5EF4-FFF2-40B4-BE49-F238E27FC236}">
              <a16:creationId xmlns:a16="http://schemas.microsoft.com/office/drawing/2014/main" id="{64BD1ED0-40A7-4E7E-991F-EB5B65A8FC5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2" name="Rectangle 431">
          <a:extLst>
            <a:ext uri="{FF2B5EF4-FFF2-40B4-BE49-F238E27FC236}">
              <a16:creationId xmlns:a16="http://schemas.microsoft.com/office/drawing/2014/main" id="{84BAE674-4DC1-46E8-A723-D83310BFFE5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3" name="Rectangle 432">
          <a:extLst>
            <a:ext uri="{FF2B5EF4-FFF2-40B4-BE49-F238E27FC236}">
              <a16:creationId xmlns:a16="http://schemas.microsoft.com/office/drawing/2014/main" id="{64D71B63-B22F-443F-A7C9-B8B567EE7D6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4" name="Rectangle 433">
          <a:extLst>
            <a:ext uri="{FF2B5EF4-FFF2-40B4-BE49-F238E27FC236}">
              <a16:creationId xmlns:a16="http://schemas.microsoft.com/office/drawing/2014/main" id="{0C79B9CC-AE0C-4995-A481-F2F863ED8B1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5" name="Rectangle 434">
          <a:extLst>
            <a:ext uri="{FF2B5EF4-FFF2-40B4-BE49-F238E27FC236}">
              <a16:creationId xmlns:a16="http://schemas.microsoft.com/office/drawing/2014/main" id="{49CB39C1-FF10-4946-A95A-06AB385CD5E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6" name="Rectangle 435">
          <a:extLst>
            <a:ext uri="{FF2B5EF4-FFF2-40B4-BE49-F238E27FC236}">
              <a16:creationId xmlns:a16="http://schemas.microsoft.com/office/drawing/2014/main" id="{E63823A3-CAE0-4BA6-A23B-B07EDC65D43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7" name="Rectangle 436">
          <a:extLst>
            <a:ext uri="{FF2B5EF4-FFF2-40B4-BE49-F238E27FC236}">
              <a16:creationId xmlns:a16="http://schemas.microsoft.com/office/drawing/2014/main" id="{DEA48A5E-4468-4295-A11B-D6DE3CB4003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8" name="Rectangle 437">
          <a:extLst>
            <a:ext uri="{FF2B5EF4-FFF2-40B4-BE49-F238E27FC236}">
              <a16:creationId xmlns:a16="http://schemas.microsoft.com/office/drawing/2014/main" id="{A3877832-AC21-4289-A9F0-265A260FDA5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49" name="Rectangle 438">
          <a:extLst>
            <a:ext uri="{FF2B5EF4-FFF2-40B4-BE49-F238E27FC236}">
              <a16:creationId xmlns:a16="http://schemas.microsoft.com/office/drawing/2014/main" id="{40DA30CA-08CC-43B1-A960-2457F4FA8FE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0" name="Rectangle 439">
          <a:extLst>
            <a:ext uri="{FF2B5EF4-FFF2-40B4-BE49-F238E27FC236}">
              <a16:creationId xmlns:a16="http://schemas.microsoft.com/office/drawing/2014/main" id="{0D9AE104-66A5-4AE8-B070-37F8CCF9CE9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1" name="Rectangle 440">
          <a:extLst>
            <a:ext uri="{FF2B5EF4-FFF2-40B4-BE49-F238E27FC236}">
              <a16:creationId xmlns:a16="http://schemas.microsoft.com/office/drawing/2014/main" id="{B90515BE-9B64-4DC3-A4A3-C4346F06623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2" name="Rectangle 441">
          <a:extLst>
            <a:ext uri="{FF2B5EF4-FFF2-40B4-BE49-F238E27FC236}">
              <a16:creationId xmlns:a16="http://schemas.microsoft.com/office/drawing/2014/main" id="{1576C989-23CC-4FD9-BCD1-CCE1870CF8D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3" name="Rectangle 442">
          <a:extLst>
            <a:ext uri="{FF2B5EF4-FFF2-40B4-BE49-F238E27FC236}">
              <a16:creationId xmlns:a16="http://schemas.microsoft.com/office/drawing/2014/main" id="{FD9D163A-021E-4832-8C38-647A3D65EC7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4" name="Rectangle 443">
          <a:extLst>
            <a:ext uri="{FF2B5EF4-FFF2-40B4-BE49-F238E27FC236}">
              <a16:creationId xmlns:a16="http://schemas.microsoft.com/office/drawing/2014/main" id="{B9A394F6-8F60-4F6D-9F65-A67DEE4D195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5" name="Rectangle 444">
          <a:extLst>
            <a:ext uri="{FF2B5EF4-FFF2-40B4-BE49-F238E27FC236}">
              <a16:creationId xmlns:a16="http://schemas.microsoft.com/office/drawing/2014/main" id="{1FE4696D-181C-4958-BF5D-72186F62A40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6" name="Rectangle 445">
          <a:extLst>
            <a:ext uri="{FF2B5EF4-FFF2-40B4-BE49-F238E27FC236}">
              <a16:creationId xmlns:a16="http://schemas.microsoft.com/office/drawing/2014/main" id="{33B3454F-E74C-40D2-A9CB-CCCF53F87BF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7" name="Rectangle 446">
          <a:extLst>
            <a:ext uri="{FF2B5EF4-FFF2-40B4-BE49-F238E27FC236}">
              <a16:creationId xmlns:a16="http://schemas.microsoft.com/office/drawing/2014/main" id="{479792C9-A5EB-4067-B535-F373D42FFB2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8" name="Rectangle 447">
          <a:extLst>
            <a:ext uri="{FF2B5EF4-FFF2-40B4-BE49-F238E27FC236}">
              <a16:creationId xmlns:a16="http://schemas.microsoft.com/office/drawing/2014/main" id="{C18B335A-169D-4D75-8C6B-2EEEABEB757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59" name="Rectangle 448">
          <a:extLst>
            <a:ext uri="{FF2B5EF4-FFF2-40B4-BE49-F238E27FC236}">
              <a16:creationId xmlns:a16="http://schemas.microsoft.com/office/drawing/2014/main" id="{DAC6CAAE-295F-4388-AAC5-A38B8B868D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0" name="Rectangle 449">
          <a:extLst>
            <a:ext uri="{FF2B5EF4-FFF2-40B4-BE49-F238E27FC236}">
              <a16:creationId xmlns:a16="http://schemas.microsoft.com/office/drawing/2014/main" id="{491E3661-6EB8-47F5-88AE-755341579DA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1" name="Rectangle 450">
          <a:extLst>
            <a:ext uri="{FF2B5EF4-FFF2-40B4-BE49-F238E27FC236}">
              <a16:creationId xmlns:a16="http://schemas.microsoft.com/office/drawing/2014/main" id="{3702BF2D-DC2B-40EB-B4A2-FA758F7902E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2" name="Rectangle 451">
          <a:extLst>
            <a:ext uri="{FF2B5EF4-FFF2-40B4-BE49-F238E27FC236}">
              <a16:creationId xmlns:a16="http://schemas.microsoft.com/office/drawing/2014/main" id="{91CE0552-ACAB-4C2C-9AFB-F091425BFA9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3" name="Rectangle 452">
          <a:extLst>
            <a:ext uri="{FF2B5EF4-FFF2-40B4-BE49-F238E27FC236}">
              <a16:creationId xmlns:a16="http://schemas.microsoft.com/office/drawing/2014/main" id="{67F409F5-731B-4B2E-970A-A6BB3CE981E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38100</xdr:colOff>
      <xdr:row>0</xdr:row>
      <xdr:rowOff>0</xdr:rowOff>
    </xdr:from>
    <xdr:ext cx="28854" cy="132665"/>
    <xdr:sp macro="" textlink="">
      <xdr:nvSpPr>
        <xdr:cNvPr id="964" name="Rectangle 453">
          <a:extLst>
            <a:ext uri="{FF2B5EF4-FFF2-40B4-BE49-F238E27FC236}">
              <a16:creationId xmlns:a16="http://schemas.microsoft.com/office/drawing/2014/main" id="{5BE25B91-8BD2-46CE-88C3-4FD1DE4D75A1}"/>
            </a:ext>
          </a:extLst>
        </xdr:cNvPr>
        <xdr:cNvSpPr>
          <a:spLocks noChangeArrowheads="1"/>
        </xdr:cNvSpPr>
      </xdr:nvSpPr>
      <xdr:spPr bwMode="auto">
        <a:xfrm>
          <a:off x="6000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5" name="Rectangle 454">
          <a:extLst>
            <a:ext uri="{FF2B5EF4-FFF2-40B4-BE49-F238E27FC236}">
              <a16:creationId xmlns:a16="http://schemas.microsoft.com/office/drawing/2014/main" id="{50A26C56-A4CC-4A49-AC50-44B036EE020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6" name="Rectangle 455">
          <a:extLst>
            <a:ext uri="{FF2B5EF4-FFF2-40B4-BE49-F238E27FC236}">
              <a16:creationId xmlns:a16="http://schemas.microsoft.com/office/drawing/2014/main" id="{FCD1FB9D-8C77-419F-A795-AA14E5FBC6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7" name="Rectangle 456">
          <a:extLst>
            <a:ext uri="{FF2B5EF4-FFF2-40B4-BE49-F238E27FC236}">
              <a16:creationId xmlns:a16="http://schemas.microsoft.com/office/drawing/2014/main" id="{C9A411D0-27CF-47E5-9E50-C751DEEC4E4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8" name="Rectangle 457">
          <a:extLst>
            <a:ext uri="{FF2B5EF4-FFF2-40B4-BE49-F238E27FC236}">
              <a16:creationId xmlns:a16="http://schemas.microsoft.com/office/drawing/2014/main" id="{03331B62-EEFA-4530-B33C-C64D4C22138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69" name="Rectangle 458">
          <a:extLst>
            <a:ext uri="{FF2B5EF4-FFF2-40B4-BE49-F238E27FC236}">
              <a16:creationId xmlns:a16="http://schemas.microsoft.com/office/drawing/2014/main" id="{E06CFC2F-78EE-482A-A21A-15B9C168579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0" name="Rectangle 459">
          <a:extLst>
            <a:ext uri="{FF2B5EF4-FFF2-40B4-BE49-F238E27FC236}">
              <a16:creationId xmlns:a16="http://schemas.microsoft.com/office/drawing/2014/main" id="{2FBD40D4-2AFF-4A26-B2B6-ECC307EAEBD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1" name="Rectangle 460">
          <a:extLst>
            <a:ext uri="{FF2B5EF4-FFF2-40B4-BE49-F238E27FC236}">
              <a16:creationId xmlns:a16="http://schemas.microsoft.com/office/drawing/2014/main" id="{E9B1E911-D65E-4167-93DC-57C561EBB4F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2" name="Rectangle 461">
          <a:extLst>
            <a:ext uri="{FF2B5EF4-FFF2-40B4-BE49-F238E27FC236}">
              <a16:creationId xmlns:a16="http://schemas.microsoft.com/office/drawing/2014/main" id="{6BDA3F00-84C0-4694-AF78-288EF17F01C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3" name="Rectangle 462">
          <a:extLst>
            <a:ext uri="{FF2B5EF4-FFF2-40B4-BE49-F238E27FC236}">
              <a16:creationId xmlns:a16="http://schemas.microsoft.com/office/drawing/2014/main" id="{4208C4E8-B1F1-49F3-A032-1B1721D4954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4" name="Rectangle 463">
          <a:extLst>
            <a:ext uri="{FF2B5EF4-FFF2-40B4-BE49-F238E27FC236}">
              <a16:creationId xmlns:a16="http://schemas.microsoft.com/office/drawing/2014/main" id="{5DCC9455-9592-4B7B-B73F-E01E0FEA2BD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5" name="Rectangle 464">
          <a:extLst>
            <a:ext uri="{FF2B5EF4-FFF2-40B4-BE49-F238E27FC236}">
              <a16:creationId xmlns:a16="http://schemas.microsoft.com/office/drawing/2014/main" id="{EE5B3079-5338-48E7-A261-8896BBC9359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6" name="Rectangle 465">
          <a:extLst>
            <a:ext uri="{FF2B5EF4-FFF2-40B4-BE49-F238E27FC236}">
              <a16:creationId xmlns:a16="http://schemas.microsoft.com/office/drawing/2014/main" id="{1E178F56-3402-4733-83D1-4DAB216B6D4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977" name="Rectangle 466">
          <a:extLst>
            <a:ext uri="{FF2B5EF4-FFF2-40B4-BE49-F238E27FC236}">
              <a16:creationId xmlns:a16="http://schemas.microsoft.com/office/drawing/2014/main" id="{16C44879-74E0-4F60-878F-1B8F3DA31D34}"/>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8" name="Rectangle 467">
          <a:extLst>
            <a:ext uri="{FF2B5EF4-FFF2-40B4-BE49-F238E27FC236}">
              <a16:creationId xmlns:a16="http://schemas.microsoft.com/office/drawing/2014/main" id="{C4FDE111-EE4F-4E70-9540-80074684268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79" name="Rectangle 468">
          <a:extLst>
            <a:ext uri="{FF2B5EF4-FFF2-40B4-BE49-F238E27FC236}">
              <a16:creationId xmlns:a16="http://schemas.microsoft.com/office/drawing/2014/main" id="{A278BA63-799E-4877-AA9D-78F675C1C0C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0" name="Rectangle 469">
          <a:extLst>
            <a:ext uri="{FF2B5EF4-FFF2-40B4-BE49-F238E27FC236}">
              <a16:creationId xmlns:a16="http://schemas.microsoft.com/office/drawing/2014/main" id="{D78FEE74-F85C-4D7F-A775-B80D7E1E135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1" name="Rectangle 470">
          <a:extLst>
            <a:ext uri="{FF2B5EF4-FFF2-40B4-BE49-F238E27FC236}">
              <a16:creationId xmlns:a16="http://schemas.microsoft.com/office/drawing/2014/main" id="{16667569-BD30-4189-AA08-7788840E0E6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2" name="Rectangle 471">
          <a:extLst>
            <a:ext uri="{FF2B5EF4-FFF2-40B4-BE49-F238E27FC236}">
              <a16:creationId xmlns:a16="http://schemas.microsoft.com/office/drawing/2014/main" id="{E96F70DB-DCFC-4A6C-A205-B8F21F9D9B3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3" name="Rectangle 472">
          <a:extLst>
            <a:ext uri="{FF2B5EF4-FFF2-40B4-BE49-F238E27FC236}">
              <a16:creationId xmlns:a16="http://schemas.microsoft.com/office/drawing/2014/main" id="{9178A583-6F0F-4764-A3B7-8BF42A61D1CE}"/>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4" name="Rectangle 473">
          <a:extLst>
            <a:ext uri="{FF2B5EF4-FFF2-40B4-BE49-F238E27FC236}">
              <a16:creationId xmlns:a16="http://schemas.microsoft.com/office/drawing/2014/main" id="{E03DD99E-9EDD-4C16-9715-8B919B473BD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5" name="Rectangle 474">
          <a:extLst>
            <a:ext uri="{FF2B5EF4-FFF2-40B4-BE49-F238E27FC236}">
              <a16:creationId xmlns:a16="http://schemas.microsoft.com/office/drawing/2014/main" id="{79246200-D6F5-4F10-A275-F5DF3021DFD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6" name="Rectangle 475">
          <a:extLst>
            <a:ext uri="{FF2B5EF4-FFF2-40B4-BE49-F238E27FC236}">
              <a16:creationId xmlns:a16="http://schemas.microsoft.com/office/drawing/2014/main" id="{FD48D9AD-C208-4961-9130-A989C3256A6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7" name="Rectangle 476">
          <a:extLst>
            <a:ext uri="{FF2B5EF4-FFF2-40B4-BE49-F238E27FC236}">
              <a16:creationId xmlns:a16="http://schemas.microsoft.com/office/drawing/2014/main" id="{B9655EE3-775E-4158-B167-8960E5483E1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8" name="Rectangle 477">
          <a:extLst>
            <a:ext uri="{FF2B5EF4-FFF2-40B4-BE49-F238E27FC236}">
              <a16:creationId xmlns:a16="http://schemas.microsoft.com/office/drawing/2014/main" id="{4699C5B3-1319-4929-83E6-3E573B44915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89" name="Rectangle 478">
          <a:extLst>
            <a:ext uri="{FF2B5EF4-FFF2-40B4-BE49-F238E27FC236}">
              <a16:creationId xmlns:a16="http://schemas.microsoft.com/office/drawing/2014/main" id="{6DFFAB9A-AD57-43F5-8CBA-D1AD7D7208A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0" name="Rectangle 479">
          <a:extLst>
            <a:ext uri="{FF2B5EF4-FFF2-40B4-BE49-F238E27FC236}">
              <a16:creationId xmlns:a16="http://schemas.microsoft.com/office/drawing/2014/main" id="{3C62E6C8-F6F4-4997-A181-E35446ECFB7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1" name="Rectangle 480">
          <a:extLst>
            <a:ext uri="{FF2B5EF4-FFF2-40B4-BE49-F238E27FC236}">
              <a16:creationId xmlns:a16="http://schemas.microsoft.com/office/drawing/2014/main" id="{F237F488-55B0-4EE8-8B24-0A972CA88A6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2" name="Rectangle 481">
          <a:extLst>
            <a:ext uri="{FF2B5EF4-FFF2-40B4-BE49-F238E27FC236}">
              <a16:creationId xmlns:a16="http://schemas.microsoft.com/office/drawing/2014/main" id="{D5F00641-64BD-4AD7-A831-9C2D97BF141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3" name="Rectangle 482">
          <a:extLst>
            <a:ext uri="{FF2B5EF4-FFF2-40B4-BE49-F238E27FC236}">
              <a16:creationId xmlns:a16="http://schemas.microsoft.com/office/drawing/2014/main" id="{0D262127-7FC1-46ED-A9D3-45FA8BD4FD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4" name="Rectangle 483">
          <a:extLst>
            <a:ext uri="{FF2B5EF4-FFF2-40B4-BE49-F238E27FC236}">
              <a16:creationId xmlns:a16="http://schemas.microsoft.com/office/drawing/2014/main" id="{2DFAA36E-5862-4E21-ABE2-C67FFD0A47C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5" name="Rectangle 484">
          <a:extLst>
            <a:ext uri="{FF2B5EF4-FFF2-40B4-BE49-F238E27FC236}">
              <a16:creationId xmlns:a16="http://schemas.microsoft.com/office/drawing/2014/main" id="{33F41430-5B0D-49E0-83A4-8C6FC0413EE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996" name="Rectangle 485">
          <a:extLst>
            <a:ext uri="{FF2B5EF4-FFF2-40B4-BE49-F238E27FC236}">
              <a16:creationId xmlns:a16="http://schemas.microsoft.com/office/drawing/2014/main" id="{3DF33F75-0AEE-41F4-A622-CE4151C80AD7}"/>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7" name="Rectangle 486">
          <a:extLst>
            <a:ext uri="{FF2B5EF4-FFF2-40B4-BE49-F238E27FC236}">
              <a16:creationId xmlns:a16="http://schemas.microsoft.com/office/drawing/2014/main" id="{76E6355A-9480-4320-ACC3-09C9D232A59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8" name="Rectangle 487">
          <a:extLst>
            <a:ext uri="{FF2B5EF4-FFF2-40B4-BE49-F238E27FC236}">
              <a16:creationId xmlns:a16="http://schemas.microsoft.com/office/drawing/2014/main" id="{F890410E-C4E2-4F30-97EB-2923DCCB692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999" name="Rectangle 488">
          <a:extLst>
            <a:ext uri="{FF2B5EF4-FFF2-40B4-BE49-F238E27FC236}">
              <a16:creationId xmlns:a16="http://schemas.microsoft.com/office/drawing/2014/main" id="{0334148F-73D1-46BB-B127-EBF8CE9CB93A}"/>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0" name="Rectangle 489">
          <a:extLst>
            <a:ext uri="{FF2B5EF4-FFF2-40B4-BE49-F238E27FC236}">
              <a16:creationId xmlns:a16="http://schemas.microsoft.com/office/drawing/2014/main" id="{EF79FA4C-8C74-4DE9-973F-3E274A65E63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1" name="Rectangle 490">
          <a:extLst>
            <a:ext uri="{FF2B5EF4-FFF2-40B4-BE49-F238E27FC236}">
              <a16:creationId xmlns:a16="http://schemas.microsoft.com/office/drawing/2014/main" id="{26BE7D11-124C-408D-B0D9-6C0E872A2F6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2" name="Rectangle 491">
          <a:extLst>
            <a:ext uri="{FF2B5EF4-FFF2-40B4-BE49-F238E27FC236}">
              <a16:creationId xmlns:a16="http://schemas.microsoft.com/office/drawing/2014/main" id="{8D334F48-2DD8-4C25-A22A-1B2C41FBFB2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3" name="Rectangle 492">
          <a:extLst>
            <a:ext uri="{FF2B5EF4-FFF2-40B4-BE49-F238E27FC236}">
              <a16:creationId xmlns:a16="http://schemas.microsoft.com/office/drawing/2014/main" id="{B6603A23-A923-4119-9B8B-43939366745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4" name="Rectangle 493">
          <a:extLst>
            <a:ext uri="{FF2B5EF4-FFF2-40B4-BE49-F238E27FC236}">
              <a16:creationId xmlns:a16="http://schemas.microsoft.com/office/drawing/2014/main" id="{6F83DD70-B64A-48F6-9D61-2D622F97FFF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5" name="Rectangle 494">
          <a:extLst>
            <a:ext uri="{FF2B5EF4-FFF2-40B4-BE49-F238E27FC236}">
              <a16:creationId xmlns:a16="http://schemas.microsoft.com/office/drawing/2014/main" id="{F06CD057-C983-411D-861B-36A7FDBD114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6" name="Rectangle 495">
          <a:extLst>
            <a:ext uri="{FF2B5EF4-FFF2-40B4-BE49-F238E27FC236}">
              <a16:creationId xmlns:a16="http://schemas.microsoft.com/office/drawing/2014/main" id="{A97FE3CD-8A97-4F26-9EE1-E6FF85263B9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7" name="Rectangle 496">
          <a:extLst>
            <a:ext uri="{FF2B5EF4-FFF2-40B4-BE49-F238E27FC236}">
              <a16:creationId xmlns:a16="http://schemas.microsoft.com/office/drawing/2014/main" id="{75F70B40-4F8A-42AA-BA05-D04ED3429BF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8" name="Rectangle 497">
          <a:extLst>
            <a:ext uri="{FF2B5EF4-FFF2-40B4-BE49-F238E27FC236}">
              <a16:creationId xmlns:a16="http://schemas.microsoft.com/office/drawing/2014/main" id="{068AD863-DE68-4905-892A-1CA99A88CAF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09" name="Rectangle 498">
          <a:extLst>
            <a:ext uri="{FF2B5EF4-FFF2-40B4-BE49-F238E27FC236}">
              <a16:creationId xmlns:a16="http://schemas.microsoft.com/office/drawing/2014/main" id="{8B98F18B-C281-4E6B-A601-E5194A1E7EE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0" name="Rectangle 499">
          <a:extLst>
            <a:ext uri="{FF2B5EF4-FFF2-40B4-BE49-F238E27FC236}">
              <a16:creationId xmlns:a16="http://schemas.microsoft.com/office/drawing/2014/main" id="{3CE476AD-9BF3-4196-A9A8-D5EAB35C1A78}"/>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1" name="Rectangle 500">
          <a:extLst>
            <a:ext uri="{FF2B5EF4-FFF2-40B4-BE49-F238E27FC236}">
              <a16:creationId xmlns:a16="http://schemas.microsoft.com/office/drawing/2014/main" id="{884CBEBF-22AB-48F2-90F3-7ACCCB406F16}"/>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2" name="Rectangle 501">
          <a:extLst>
            <a:ext uri="{FF2B5EF4-FFF2-40B4-BE49-F238E27FC236}">
              <a16:creationId xmlns:a16="http://schemas.microsoft.com/office/drawing/2014/main" id="{618CAB5F-2F9A-4CFD-950C-A7381AEDED9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3" name="Rectangle 502">
          <a:extLst>
            <a:ext uri="{FF2B5EF4-FFF2-40B4-BE49-F238E27FC236}">
              <a16:creationId xmlns:a16="http://schemas.microsoft.com/office/drawing/2014/main" id="{2C943DD8-8C98-4FC9-8E2F-EE0B3D4BD459}"/>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4" name="Rectangle 503">
          <a:extLst>
            <a:ext uri="{FF2B5EF4-FFF2-40B4-BE49-F238E27FC236}">
              <a16:creationId xmlns:a16="http://schemas.microsoft.com/office/drawing/2014/main" id="{157FBF29-6FEE-4994-9EDF-0BD1DF9999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5" name="Rectangle 504">
          <a:extLst>
            <a:ext uri="{FF2B5EF4-FFF2-40B4-BE49-F238E27FC236}">
              <a16:creationId xmlns:a16="http://schemas.microsoft.com/office/drawing/2014/main" id="{A7B14F5E-6BCA-4C46-A428-B426DF9B2D7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6" name="Rectangle 505">
          <a:extLst>
            <a:ext uri="{FF2B5EF4-FFF2-40B4-BE49-F238E27FC236}">
              <a16:creationId xmlns:a16="http://schemas.microsoft.com/office/drawing/2014/main" id="{D9CB22D7-E16C-46CC-ADFA-EF827CF0448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7" name="Rectangle 506">
          <a:extLst>
            <a:ext uri="{FF2B5EF4-FFF2-40B4-BE49-F238E27FC236}">
              <a16:creationId xmlns:a16="http://schemas.microsoft.com/office/drawing/2014/main" id="{96E2CB0C-D1EB-41FD-BB02-40068558446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8" name="Rectangle 507">
          <a:extLst>
            <a:ext uri="{FF2B5EF4-FFF2-40B4-BE49-F238E27FC236}">
              <a16:creationId xmlns:a16="http://schemas.microsoft.com/office/drawing/2014/main" id="{9BB998B8-37BA-403A-8F14-E39F966AF52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19" name="Rectangle 508">
          <a:extLst>
            <a:ext uri="{FF2B5EF4-FFF2-40B4-BE49-F238E27FC236}">
              <a16:creationId xmlns:a16="http://schemas.microsoft.com/office/drawing/2014/main" id="{81734CC7-6C60-4BB9-9C87-03D4EDC1FCF3}"/>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0" name="Rectangle 509">
          <a:extLst>
            <a:ext uri="{FF2B5EF4-FFF2-40B4-BE49-F238E27FC236}">
              <a16:creationId xmlns:a16="http://schemas.microsoft.com/office/drawing/2014/main" id="{3378E910-0B53-4176-9573-A9DF2F364C6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28575</xdr:colOff>
      <xdr:row>0</xdr:row>
      <xdr:rowOff>0</xdr:rowOff>
    </xdr:from>
    <xdr:ext cx="28854" cy="132665"/>
    <xdr:sp macro="" textlink="">
      <xdr:nvSpPr>
        <xdr:cNvPr id="1021" name="Rectangle 510">
          <a:extLst>
            <a:ext uri="{FF2B5EF4-FFF2-40B4-BE49-F238E27FC236}">
              <a16:creationId xmlns:a16="http://schemas.microsoft.com/office/drawing/2014/main" id="{DDFEAF4B-4C4B-40ED-9D1B-0A145DCCBFE8}"/>
            </a:ext>
          </a:extLst>
        </xdr:cNvPr>
        <xdr:cNvSpPr>
          <a:spLocks noChangeArrowheads="1"/>
        </xdr:cNvSpPr>
      </xdr:nvSpPr>
      <xdr:spPr bwMode="auto">
        <a:xfrm>
          <a:off x="59055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2" name="Rectangle 511">
          <a:extLst>
            <a:ext uri="{FF2B5EF4-FFF2-40B4-BE49-F238E27FC236}">
              <a16:creationId xmlns:a16="http://schemas.microsoft.com/office/drawing/2014/main" id="{6A6E1793-5C4C-484D-B24F-D818F4C5D7C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3" name="Rectangle 512">
          <a:extLst>
            <a:ext uri="{FF2B5EF4-FFF2-40B4-BE49-F238E27FC236}">
              <a16:creationId xmlns:a16="http://schemas.microsoft.com/office/drawing/2014/main" id="{AA4B1A71-479B-46E8-9859-9EF2FE96E55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4" name="Rectangle 513">
          <a:extLst>
            <a:ext uri="{FF2B5EF4-FFF2-40B4-BE49-F238E27FC236}">
              <a16:creationId xmlns:a16="http://schemas.microsoft.com/office/drawing/2014/main" id="{A97036D2-9333-4B69-AB68-5B8FAEB09E3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5" name="Rectangle 514">
          <a:extLst>
            <a:ext uri="{FF2B5EF4-FFF2-40B4-BE49-F238E27FC236}">
              <a16:creationId xmlns:a16="http://schemas.microsoft.com/office/drawing/2014/main" id="{B3055D3C-7633-4D04-81C6-F0C4D4C7194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6" name="Rectangle 515">
          <a:extLst>
            <a:ext uri="{FF2B5EF4-FFF2-40B4-BE49-F238E27FC236}">
              <a16:creationId xmlns:a16="http://schemas.microsoft.com/office/drawing/2014/main" id="{F9854DD6-E2C3-42FF-9095-94BD6CD4259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7" name="Rectangle 516">
          <a:extLst>
            <a:ext uri="{FF2B5EF4-FFF2-40B4-BE49-F238E27FC236}">
              <a16:creationId xmlns:a16="http://schemas.microsoft.com/office/drawing/2014/main" id="{88627311-ED7D-444D-86C0-4378AE104EB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8" name="Rectangle 517">
          <a:extLst>
            <a:ext uri="{FF2B5EF4-FFF2-40B4-BE49-F238E27FC236}">
              <a16:creationId xmlns:a16="http://schemas.microsoft.com/office/drawing/2014/main" id="{0BDCCD44-566B-4F83-976A-FCD0376B1ACB}"/>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29" name="Rectangle 518">
          <a:extLst>
            <a:ext uri="{FF2B5EF4-FFF2-40B4-BE49-F238E27FC236}">
              <a16:creationId xmlns:a16="http://schemas.microsoft.com/office/drawing/2014/main" id="{101A1447-336A-45D0-9FA2-73A353863CCF}"/>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0" name="Rectangle 519">
          <a:extLst>
            <a:ext uri="{FF2B5EF4-FFF2-40B4-BE49-F238E27FC236}">
              <a16:creationId xmlns:a16="http://schemas.microsoft.com/office/drawing/2014/main" id="{2F71A454-7B44-46EF-AF8A-AB46FE928967}"/>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1" name="Rectangle 520">
          <a:extLst>
            <a:ext uri="{FF2B5EF4-FFF2-40B4-BE49-F238E27FC236}">
              <a16:creationId xmlns:a16="http://schemas.microsoft.com/office/drawing/2014/main" id="{2B15A401-F765-4D1B-88D3-4D86E224B71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2" name="Rectangle 521">
          <a:extLst>
            <a:ext uri="{FF2B5EF4-FFF2-40B4-BE49-F238E27FC236}">
              <a16:creationId xmlns:a16="http://schemas.microsoft.com/office/drawing/2014/main" id="{5FC12FF4-9D2C-41AA-99AD-53FA9E2CC15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3" name="Rectangle 522">
          <a:extLst>
            <a:ext uri="{FF2B5EF4-FFF2-40B4-BE49-F238E27FC236}">
              <a16:creationId xmlns:a16="http://schemas.microsoft.com/office/drawing/2014/main" id="{0F1697B1-509F-4A23-91AE-7629E1321AED}"/>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4" name="Rectangle 523">
          <a:extLst>
            <a:ext uri="{FF2B5EF4-FFF2-40B4-BE49-F238E27FC236}">
              <a16:creationId xmlns:a16="http://schemas.microsoft.com/office/drawing/2014/main" id="{20329621-13E9-4E0A-8730-A258FFF78C02}"/>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5" name="Rectangle 524">
          <a:extLst>
            <a:ext uri="{FF2B5EF4-FFF2-40B4-BE49-F238E27FC236}">
              <a16:creationId xmlns:a16="http://schemas.microsoft.com/office/drawing/2014/main" id="{08221875-4034-4C5C-BE95-C131B20D015C}"/>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6" name="Rectangle 525">
          <a:extLst>
            <a:ext uri="{FF2B5EF4-FFF2-40B4-BE49-F238E27FC236}">
              <a16:creationId xmlns:a16="http://schemas.microsoft.com/office/drawing/2014/main" id="{1CD4F6C1-BCEC-4557-9281-F865042CBA21}"/>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7" name="Rectangle 526">
          <a:extLst>
            <a:ext uri="{FF2B5EF4-FFF2-40B4-BE49-F238E27FC236}">
              <a16:creationId xmlns:a16="http://schemas.microsoft.com/office/drawing/2014/main" id="{B65C630F-B487-4ED9-8946-0D6D5BC4BC40}"/>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8" name="Rectangle 527">
          <a:extLst>
            <a:ext uri="{FF2B5EF4-FFF2-40B4-BE49-F238E27FC236}">
              <a16:creationId xmlns:a16="http://schemas.microsoft.com/office/drawing/2014/main" id="{520BE23B-598A-4DBC-B0E8-F568BBE2E984}"/>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oneCellAnchor>
    <xdr:from>
      <xdr:col>1</xdr:col>
      <xdr:colOff>19050</xdr:colOff>
      <xdr:row>0</xdr:row>
      <xdr:rowOff>0</xdr:rowOff>
    </xdr:from>
    <xdr:ext cx="28854" cy="132665"/>
    <xdr:sp macro="" textlink="">
      <xdr:nvSpPr>
        <xdr:cNvPr id="1039" name="Rectangle 528">
          <a:extLst>
            <a:ext uri="{FF2B5EF4-FFF2-40B4-BE49-F238E27FC236}">
              <a16:creationId xmlns:a16="http://schemas.microsoft.com/office/drawing/2014/main" id="{4C141C22-CE67-4A6B-8158-AB41F8089415}"/>
            </a:ext>
          </a:extLst>
        </xdr:cNvPr>
        <xdr:cNvSpPr>
          <a:spLocks noChangeArrowheads="1"/>
        </xdr:cNvSpPr>
      </xdr:nvSpPr>
      <xdr:spPr bwMode="auto">
        <a:xfrm>
          <a:off x="58102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561975</xdr:colOff>
      <xdr:row>1</xdr:row>
      <xdr:rowOff>0</xdr:rowOff>
    </xdr:from>
    <xdr:to>
      <xdr:col>6</xdr:col>
      <xdr:colOff>0</xdr:colOff>
      <xdr:row>1</xdr:row>
      <xdr:rowOff>0</xdr:rowOff>
    </xdr:to>
    <xdr:sp macro="" textlink="">
      <xdr:nvSpPr>
        <xdr:cNvPr id="2" name="Line 1">
          <a:extLst>
            <a:ext uri="{FF2B5EF4-FFF2-40B4-BE49-F238E27FC236}">
              <a16:creationId xmlns:a16="http://schemas.microsoft.com/office/drawing/2014/main" id="{11B18771-068B-4C0A-8907-FA6D34ED8774}"/>
            </a:ext>
          </a:extLst>
        </xdr:cNvPr>
        <xdr:cNvSpPr>
          <a:spLocks noChangeShapeType="1"/>
        </xdr:cNvSpPr>
      </xdr:nvSpPr>
      <xdr:spPr bwMode="auto">
        <a:xfrm>
          <a:off x="1257300" y="0"/>
          <a:ext cx="51530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57150</xdr:colOff>
      <xdr:row>1</xdr:row>
      <xdr:rowOff>0</xdr:rowOff>
    </xdr:from>
    <xdr:to>
      <xdr:col>1</xdr:col>
      <xdr:colOff>66675</xdr:colOff>
      <xdr:row>1</xdr:row>
      <xdr:rowOff>0</xdr:rowOff>
    </xdr:to>
    <xdr:pic>
      <xdr:nvPicPr>
        <xdr:cNvPr id="3" name="Picture 2" descr="congama">
          <a:extLst>
            <a:ext uri="{FF2B5EF4-FFF2-40B4-BE49-F238E27FC236}">
              <a16:creationId xmlns:a16="http://schemas.microsoft.com/office/drawing/2014/main" id="{098523BA-C376-47FF-91B3-4F70EA5CD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0"/>
          <a:ext cx="7048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523875</xdr:colOff>
      <xdr:row>1</xdr:row>
      <xdr:rowOff>0</xdr:rowOff>
    </xdr:from>
    <xdr:to>
      <xdr:col>5</xdr:col>
      <xdr:colOff>723900</xdr:colOff>
      <xdr:row>1</xdr:row>
      <xdr:rowOff>0</xdr:rowOff>
    </xdr:to>
    <xdr:sp macro="" textlink="">
      <xdr:nvSpPr>
        <xdr:cNvPr id="4" name="Line 3">
          <a:extLst>
            <a:ext uri="{FF2B5EF4-FFF2-40B4-BE49-F238E27FC236}">
              <a16:creationId xmlns:a16="http://schemas.microsoft.com/office/drawing/2014/main" id="{FFA45BEB-F55F-45BC-B491-FF125F866124}"/>
            </a:ext>
          </a:extLst>
        </xdr:cNvPr>
        <xdr:cNvSpPr>
          <a:spLocks noChangeShapeType="1"/>
        </xdr:cNvSpPr>
      </xdr:nvSpPr>
      <xdr:spPr bwMode="auto">
        <a:xfrm>
          <a:off x="1219200" y="0"/>
          <a:ext cx="50863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19050</xdr:colOff>
      <xdr:row>1</xdr:row>
      <xdr:rowOff>0</xdr:rowOff>
    </xdr:from>
    <xdr:to>
      <xdr:col>0</xdr:col>
      <xdr:colOff>657225</xdr:colOff>
      <xdr:row>1</xdr:row>
      <xdr:rowOff>0</xdr:rowOff>
    </xdr:to>
    <xdr:pic>
      <xdr:nvPicPr>
        <xdr:cNvPr id="5" name="Picture 5" descr="congama">
          <a:extLst>
            <a:ext uri="{FF2B5EF4-FFF2-40B4-BE49-F238E27FC236}">
              <a16:creationId xmlns:a16="http://schemas.microsoft.com/office/drawing/2014/main" id="{91727DE5-CA73-4475-8D72-C5B21DEF4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6381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0</xdr:rowOff>
    </xdr:from>
    <xdr:to>
      <xdr:col>6</xdr:col>
      <xdr:colOff>0</xdr:colOff>
      <xdr:row>1</xdr:row>
      <xdr:rowOff>0</xdr:rowOff>
    </xdr:to>
    <xdr:sp macro="" textlink="">
      <xdr:nvSpPr>
        <xdr:cNvPr id="6" name="Line 237">
          <a:extLst>
            <a:ext uri="{FF2B5EF4-FFF2-40B4-BE49-F238E27FC236}">
              <a16:creationId xmlns:a16="http://schemas.microsoft.com/office/drawing/2014/main" id="{11C1FCBA-EB3B-4521-B5D6-F41D8B82BFDC}"/>
            </a:ext>
          </a:extLst>
        </xdr:cNvPr>
        <xdr:cNvSpPr>
          <a:spLocks noChangeShapeType="1"/>
        </xdr:cNvSpPr>
      </xdr:nvSpPr>
      <xdr:spPr bwMode="auto">
        <a:xfrm>
          <a:off x="695325" y="0"/>
          <a:ext cx="5715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oneCellAnchor>
    <xdr:from>
      <xdr:col>1</xdr:col>
      <xdr:colOff>19050</xdr:colOff>
      <xdr:row>1</xdr:row>
      <xdr:rowOff>0</xdr:rowOff>
    </xdr:from>
    <xdr:ext cx="28854" cy="132665"/>
    <xdr:sp macro="" textlink="">
      <xdr:nvSpPr>
        <xdr:cNvPr id="7" name="Rectangle 238">
          <a:extLst>
            <a:ext uri="{FF2B5EF4-FFF2-40B4-BE49-F238E27FC236}">
              <a16:creationId xmlns:a16="http://schemas.microsoft.com/office/drawing/2014/main" id="{2997C865-0616-43C1-A969-0E1AE4FCF93E}"/>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twoCellAnchor>
    <xdr:from>
      <xdr:col>1</xdr:col>
      <xdr:colOff>0</xdr:colOff>
      <xdr:row>1</xdr:row>
      <xdr:rowOff>0</xdr:rowOff>
    </xdr:from>
    <xdr:to>
      <xdr:col>6</xdr:col>
      <xdr:colOff>0</xdr:colOff>
      <xdr:row>1</xdr:row>
      <xdr:rowOff>0</xdr:rowOff>
    </xdr:to>
    <xdr:sp macro="" textlink="">
      <xdr:nvSpPr>
        <xdr:cNvPr id="8" name="Line 248">
          <a:extLst>
            <a:ext uri="{FF2B5EF4-FFF2-40B4-BE49-F238E27FC236}">
              <a16:creationId xmlns:a16="http://schemas.microsoft.com/office/drawing/2014/main" id="{94443F66-5000-4655-AFD8-8C4C97D97F5D}"/>
            </a:ext>
          </a:extLst>
        </xdr:cNvPr>
        <xdr:cNvSpPr>
          <a:spLocks noChangeShapeType="1"/>
        </xdr:cNvSpPr>
      </xdr:nvSpPr>
      <xdr:spPr bwMode="auto">
        <a:xfrm>
          <a:off x="695325" y="0"/>
          <a:ext cx="5715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oneCellAnchor>
    <xdr:from>
      <xdr:col>1</xdr:col>
      <xdr:colOff>19050</xdr:colOff>
      <xdr:row>1</xdr:row>
      <xdr:rowOff>0</xdr:rowOff>
    </xdr:from>
    <xdr:ext cx="28854" cy="132665"/>
    <xdr:sp macro="" textlink="">
      <xdr:nvSpPr>
        <xdr:cNvPr id="9" name="Rectangle 249">
          <a:extLst>
            <a:ext uri="{FF2B5EF4-FFF2-40B4-BE49-F238E27FC236}">
              <a16:creationId xmlns:a16="http://schemas.microsoft.com/office/drawing/2014/main" id="{72799CB9-3DF6-4D12-8DA5-3384FD4392E7}"/>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twoCellAnchor>
    <xdr:from>
      <xdr:col>1</xdr:col>
      <xdr:colOff>0</xdr:colOff>
      <xdr:row>1</xdr:row>
      <xdr:rowOff>0</xdr:rowOff>
    </xdr:from>
    <xdr:to>
      <xdr:col>6</xdr:col>
      <xdr:colOff>0</xdr:colOff>
      <xdr:row>1</xdr:row>
      <xdr:rowOff>0</xdr:rowOff>
    </xdr:to>
    <xdr:sp macro="" textlink="">
      <xdr:nvSpPr>
        <xdr:cNvPr id="10" name="Line 250">
          <a:extLst>
            <a:ext uri="{FF2B5EF4-FFF2-40B4-BE49-F238E27FC236}">
              <a16:creationId xmlns:a16="http://schemas.microsoft.com/office/drawing/2014/main" id="{E7974F6E-57E2-4A61-A225-6C11F0A6396D}"/>
            </a:ext>
          </a:extLst>
        </xdr:cNvPr>
        <xdr:cNvSpPr>
          <a:spLocks noChangeShapeType="1"/>
        </xdr:cNvSpPr>
      </xdr:nvSpPr>
      <xdr:spPr bwMode="auto">
        <a:xfrm>
          <a:off x="695325" y="0"/>
          <a:ext cx="5715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oneCellAnchor>
    <xdr:from>
      <xdr:col>1</xdr:col>
      <xdr:colOff>19050</xdr:colOff>
      <xdr:row>1</xdr:row>
      <xdr:rowOff>0</xdr:rowOff>
    </xdr:from>
    <xdr:ext cx="28854" cy="132665"/>
    <xdr:sp macro="" textlink="">
      <xdr:nvSpPr>
        <xdr:cNvPr id="11" name="Rectangle 251">
          <a:extLst>
            <a:ext uri="{FF2B5EF4-FFF2-40B4-BE49-F238E27FC236}">
              <a16:creationId xmlns:a16="http://schemas.microsoft.com/office/drawing/2014/main" id="{BB4A430B-05B4-46D8-B53A-78440574D2BF}"/>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twoCellAnchor>
    <xdr:from>
      <xdr:col>0</xdr:col>
      <xdr:colOff>28575</xdr:colOff>
      <xdr:row>1</xdr:row>
      <xdr:rowOff>0</xdr:rowOff>
    </xdr:from>
    <xdr:to>
      <xdr:col>0</xdr:col>
      <xdr:colOff>676275</xdr:colOff>
      <xdr:row>1</xdr:row>
      <xdr:rowOff>0</xdr:rowOff>
    </xdr:to>
    <xdr:pic>
      <xdr:nvPicPr>
        <xdr:cNvPr id="12" name="Picture 252">
          <a:extLst>
            <a:ext uri="{FF2B5EF4-FFF2-40B4-BE49-F238E27FC236}">
              <a16:creationId xmlns:a16="http://schemas.microsoft.com/office/drawing/2014/main" id="{52F8D912-7B43-4F89-B6A9-997E2B70CB66}"/>
            </a:ext>
          </a:extLst>
        </xdr:cNvPr>
        <xdr:cNvPicPr>
          <a:picLocks noChangeArrowheads="1"/>
        </xdr:cNvPicPr>
      </xdr:nvPicPr>
      <xdr:blipFill>
        <a:blip xmlns:r="http://schemas.openxmlformats.org/officeDocument/2006/relationships" r:embed="rId2">
          <a:grayscl/>
          <a:biLevel thresh="50000"/>
          <a:extLst>
            <a:ext uri="{28A0092B-C50C-407E-A947-70E740481C1C}">
              <a14:useLocalDpi xmlns:a14="http://schemas.microsoft.com/office/drawing/2010/main" val="0"/>
            </a:ext>
          </a:extLst>
        </a:blip>
        <a:srcRect/>
        <a:stretch>
          <a:fillRect/>
        </a:stretch>
      </xdr:blipFill>
      <xdr:spPr bwMode="auto">
        <a:xfrm>
          <a:off x="28575" y="0"/>
          <a:ext cx="647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19050</xdr:colOff>
      <xdr:row>1</xdr:row>
      <xdr:rowOff>0</xdr:rowOff>
    </xdr:from>
    <xdr:ext cx="28854" cy="132665"/>
    <xdr:sp macro="" textlink="">
      <xdr:nvSpPr>
        <xdr:cNvPr id="13" name="Rectangle 253">
          <a:extLst>
            <a:ext uri="{FF2B5EF4-FFF2-40B4-BE49-F238E27FC236}">
              <a16:creationId xmlns:a16="http://schemas.microsoft.com/office/drawing/2014/main" id="{C0BF7700-800C-4962-A061-8036196C30CD}"/>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14" name="Rectangle 254">
          <a:extLst>
            <a:ext uri="{FF2B5EF4-FFF2-40B4-BE49-F238E27FC236}">
              <a16:creationId xmlns:a16="http://schemas.microsoft.com/office/drawing/2014/main" id="{FEB72888-F5F0-4713-BA2E-E4FA92219206}"/>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15" name="Rectangle 255">
          <a:extLst>
            <a:ext uri="{FF2B5EF4-FFF2-40B4-BE49-F238E27FC236}">
              <a16:creationId xmlns:a16="http://schemas.microsoft.com/office/drawing/2014/main" id="{6F42DFAA-EB32-413D-BC37-A94F0153C3EF}"/>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16" name="Rectangle 257">
          <a:extLst>
            <a:ext uri="{FF2B5EF4-FFF2-40B4-BE49-F238E27FC236}">
              <a16:creationId xmlns:a16="http://schemas.microsoft.com/office/drawing/2014/main" id="{E2269E98-CEC4-4889-8E28-8F23CD8DE9FF}"/>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17" name="Rectangle 258">
          <a:extLst>
            <a:ext uri="{FF2B5EF4-FFF2-40B4-BE49-F238E27FC236}">
              <a16:creationId xmlns:a16="http://schemas.microsoft.com/office/drawing/2014/main" id="{14687F00-03D1-4D0F-98ED-665588D40C0F}"/>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18" name="Rectangle 259">
          <a:extLst>
            <a:ext uri="{FF2B5EF4-FFF2-40B4-BE49-F238E27FC236}">
              <a16:creationId xmlns:a16="http://schemas.microsoft.com/office/drawing/2014/main" id="{63F378E1-1730-4AC0-AFA5-84673D8D967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19" name="Rectangle 260">
          <a:extLst>
            <a:ext uri="{FF2B5EF4-FFF2-40B4-BE49-F238E27FC236}">
              <a16:creationId xmlns:a16="http://schemas.microsoft.com/office/drawing/2014/main" id="{5B820EE4-BDDD-4EB4-AD08-9A681347BB7D}"/>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 name="Rectangle 261">
          <a:extLst>
            <a:ext uri="{FF2B5EF4-FFF2-40B4-BE49-F238E27FC236}">
              <a16:creationId xmlns:a16="http://schemas.microsoft.com/office/drawing/2014/main" id="{19FD7118-9127-484F-9537-6691CAF19E9D}"/>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 name="Rectangle 262">
          <a:extLst>
            <a:ext uri="{FF2B5EF4-FFF2-40B4-BE49-F238E27FC236}">
              <a16:creationId xmlns:a16="http://schemas.microsoft.com/office/drawing/2014/main" id="{7C952091-FE92-4BA3-85A5-EA0CC5174DEE}"/>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 name="Rectangle 263">
          <a:extLst>
            <a:ext uri="{FF2B5EF4-FFF2-40B4-BE49-F238E27FC236}">
              <a16:creationId xmlns:a16="http://schemas.microsoft.com/office/drawing/2014/main" id="{18A6A323-EA2D-4669-8481-B7162E2F8081}"/>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3" name="Rectangle 264">
          <a:extLst>
            <a:ext uri="{FF2B5EF4-FFF2-40B4-BE49-F238E27FC236}">
              <a16:creationId xmlns:a16="http://schemas.microsoft.com/office/drawing/2014/main" id="{F44FA6A4-D6D8-4F2A-A35E-FE4BD13742FE}"/>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 name="Rectangle 265">
          <a:extLst>
            <a:ext uri="{FF2B5EF4-FFF2-40B4-BE49-F238E27FC236}">
              <a16:creationId xmlns:a16="http://schemas.microsoft.com/office/drawing/2014/main" id="{0A355C93-2794-4B48-BEAE-364DD3A1890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5" name="Rectangle 266">
          <a:extLst>
            <a:ext uri="{FF2B5EF4-FFF2-40B4-BE49-F238E27FC236}">
              <a16:creationId xmlns:a16="http://schemas.microsoft.com/office/drawing/2014/main" id="{D67B2C59-928E-4CA7-B4D7-CB0A7D68254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6" name="Rectangle 267">
          <a:extLst>
            <a:ext uri="{FF2B5EF4-FFF2-40B4-BE49-F238E27FC236}">
              <a16:creationId xmlns:a16="http://schemas.microsoft.com/office/drawing/2014/main" id="{F9AA1B8B-0AD2-4E80-B4B7-EF4D893346BB}"/>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7" name="Rectangle 268">
          <a:extLst>
            <a:ext uri="{FF2B5EF4-FFF2-40B4-BE49-F238E27FC236}">
              <a16:creationId xmlns:a16="http://schemas.microsoft.com/office/drawing/2014/main" id="{72B7E6B9-75E5-431A-BAF3-774CA805C8D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8" name="Rectangle 269">
          <a:extLst>
            <a:ext uri="{FF2B5EF4-FFF2-40B4-BE49-F238E27FC236}">
              <a16:creationId xmlns:a16="http://schemas.microsoft.com/office/drawing/2014/main" id="{372F7C89-CB7A-4B65-A372-59698EF017F0}"/>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9" name="Rectangle 238">
          <a:extLst>
            <a:ext uri="{FF2B5EF4-FFF2-40B4-BE49-F238E27FC236}">
              <a16:creationId xmlns:a16="http://schemas.microsoft.com/office/drawing/2014/main" id="{5BE6453D-19A3-4D1A-B75A-47A48D6CD1E2}"/>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0" name="Rectangle 249">
          <a:extLst>
            <a:ext uri="{FF2B5EF4-FFF2-40B4-BE49-F238E27FC236}">
              <a16:creationId xmlns:a16="http://schemas.microsoft.com/office/drawing/2014/main" id="{CB312F5C-DE62-4FAA-9A9E-537EBE735B68}"/>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1" name="Rectangle 251">
          <a:extLst>
            <a:ext uri="{FF2B5EF4-FFF2-40B4-BE49-F238E27FC236}">
              <a16:creationId xmlns:a16="http://schemas.microsoft.com/office/drawing/2014/main" id="{3D60B2F2-3C0B-4E0C-B4DA-25325392BD9C}"/>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2" name="Rectangle 253">
          <a:extLst>
            <a:ext uri="{FF2B5EF4-FFF2-40B4-BE49-F238E27FC236}">
              <a16:creationId xmlns:a16="http://schemas.microsoft.com/office/drawing/2014/main" id="{6C555B4E-FA72-4C20-AF8C-1004FF6FAAD9}"/>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3" name="Rectangle 254">
          <a:extLst>
            <a:ext uri="{FF2B5EF4-FFF2-40B4-BE49-F238E27FC236}">
              <a16:creationId xmlns:a16="http://schemas.microsoft.com/office/drawing/2014/main" id="{BF64A59A-C444-4F16-B9A6-6312F816973D}"/>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4" name="Rectangle 255">
          <a:extLst>
            <a:ext uri="{FF2B5EF4-FFF2-40B4-BE49-F238E27FC236}">
              <a16:creationId xmlns:a16="http://schemas.microsoft.com/office/drawing/2014/main" id="{BE2F4279-FB9A-4529-85F9-B7E1A768847E}"/>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5" name="Rectangle 257">
          <a:extLst>
            <a:ext uri="{FF2B5EF4-FFF2-40B4-BE49-F238E27FC236}">
              <a16:creationId xmlns:a16="http://schemas.microsoft.com/office/drawing/2014/main" id="{5FA70DB6-EA5B-4CBB-9F3B-3B2938AD7462}"/>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6" name="Rectangle 258">
          <a:extLst>
            <a:ext uri="{FF2B5EF4-FFF2-40B4-BE49-F238E27FC236}">
              <a16:creationId xmlns:a16="http://schemas.microsoft.com/office/drawing/2014/main" id="{4802FE97-361B-4E53-B91E-B092A87D64BF}"/>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7" name="Rectangle 259">
          <a:extLst>
            <a:ext uri="{FF2B5EF4-FFF2-40B4-BE49-F238E27FC236}">
              <a16:creationId xmlns:a16="http://schemas.microsoft.com/office/drawing/2014/main" id="{61A8B9F1-07EC-42EC-960C-0B187DFC661B}"/>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8" name="Rectangle 260">
          <a:extLst>
            <a:ext uri="{FF2B5EF4-FFF2-40B4-BE49-F238E27FC236}">
              <a16:creationId xmlns:a16="http://schemas.microsoft.com/office/drawing/2014/main" id="{1851F718-2A4D-44D7-AE52-FEE2FEF7E426}"/>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39" name="Rectangle 261">
          <a:extLst>
            <a:ext uri="{FF2B5EF4-FFF2-40B4-BE49-F238E27FC236}">
              <a16:creationId xmlns:a16="http://schemas.microsoft.com/office/drawing/2014/main" id="{88EABB4F-626B-4DB6-A007-F2A2BB119850}"/>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40" name="Rectangle 262">
          <a:extLst>
            <a:ext uri="{FF2B5EF4-FFF2-40B4-BE49-F238E27FC236}">
              <a16:creationId xmlns:a16="http://schemas.microsoft.com/office/drawing/2014/main" id="{7D383080-3EC5-407F-A46E-83B9C6A8B2AB}"/>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41" name="Rectangle 263">
          <a:extLst>
            <a:ext uri="{FF2B5EF4-FFF2-40B4-BE49-F238E27FC236}">
              <a16:creationId xmlns:a16="http://schemas.microsoft.com/office/drawing/2014/main" id="{B02C7703-8BD2-4FE9-97B3-BBD37225BA95}"/>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42" name="Rectangle 264">
          <a:extLst>
            <a:ext uri="{FF2B5EF4-FFF2-40B4-BE49-F238E27FC236}">
              <a16:creationId xmlns:a16="http://schemas.microsoft.com/office/drawing/2014/main" id="{8F66E004-48DD-4664-A49B-A9271C3F5A47}"/>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43" name="Rectangle 265">
          <a:extLst>
            <a:ext uri="{FF2B5EF4-FFF2-40B4-BE49-F238E27FC236}">
              <a16:creationId xmlns:a16="http://schemas.microsoft.com/office/drawing/2014/main" id="{D03857B8-695E-4AD1-BF7D-57D404B1905D}"/>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44" name="Rectangle 266">
          <a:extLst>
            <a:ext uri="{FF2B5EF4-FFF2-40B4-BE49-F238E27FC236}">
              <a16:creationId xmlns:a16="http://schemas.microsoft.com/office/drawing/2014/main" id="{2C526C24-9A68-46E6-A096-EC528BEBB2B6}"/>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45" name="Rectangle 267">
          <a:extLst>
            <a:ext uri="{FF2B5EF4-FFF2-40B4-BE49-F238E27FC236}">
              <a16:creationId xmlns:a16="http://schemas.microsoft.com/office/drawing/2014/main" id="{D774FF76-BCF6-4C88-ACB1-F45DDD42870C}"/>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46" name="Rectangle 268">
          <a:extLst>
            <a:ext uri="{FF2B5EF4-FFF2-40B4-BE49-F238E27FC236}">
              <a16:creationId xmlns:a16="http://schemas.microsoft.com/office/drawing/2014/main" id="{871F505E-FA18-4AB2-854F-CDDAE6393FB8}"/>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47" name="Rectangle 269">
          <a:extLst>
            <a:ext uri="{FF2B5EF4-FFF2-40B4-BE49-F238E27FC236}">
              <a16:creationId xmlns:a16="http://schemas.microsoft.com/office/drawing/2014/main" id="{C707503A-AA62-41D5-B4A6-8AB9595896A8}"/>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8" name="Rectangle 238">
          <a:extLst>
            <a:ext uri="{FF2B5EF4-FFF2-40B4-BE49-F238E27FC236}">
              <a16:creationId xmlns:a16="http://schemas.microsoft.com/office/drawing/2014/main" id="{BA46F20C-0F8C-4A6F-9BF5-3C7A74E62BE6}"/>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49" name="Rectangle 249">
          <a:extLst>
            <a:ext uri="{FF2B5EF4-FFF2-40B4-BE49-F238E27FC236}">
              <a16:creationId xmlns:a16="http://schemas.microsoft.com/office/drawing/2014/main" id="{3545ACE8-E994-4354-95E4-CA99699D121C}"/>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0" name="Rectangle 251">
          <a:extLst>
            <a:ext uri="{FF2B5EF4-FFF2-40B4-BE49-F238E27FC236}">
              <a16:creationId xmlns:a16="http://schemas.microsoft.com/office/drawing/2014/main" id="{56259347-2E0D-4354-9DEE-A650541926B3}"/>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1" name="Rectangle 253">
          <a:extLst>
            <a:ext uri="{FF2B5EF4-FFF2-40B4-BE49-F238E27FC236}">
              <a16:creationId xmlns:a16="http://schemas.microsoft.com/office/drawing/2014/main" id="{8DB1ACEF-6F83-4AB4-BDC8-CB61CA7A9E70}"/>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2" name="Rectangle 254">
          <a:extLst>
            <a:ext uri="{FF2B5EF4-FFF2-40B4-BE49-F238E27FC236}">
              <a16:creationId xmlns:a16="http://schemas.microsoft.com/office/drawing/2014/main" id="{2BD09F46-4D71-40BA-8E8A-5C6A6FCFA676}"/>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3" name="Rectangle 255">
          <a:extLst>
            <a:ext uri="{FF2B5EF4-FFF2-40B4-BE49-F238E27FC236}">
              <a16:creationId xmlns:a16="http://schemas.microsoft.com/office/drawing/2014/main" id="{A70405A6-EF48-49F8-BCE0-418B99631DB7}"/>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4" name="Rectangle 257">
          <a:extLst>
            <a:ext uri="{FF2B5EF4-FFF2-40B4-BE49-F238E27FC236}">
              <a16:creationId xmlns:a16="http://schemas.microsoft.com/office/drawing/2014/main" id="{A3E628DB-6640-4125-9504-4A67939C14FC}"/>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5" name="Rectangle 258">
          <a:extLst>
            <a:ext uri="{FF2B5EF4-FFF2-40B4-BE49-F238E27FC236}">
              <a16:creationId xmlns:a16="http://schemas.microsoft.com/office/drawing/2014/main" id="{DAA99D90-8693-476B-A797-1F9FF8F7A5D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6" name="Rectangle 259">
          <a:extLst>
            <a:ext uri="{FF2B5EF4-FFF2-40B4-BE49-F238E27FC236}">
              <a16:creationId xmlns:a16="http://schemas.microsoft.com/office/drawing/2014/main" id="{66916643-5444-441C-A8EC-7822C414F7AD}"/>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7" name="Rectangle 260">
          <a:extLst>
            <a:ext uri="{FF2B5EF4-FFF2-40B4-BE49-F238E27FC236}">
              <a16:creationId xmlns:a16="http://schemas.microsoft.com/office/drawing/2014/main" id="{E34051B0-524E-499F-B2A0-D671D8098EE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8" name="Rectangle 261">
          <a:extLst>
            <a:ext uri="{FF2B5EF4-FFF2-40B4-BE49-F238E27FC236}">
              <a16:creationId xmlns:a16="http://schemas.microsoft.com/office/drawing/2014/main" id="{07AAC283-AD10-4F83-B506-E9C14BE0CE4B}"/>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59" name="Rectangle 262">
          <a:extLst>
            <a:ext uri="{FF2B5EF4-FFF2-40B4-BE49-F238E27FC236}">
              <a16:creationId xmlns:a16="http://schemas.microsoft.com/office/drawing/2014/main" id="{C4AEADD2-AE25-42EC-8D1C-E1B7CE44551A}"/>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60" name="Rectangle 263">
          <a:extLst>
            <a:ext uri="{FF2B5EF4-FFF2-40B4-BE49-F238E27FC236}">
              <a16:creationId xmlns:a16="http://schemas.microsoft.com/office/drawing/2014/main" id="{98C86FB5-6D5B-4BAB-987C-D02C6B94DCE7}"/>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61" name="Rectangle 264">
          <a:extLst>
            <a:ext uri="{FF2B5EF4-FFF2-40B4-BE49-F238E27FC236}">
              <a16:creationId xmlns:a16="http://schemas.microsoft.com/office/drawing/2014/main" id="{E6704190-FBCF-4170-9790-EA1B8A5BF56E}"/>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62" name="Rectangle 265">
          <a:extLst>
            <a:ext uri="{FF2B5EF4-FFF2-40B4-BE49-F238E27FC236}">
              <a16:creationId xmlns:a16="http://schemas.microsoft.com/office/drawing/2014/main" id="{8A1A9647-C5BF-4231-A3B3-DFD9825F2C61}"/>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63" name="Rectangle 266">
          <a:extLst>
            <a:ext uri="{FF2B5EF4-FFF2-40B4-BE49-F238E27FC236}">
              <a16:creationId xmlns:a16="http://schemas.microsoft.com/office/drawing/2014/main" id="{05DCE040-5BF3-4824-BBA7-1EBEF5F63551}"/>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64" name="Rectangle 267">
          <a:extLst>
            <a:ext uri="{FF2B5EF4-FFF2-40B4-BE49-F238E27FC236}">
              <a16:creationId xmlns:a16="http://schemas.microsoft.com/office/drawing/2014/main" id="{50DEB024-1935-43DD-8BCC-4708EE1B394B}"/>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65" name="Rectangle 268">
          <a:extLst>
            <a:ext uri="{FF2B5EF4-FFF2-40B4-BE49-F238E27FC236}">
              <a16:creationId xmlns:a16="http://schemas.microsoft.com/office/drawing/2014/main" id="{4AB0A8BD-2BBA-4BB9-8B54-99F5A49570CD}"/>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66" name="Rectangle 269">
          <a:extLst>
            <a:ext uri="{FF2B5EF4-FFF2-40B4-BE49-F238E27FC236}">
              <a16:creationId xmlns:a16="http://schemas.microsoft.com/office/drawing/2014/main" id="{EF05C767-BB51-4970-9C12-B7FB4F44FCF1}"/>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67" name="Rectangle 238">
          <a:extLst>
            <a:ext uri="{FF2B5EF4-FFF2-40B4-BE49-F238E27FC236}">
              <a16:creationId xmlns:a16="http://schemas.microsoft.com/office/drawing/2014/main" id="{E0B903BE-3919-4925-904C-8BB6CFCBBA3E}"/>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68" name="Rectangle 249">
          <a:extLst>
            <a:ext uri="{FF2B5EF4-FFF2-40B4-BE49-F238E27FC236}">
              <a16:creationId xmlns:a16="http://schemas.microsoft.com/office/drawing/2014/main" id="{29F1766D-2797-4CE4-870B-4204017759DD}"/>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69" name="Rectangle 251">
          <a:extLst>
            <a:ext uri="{FF2B5EF4-FFF2-40B4-BE49-F238E27FC236}">
              <a16:creationId xmlns:a16="http://schemas.microsoft.com/office/drawing/2014/main" id="{5EEA5739-230D-4699-9BFC-9DA7B5AE42F9}"/>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0" name="Rectangle 253">
          <a:extLst>
            <a:ext uri="{FF2B5EF4-FFF2-40B4-BE49-F238E27FC236}">
              <a16:creationId xmlns:a16="http://schemas.microsoft.com/office/drawing/2014/main" id="{5072BBD3-7D11-43F9-A047-6566A76CEA83}"/>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1" name="Rectangle 254">
          <a:extLst>
            <a:ext uri="{FF2B5EF4-FFF2-40B4-BE49-F238E27FC236}">
              <a16:creationId xmlns:a16="http://schemas.microsoft.com/office/drawing/2014/main" id="{CF4C7D41-84AC-448B-97F5-591FB50BDD76}"/>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2" name="Rectangle 255">
          <a:extLst>
            <a:ext uri="{FF2B5EF4-FFF2-40B4-BE49-F238E27FC236}">
              <a16:creationId xmlns:a16="http://schemas.microsoft.com/office/drawing/2014/main" id="{A6B5A22D-64DC-4DE8-9E0F-A78113448DE7}"/>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3" name="Rectangle 257">
          <a:extLst>
            <a:ext uri="{FF2B5EF4-FFF2-40B4-BE49-F238E27FC236}">
              <a16:creationId xmlns:a16="http://schemas.microsoft.com/office/drawing/2014/main" id="{D65644CF-C0C7-4FC4-9F1E-AAD6A0D0E82C}"/>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4" name="Rectangle 258">
          <a:extLst>
            <a:ext uri="{FF2B5EF4-FFF2-40B4-BE49-F238E27FC236}">
              <a16:creationId xmlns:a16="http://schemas.microsoft.com/office/drawing/2014/main" id="{34926F4B-8814-484E-8E72-A7E0FB2BF4B1}"/>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5" name="Rectangle 259">
          <a:extLst>
            <a:ext uri="{FF2B5EF4-FFF2-40B4-BE49-F238E27FC236}">
              <a16:creationId xmlns:a16="http://schemas.microsoft.com/office/drawing/2014/main" id="{3DF18241-3371-4D8C-9710-DA57D412ED70}"/>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6" name="Rectangle 260">
          <a:extLst>
            <a:ext uri="{FF2B5EF4-FFF2-40B4-BE49-F238E27FC236}">
              <a16:creationId xmlns:a16="http://schemas.microsoft.com/office/drawing/2014/main" id="{967B502C-E93F-437D-A6A6-4DB499FACE28}"/>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7" name="Rectangle 261">
          <a:extLst>
            <a:ext uri="{FF2B5EF4-FFF2-40B4-BE49-F238E27FC236}">
              <a16:creationId xmlns:a16="http://schemas.microsoft.com/office/drawing/2014/main" id="{9475ABD5-9FCF-4EFA-821E-D3AE9755C3AE}"/>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8" name="Rectangle 262">
          <a:extLst>
            <a:ext uri="{FF2B5EF4-FFF2-40B4-BE49-F238E27FC236}">
              <a16:creationId xmlns:a16="http://schemas.microsoft.com/office/drawing/2014/main" id="{4EE4E670-41BE-4E7F-A314-3436A1DBDE4B}"/>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79" name="Rectangle 263">
          <a:extLst>
            <a:ext uri="{FF2B5EF4-FFF2-40B4-BE49-F238E27FC236}">
              <a16:creationId xmlns:a16="http://schemas.microsoft.com/office/drawing/2014/main" id="{8D9E7A10-AD58-4590-99AE-1F4E047B59D6}"/>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80" name="Rectangle 264">
          <a:extLst>
            <a:ext uri="{FF2B5EF4-FFF2-40B4-BE49-F238E27FC236}">
              <a16:creationId xmlns:a16="http://schemas.microsoft.com/office/drawing/2014/main" id="{8A620D16-60EC-4982-9AAC-2DED78D7B73A}"/>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81" name="Rectangle 265">
          <a:extLst>
            <a:ext uri="{FF2B5EF4-FFF2-40B4-BE49-F238E27FC236}">
              <a16:creationId xmlns:a16="http://schemas.microsoft.com/office/drawing/2014/main" id="{7E1B9B0C-0B5F-4399-9DAD-660E7A336287}"/>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82" name="Rectangle 266">
          <a:extLst>
            <a:ext uri="{FF2B5EF4-FFF2-40B4-BE49-F238E27FC236}">
              <a16:creationId xmlns:a16="http://schemas.microsoft.com/office/drawing/2014/main" id="{E84A93A6-49BD-4C50-A82D-9DE251F9F84E}"/>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83" name="Rectangle 267">
          <a:extLst>
            <a:ext uri="{FF2B5EF4-FFF2-40B4-BE49-F238E27FC236}">
              <a16:creationId xmlns:a16="http://schemas.microsoft.com/office/drawing/2014/main" id="{B18ED6CB-1494-42BF-A3CE-CB20BCD95843}"/>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84" name="Rectangle 268">
          <a:extLst>
            <a:ext uri="{FF2B5EF4-FFF2-40B4-BE49-F238E27FC236}">
              <a16:creationId xmlns:a16="http://schemas.microsoft.com/office/drawing/2014/main" id="{9ABFD53A-B4C0-4CAC-82BC-A7B643E67405}"/>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85" name="Rectangle 269">
          <a:extLst>
            <a:ext uri="{FF2B5EF4-FFF2-40B4-BE49-F238E27FC236}">
              <a16:creationId xmlns:a16="http://schemas.microsoft.com/office/drawing/2014/main" id="{AA70E15B-B4EC-43AC-8A8D-96BD61EF09EC}"/>
            </a:ext>
          </a:extLst>
        </xdr:cNvPr>
        <xdr:cNvSpPr>
          <a:spLocks noChangeArrowheads="1"/>
        </xdr:cNvSpPr>
      </xdr:nvSpPr>
      <xdr:spPr bwMode="auto">
        <a:xfrm>
          <a:off x="723900" y="1619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86" name="Rectangle 238">
          <a:extLst>
            <a:ext uri="{FF2B5EF4-FFF2-40B4-BE49-F238E27FC236}">
              <a16:creationId xmlns:a16="http://schemas.microsoft.com/office/drawing/2014/main" id="{25047C93-324E-49CC-ACE4-372C2485E2E1}"/>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87" name="Rectangle 249">
          <a:extLst>
            <a:ext uri="{FF2B5EF4-FFF2-40B4-BE49-F238E27FC236}">
              <a16:creationId xmlns:a16="http://schemas.microsoft.com/office/drawing/2014/main" id="{EC431362-772F-400D-8835-388EED03EA5A}"/>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88" name="Rectangle 251">
          <a:extLst>
            <a:ext uri="{FF2B5EF4-FFF2-40B4-BE49-F238E27FC236}">
              <a16:creationId xmlns:a16="http://schemas.microsoft.com/office/drawing/2014/main" id="{4DD75C19-0870-4C50-B683-BB4DD174D51F}"/>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89" name="Rectangle 253">
          <a:extLst>
            <a:ext uri="{FF2B5EF4-FFF2-40B4-BE49-F238E27FC236}">
              <a16:creationId xmlns:a16="http://schemas.microsoft.com/office/drawing/2014/main" id="{D97C93BB-B2C5-4051-9633-1CB10202C85F}"/>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0" name="Rectangle 254">
          <a:extLst>
            <a:ext uri="{FF2B5EF4-FFF2-40B4-BE49-F238E27FC236}">
              <a16:creationId xmlns:a16="http://schemas.microsoft.com/office/drawing/2014/main" id="{CBF547A9-45A6-4702-82CC-3F056A749DEB}"/>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1" name="Rectangle 255">
          <a:extLst>
            <a:ext uri="{FF2B5EF4-FFF2-40B4-BE49-F238E27FC236}">
              <a16:creationId xmlns:a16="http://schemas.microsoft.com/office/drawing/2014/main" id="{13E2571E-55A8-48B5-8E1C-AE307364C055}"/>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2" name="Rectangle 257">
          <a:extLst>
            <a:ext uri="{FF2B5EF4-FFF2-40B4-BE49-F238E27FC236}">
              <a16:creationId xmlns:a16="http://schemas.microsoft.com/office/drawing/2014/main" id="{73831B38-C330-43FC-B53E-2F53F44B25DC}"/>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3" name="Rectangle 258">
          <a:extLst>
            <a:ext uri="{FF2B5EF4-FFF2-40B4-BE49-F238E27FC236}">
              <a16:creationId xmlns:a16="http://schemas.microsoft.com/office/drawing/2014/main" id="{72313503-2F70-4739-95DD-D19A80644DCC}"/>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4" name="Rectangle 259">
          <a:extLst>
            <a:ext uri="{FF2B5EF4-FFF2-40B4-BE49-F238E27FC236}">
              <a16:creationId xmlns:a16="http://schemas.microsoft.com/office/drawing/2014/main" id="{1E9A36D4-19A8-4904-8F35-13367D573CFE}"/>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5" name="Rectangle 260">
          <a:extLst>
            <a:ext uri="{FF2B5EF4-FFF2-40B4-BE49-F238E27FC236}">
              <a16:creationId xmlns:a16="http://schemas.microsoft.com/office/drawing/2014/main" id="{6255AC40-DDFC-4CC6-B770-4D18F37FE0AC}"/>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6" name="Rectangle 261">
          <a:extLst>
            <a:ext uri="{FF2B5EF4-FFF2-40B4-BE49-F238E27FC236}">
              <a16:creationId xmlns:a16="http://schemas.microsoft.com/office/drawing/2014/main" id="{4CD0D081-F47D-450C-AA2D-646EAF0622B2}"/>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7" name="Rectangle 262">
          <a:extLst>
            <a:ext uri="{FF2B5EF4-FFF2-40B4-BE49-F238E27FC236}">
              <a16:creationId xmlns:a16="http://schemas.microsoft.com/office/drawing/2014/main" id="{6C51D329-EE12-4232-BEEC-B0337E3E9100}"/>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8" name="Rectangle 263">
          <a:extLst>
            <a:ext uri="{FF2B5EF4-FFF2-40B4-BE49-F238E27FC236}">
              <a16:creationId xmlns:a16="http://schemas.microsoft.com/office/drawing/2014/main" id="{466F9083-1F8F-4AFD-8DF7-3F3D6317CFDA}"/>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99" name="Rectangle 264">
          <a:extLst>
            <a:ext uri="{FF2B5EF4-FFF2-40B4-BE49-F238E27FC236}">
              <a16:creationId xmlns:a16="http://schemas.microsoft.com/office/drawing/2014/main" id="{580490CD-3ACC-4A5B-BFF9-0DE677E8EC2B}"/>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100" name="Rectangle 265">
          <a:extLst>
            <a:ext uri="{FF2B5EF4-FFF2-40B4-BE49-F238E27FC236}">
              <a16:creationId xmlns:a16="http://schemas.microsoft.com/office/drawing/2014/main" id="{96CCFFA9-B2F9-4CBD-A87F-4F078BB4244C}"/>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101" name="Rectangle 266">
          <a:extLst>
            <a:ext uri="{FF2B5EF4-FFF2-40B4-BE49-F238E27FC236}">
              <a16:creationId xmlns:a16="http://schemas.microsoft.com/office/drawing/2014/main" id="{88970672-070B-4F20-9CE4-7C0EC89DFCF4}"/>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102" name="Rectangle 267">
          <a:extLst>
            <a:ext uri="{FF2B5EF4-FFF2-40B4-BE49-F238E27FC236}">
              <a16:creationId xmlns:a16="http://schemas.microsoft.com/office/drawing/2014/main" id="{5E1C9790-A1CB-4623-A07D-C0985E96E4DF}"/>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103" name="Rectangle 268">
          <a:extLst>
            <a:ext uri="{FF2B5EF4-FFF2-40B4-BE49-F238E27FC236}">
              <a16:creationId xmlns:a16="http://schemas.microsoft.com/office/drawing/2014/main" id="{B35D5FAE-5713-4DF1-A028-1FABA8394BD2}"/>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546</xdr:row>
      <xdr:rowOff>0</xdr:rowOff>
    </xdr:from>
    <xdr:ext cx="28854" cy="132665"/>
    <xdr:sp macro="" textlink="">
      <xdr:nvSpPr>
        <xdr:cNvPr id="104" name="Rectangle 269">
          <a:extLst>
            <a:ext uri="{FF2B5EF4-FFF2-40B4-BE49-F238E27FC236}">
              <a16:creationId xmlns:a16="http://schemas.microsoft.com/office/drawing/2014/main" id="{51579368-6AA5-49FF-819B-4F948A8CF716}"/>
            </a:ext>
          </a:extLst>
        </xdr:cNvPr>
        <xdr:cNvSpPr>
          <a:spLocks noChangeArrowheads="1"/>
        </xdr:cNvSpPr>
      </xdr:nvSpPr>
      <xdr:spPr bwMode="auto">
        <a:xfrm>
          <a:off x="723900" y="172497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05" name="Rectangle 238">
          <a:extLst>
            <a:ext uri="{FF2B5EF4-FFF2-40B4-BE49-F238E27FC236}">
              <a16:creationId xmlns:a16="http://schemas.microsoft.com/office/drawing/2014/main" id="{3DD3EB2C-DEF7-428F-BDE3-106D078BE1C2}"/>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06" name="Rectangle 249">
          <a:extLst>
            <a:ext uri="{FF2B5EF4-FFF2-40B4-BE49-F238E27FC236}">
              <a16:creationId xmlns:a16="http://schemas.microsoft.com/office/drawing/2014/main" id="{62F9BD8A-23FE-43BC-B023-495293A38FE3}"/>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07" name="Rectangle 251">
          <a:extLst>
            <a:ext uri="{FF2B5EF4-FFF2-40B4-BE49-F238E27FC236}">
              <a16:creationId xmlns:a16="http://schemas.microsoft.com/office/drawing/2014/main" id="{CFEBEBDD-AB81-4189-B4B7-4E2DE2E128DD}"/>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08" name="Rectangle 253">
          <a:extLst>
            <a:ext uri="{FF2B5EF4-FFF2-40B4-BE49-F238E27FC236}">
              <a16:creationId xmlns:a16="http://schemas.microsoft.com/office/drawing/2014/main" id="{00A2458D-5CB9-42A9-976A-6114C49EA566}"/>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09" name="Rectangle 254">
          <a:extLst>
            <a:ext uri="{FF2B5EF4-FFF2-40B4-BE49-F238E27FC236}">
              <a16:creationId xmlns:a16="http://schemas.microsoft.com/office/drawing/2014/main" id="{B7925C6C-07C6-44F7-AEDC-5D14A4B6284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0" name="Rectangle 255">
          <a:extLst>
            <a:ext uri="{FF2B5EF4-FFF2-40B4-BE49-F238E27FC236}">
              <a16:creationId xmlns:a16="http://schemas.microsoft.com/office/drawing/2014/main" id="{25D3E8B3-58F0-4EB9-939F-8D59976BA923}"/>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1" name="Rectangle 257">
          <a:extLst>
            <a:ext uri="{FF2B5EF4-FFF2-40B4-BE49-F238E27FC236}">
              <a16:creationId xmlns:a16="http://schemas.microsoft.com/office/drawing/2014/main" id="{E4FF35A4-15BB-4567-B05A-A46BD696353B}"/>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2" name="Rectangle 258">
          <a:extLst>
            <a:ext uri="{FF2B5EF4-FFF2-40B4-BE49-F238E27FC236}">
              <a16:creationId xmlns:a16="http://schemas.microsoft.com/office/drawing/2014/main" id="{F08DDA54-9513-4375-A57C-5F26B0D2C932}"/>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3" name="Rectangle 259">
          <a:extLst>
            <a:ext uri="{FF2B5EF4-FFF2-40B4-BE49-F238E27FC236}">
              <a16:creationId xmlns:a16="http://schemas.microsoft.com/office/drawing/2014/main" id="{5AF5E97E-B702-4D9A-A34D-BD58204C4F73}"/>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4" name="Rectangle 260">
          <a:extLst>
            <a:ext uri="{FF2B5EF4-FFF2-40B4-BE49-F238E27FC236}">
              <a16:creationId xmlns:a16="http://schemas.microsoft.com/office/drawing/2014/main" id="{79EA03A3-F67E-44FC-806E-AC3AF111697A}"/>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5" name="Rectangle 261">
          <a:extLst>
            <a:ext uri="{FF2B5EF4-FFF2-40B4-BE49-F238E27FC236}">
              <a16:creationId xmlns:a16="http://schemas.microsoft.com/office/drawing/2014/main" id="{33FFB73D-C94A-4D21-A47A-0891E88308BF}"/>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6" name="Rectangle 262">
          <a:extLst>
            <a:ext uri="{FF2B5EF4-FFF2-40B4-BE49-F238E27FC236}">
              <a16:creationId xmlns:a16="http://schemas.microsoft.com/office/drawing/2014/main" id="{290A26D0-67A1-4FA6-A9F2-212C45EC6578}"/>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7" name="Rectangle 263">
          <a:extLst>
            <a:ext uri="{FF2B5EF4-FFF2-40B4-BE49-F238E27FC236}">
              <a16:creationId xmlns:a16="http://schemas.microsoft.com/office/drawing/2014/main" id="{853F1381-3213-485F-AEBD-4DBD3FAD62C4}"/>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8" name="Rectangle 264">
          <a:extLst>
            <a:ext uri="{FF2B5EF4-FFF2-40B4-BE49-F238E27FC236}">
              <a16:creationId xmlns:a16="http://schemas.microsoft.com/office/drawing/2014/main" id="{8A03855E-B092-461C-AA4E-4A2928AEF294}"/>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19" name="Rectangle 265">
          <a:extLst>
            <a:ext uri="{FF2B5EF4-FFF2-40B4-BE49-F238E27FC236}">
              <a16:creationId xmlns:a16="http://schemas.microsoft.com/office/drawing/2014/main" id="{F7E198BB-5AE0-44C4-BCED-DB438F5C3E82}"/>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0" name="Rectangle 266">
          <a:extLst>
            <a:ext uri="{FF2B5EF4-FFF2-40B4-BE49-F238E27FC236}">
              <a16:creationId xmlns:a16="http://schemas.microsoft.com/office/drawing/2014/main" id="{B8B14DCC-31B4-4DE8-9D90-C620123B7E34}"/>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1" name="Rectangle 267">
          <a:extLst>
            <a:ext uri="{FF2B5EF4-FFF2-40B4-BE49-F238E27FC236}">
              <a16:creationId xmlns:a16="http://schemas.microsoft.com/office/drawing/2014/main" id="{0A4CBB9D-45A6-4589-9477-CF84F669899D}"/>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2" name="Rectangle 268">
          <a:extLst>
            <a:ext uri="{FF2B5EF4-FFF2-40B4-BE49-F238E27FC236}">
              <a16:creationId xmlns:a16="http://schemas.microsoft.com/office/drawing/2014/main" id="{9DAB3134-9E63-4074-855C-8DC3B06C5698}"/>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3" name="Rectangle 269">
          <a:extLst>
            <a:ext uri="{FF2B5EF4-FFF2-40B4-BE49-F238E27FC236}">
              <a16:creationId xmlns:a16="http://schemas.microsoft.com/office/drawing/2014/main" id="{DA778E21-711F-4F86-8E0A-F252C5C3353B}"/>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4" name="Rectangle 238">
          <a:extLst>
            <a:ext uri="{FF2B5EF4-FFF2-40B4-BE49-F238E27FC236}">
              <a16:creationId xmlns:a16="http://schemas.microsoft.com/office/drawing/2014/main" id="{E2E997D4-A75A-4BF8-BF05-607525C11745}"/>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5" name="Rectangle 249">
          <a:extLst>
            <a:ext uri="{FF2B5EF4-FFF2-40B4-BE49-F238E27FC236}">
              <a16:creationId xmlns:a16="http://schemas.microsoft.com/office/drawing/2014/main" id="{BDB81993-832F-4A53-8DE9-F6FACDC196CE}"/>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6" name="Rectangle 251">
          <a:extLst>
            <a:ext uri="{FF2B5EF4-FFF2-40B4-BE49-F238E27FC236}">
              <a16:creationId xmlns:a16="http://schemas.microsoft.com/office/drawing/2014/main" id="{133D7E94-92A2-48DC-AF99-5C14A9A5850A}"/>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7" name="Rectangle 253">
          <a:extLst>
            <a:ext uri="{FF2B5EF4-FFF2-40B4-BE49-F238E27FC236}">
              <a16:creationId xmlns:a16="http://schemas.microsoft.com/office/drawing/2014/main" id="{029B2AE0-2022-42AF-A718-6897342D616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8" name="Rectangle 254">
          <a:extLst>
            <a:ext uri="{FF2B5EF4-FFF2-40B4-BE49-F238E27FC236}">
              <a16:creationId xmlns:a16="http://schemas.microsoft.com/office/drawing/2014/main" id="{2DDF09B5-46D0-4B31-88BF-F3F950CED00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29" name="Rectangle 255">
          <a:extLst>
            <a:ext uri="{FF2B5EF4-FFF2-40B4-BE49-F238E27FC236}">
              <a16:creationId xmlns:a16="http://schemas.microsoft.com/office/drawing/2014/main" id="{A31CCDE4-D413-4220-AB0C-6F139B10DD4D}"/>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0" name="Rectangle 257">
          <a:extLst>
            <a:ext uri="{FF2B5EF4-FFF2-40B4-BE49-F238E27FC236}">
              <a16:creationId xmlns:a16="http://schemas.microsoft.com/office/drawing/2014/main" id="{7EC664E6-4600-471D-9306-4D90251C83E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1" name="Rectangle 258">
          <a:extLst>
            <a:ext uri="{FF2B5EF4-FFF2-40B4-BE49-F238E27FC236}">
              <a16:creationId xmlns:a16="http://schemas.microsoft.com/office/drawing/2014/main" id="{B2323545-B76D-40CC-984B-7B3464764D4B}"/>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2" name="Rectangle 259">
          <a:extLst>
            <a:ext uri="{FF2B5EF4-FFF2-40B4-BE49-F238E27FC236}">
              <a16:creationId xmlns:a16="http://schemas.microsoft.com/office/drawing/2014/main" id="{E0A3BF93-A031-402C-B3BB-4542C6F8D24C}"/>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3" name="Rectangle 260">
          <a:extLst>
            <a:ext uri="{FF2B5EF4-FFF2-40B4-BE49-F238E27FC236}">
              <a16:creationId xmlns:a16="http://schemas.microsoft.com/office/drawing/2014/main" id="{05A949E7-BEFA-48A0-A788-791CCDBDF218}"/>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4" name="Rectangle 261">
          <a:extLst>
            <a:ext uri="{FF2B5EF4-FFF2-40B4-BE49-F238E27FC236}">
              <a16:creationId xmlns:a16="http://schemas.microsoft.com/office/drawing/2014/main" id="{3E7C0DE8-DC32-4EB4-9270-729A931348C2}"/>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5" name="Rectangle 262">
          <a:extLst>
            <a:ext uri="{FF2B5EF4-FFF2-40B4-BE49-F238E27FC236}">
              <a16:creationId xmlns:a16="http://schemas.microsoft.com/office/drawing/2014/main" id="{0DD36DAF-3EB5-4C6E-8122-19677204544B}"/>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6" name="Rectangle 263">
          <a:extLst>
            <a:ext uri="{FF2B5EF4-FFF2-40B4-BE49-F238E27FC236}">
              <a16:creationId xmlns:a16="http://schemas.microsoft.com/office/drawing/2014/main" id="{90BA43CC-673D-4981-884F-BF194B74FE3A}"/>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7" name="Rectangle 264">
          <a:extLst>
            <a:ext uri="{FF2B5EF4-FFF2-40B4-BE49-F238E27FC236}">
              <a16:creationId xmlns:a16="http://schemas.microsoft.com/office/drawing/2014/main" id="{5C194AC7-6CA4-4695-B18A-EF836AA720C7}"/>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8" name="Rectangle 265">
          <a:extLst>
            <a:ext uri="{FF2B5EF4-FFF2-40B4-BE49-F238E27FC236}">
              <a16:creationId xmlns:a16="http://schemas.microsoft.com/office/drawing/2014/main" id="{EDD77B60-3A0A-49EA-A50D-9D8116503E97}"/>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39" name="Rectangle 266">
          <a:extLst>
            <a:ext uri="{FF2B5EF4-FFF2-40B4-BE49-F238E27FC236}">
              <a16:creationId xmlns:a16="http://schemas.microsoft.com/office/drawing/2014/main" id="{8F181EDB-C841-4F96-BB08-73C704D30D67}"/>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40" name="Rectangle 267">
          <a:extLst>
            <a:ext uri="{FF2B5EF4-FFF2-40B4-BE49-F238E27FC236}">
              <a16:creationId xmlns:a16="http://schemas.microsoft.com/office/drawing/2014/main" id="{331D8F97-BC26-4E6E-843D-ACE3B476712A}"/>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41" name="Rectangle 268">
          <a:extLst>
            <a:ext uri="{FF2B5EF4-FFF2-40B4-BE49-F238E27FC236}">
              <a16:creationId xmlns:a16="http://schemas.microsoft.com/office/drawing/2014/main" id="{0E61AD38-D091-4B8E-ACD6-A46ABD2EA001}"/>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42" name="Rectangle 269">
          <a:extLst>
            <a:ext uri="{FF2B5EF4-FFF2-40B4-BE49-F238E27FC236}">
              <a16:creationId xmlns:a16="http://schemas.microsoft.com/office/drawing/2014/main" id="{1EE9F9FC-87B1-4E18-8016-F207D88E7161}"/>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43" name="Rectangle 238">
          <a:extLst>
            <a:ext uri="{FF2B5EF4-FFF2-40B4-BE49-F238E27FC236}">
              <a16:creationId xmlns:a16="http://schemas.microsoft.com/office/drawing/2014/main" id="{55A10944-B65D-4159-A952-13AEB904895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44" name="Rectangle 249">
          <a:extLst>
            <a:ext uri="{FF2B5EF4-FFF2-40B4-BE49-F238E27FC236}">
              <a16:creationId xmlns:a16="http://schemas.microsoft.com/office/drawing/2014/main" id="{20DF2ADF-EFFE-42B8-95F9-FA25C3C13B3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45" name="Rectangle 251">
          <a:extLst>
            <a:ext uri="{FF2B5EF4-FFF2-40B4-BE49-F238E27FC236}">
              <a16:creationId xmlns:a16="http://schemas.microsoft.com/office/drawing/2014/main" id="{518675DC-6E92-44EA-B99E-1CCF55A9D4B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46" name="Rectangle 253">
          <a:extLst>
            <a:ext uri="{FF2B5EF4-FFF2-40B4-BE49-F238E27FC236}">
              <a16:creationId xmlns:a16="http://schemas.microsoft.com/office/drawing/2014/main" id="{7F4EEF0E-F40A-48D7-ADE3-F95E0B5EE5D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47" name="Rectangle 254">
          <a:extLst>
            <a:ext uri="{FF2B5EF4-FFF2-40B4-BE49-F238E27FC236}">
              <a16:creationId xmlns:a16="http://schemas.microsoft.com/office/drawing/2014/main" id="{BD3D92E3-F25F-4B18-95F7-3B90D6FCF65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48" name="Rectangle 255">
          <a:extLst>
            <a:ext uri="{FF2B5EF4-FFF2-40B4-BE49-F238E27FC236}">
              <a16:creationId xmlns:a16="http://schemas.microsoft.com/office/drawing/2014/main" id="{DC7A7140-3D12-4AD8-9642-55395B83DB3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49" name="Rectangle 257">
          <a:extLst>
            <a:ext uri="{FF2B5EF4-FFF2-40B4-BE49-F238E27FC236}">
              <a16:creationId xmlns:a16="http://schemas.microsoft.com/office/drawing/2014/main" id="{E3183644-DAED-4830-96F8-304114A56C1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0" name="Rectangle 258">
          <a:extLst>
            <a:ext uri="{FF2B5EF4-FFF2-40B4-BE49-F238E27FC236}">
              <a16:creationId xmlns:a16="http://schemas.microsoft.com/office/drawing/2014/main" id="{0387E4E7-DF0C-47BB-B3B3-558F1FCE53A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1" name="Rectangle 259">
          <a:extLst>
            <a:ext uri="{FF2B5EF4-FFF2-40B4-BE49-F238E27FC236}">
              <a16:creationId xmlns:a16="http://schemas.microsoft.com/office/drawing/2014/main" id="{DCB7BFBB-DC5B-4777-98C9-CF346301541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2" name="Rectangle 260">
          <a:extLst>
            <a:ext uri="{FF2B5EF4-FFF2-40B4-BE49-F238E27FC236}">
              <a16:creationId xmlns:a16="http://schemas.microsoft.com/office/drawing/2014/main" id="{18B3768F-B024-453E-992E-9924077FC35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3" name="Rectangle 261">
          <a:extLst>
            <a:ext uri="{FF2B5EF4-FFF2-40B4-BE49-F238E27FC236}">
              <a16:creationId xmlns:a16="http://schemas.microsoft.com/office/drawing/2014/main" id="{90642DA8-C50D-4B5F-94F8-C6C38C99E01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4" name="Rectangle 262">
          <a:extLst>
            <a:ext uri="{FF2B5EF4-FFF2-40B4-BE49-F238E27FC236}">
              <a16:creationId xmlns:a16="http://schemas.microsoft.com/office/drawing/2014/main" id="{D8A1D997-B32E-42F3-9985-08257FC0F98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5" name="Rectangle 263">
          <a:extLst>
            <a:ext uri="{FF2B5EF4-FFF2-40B4-BE49-F238E27FC236}">
              <a16:creationId xmlns:a16="http://schemas.microsoft.com/office/drawing/2014/main" id="{319641ED-3BE3-4B64-8EBF-99E7B81D520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6" name="Rectangle 264">
          <a:extLst>
            <a:ext uri="{FF2B5EF4-FFF2-40B4-BE49-F238E27FC236}">
              <a16:creationId xmlns:a16="http://schemas.microsoft.com/office/drawing/2014/main" id="{DF03175F-05A1-472F-A9B4-116C7E1613A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7" name="Rectangle 265">
          <a:extLst>
            <a:ext uri="{FF2B5EF4-FFF2-40B4-BE49-F238E27FC236}">
              <a16:creationId xmlns:a16="http://schemas.microsoft.com/office/drawing/2014/main" id="{B322C4A3-5703-406D-9CFB-387A8B379B4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8" name="Rectangle 266">
          <a:extLst>
            <a:ext uri="{FF2B5EF4-FFF2-40B4-BE49-F238E27FC236}">
              <a16:creationId xmlns:a16="http://schemas.microsoft.com/office/drawing/2014/main" id="{D8C82E39-F4BC-4EBA-9E28-8DB0000CF4B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59" name="Rectangle 267">
          <a:extLst>
            <a:ext uri="{FF2B5EF4-FFF2-40B4-BE49-F238E27FC236}">
              <a16:creationId xmlns:a16="http://schemas.microsoft.com/office/drawing/2014/main" id="{2000FABB-CE72-4850-864E-99909AD6F92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0" name="Rectangle 268">
          <a:extLst>
            <a:ext uri="{FF2B5EF4-FFF2-40B4-BE49-F238E27FC236}">
              <a16:creationId xmlns:a16="http://schemas.microsoft.com/office/drawing/2014/main" id="{24AF6F1A-15FD-4424-BBD9-7A55A56718B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1" name="Rectangle 269">
          <a:extLst>
            <a:ext uri="{FF2B5EF4-FFF2-40B4-BE49-F238E27FC236}">
              <a16:creationId xmlns:a16="http://schemas.microsoft.com/office/drawing/2014/main" id="{C7FDC5A1-49AA-451C-AF6C-9216FCA4756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2" name="Rectangle 238">
          <a:extLst>
            <a:ext uri="{FF2B5EF4-FFF2-40B4-BE49-F238E27FC236}">
              <a16:creationId xmlns:a16="http://schemas.microsoft.com/office/drawing/2014/main" id="{1F9DB65B-F711-4628-A59B-78BF4C2CB75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3" name="Rectangle 249">
          <a:extLst>
            <a:ext uri="{FF2B5EF4-FFF2-40B4-BE49-F238E27FC236}">
              <a16:creationId xmlns:a16="http://schemas.microsoft.com/office/drawing/2014/main" id="{A1F90DC3-D5CD-41B2-A3AC-40F5FC42E17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4" name="Rectangle 251">
          <a:extLst>
            <a:ext uri="{FF2B5EF4-FFF2-40B4-BE49-F238E27FC236}">
              <a16:creationId xmlns:a16="http://schemas.microsoft.com/office/drawing/2014/main" id="{C333DA87-92BF-4B77-A632-84D8A77F3F8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5" name="Rectangle 253">
          <a:extLst>
            <a:ext uri="{FF2B5EF4-FFF2-40B4-BE49-F238E27FC236}">
              <a16:creationId xmlns:a16="http://schemas.microsoft.com/office/drawing/2014/main" id="{8877229E-5233-4DE9-AC29-2A642EBF29B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6" name="Rectangle 254">
          <a:extLst>
            <a:ext uri="{FF2B5EF4-FFF2-40B4-BE49-F238E27FC236}">
              <a16:creationId xmlns:a16="http://schemas.microsoft.com/office/drawing/2014/main" id="{F3C49012-D57B-47C3-9D95-1B19A32A531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7" name="Rectangle 255">
          <a:extLst>
            <a:ext uri="{FF2B5EF4-FFF2-40B4-BE49-F238E27FC236}">
              <a16:creationId xmlns:a16="http://schemas.microsoft.com/office/drawing/2014/main" id="{7CA96CF4-A7CB-4EE6-9CE0-C03927AA456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8" name="Rectangle 257">
          <a:extLst>
            <a:ext uri="{FF2B5EF4-FFF2-40B4-BE49-F238E27FC236}">
              <a16:creationId xmlns:a16="http://schemas.microsoft.com/office/drawing/2014/main" id="{1E03F888-CA70-4923-B5F4-5F49EC48CFC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69" name="Rectangle 258">
          <a:extLst>
            <a:ext uri="{FF2B5EF4-FFF2-40B4-BE49-F238E27FC236}">
              <a16:creationId xmlns:a16="http://schemas.microsoft.com/office/drawing/2014/main" id="{5FCC78BF-1EA1-41A4-A2FB-C6D07D42F30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0" name="Rectangle 259">
          <a:extLst>
            <a:ext uri="{FF2B5EF4-FFF2-40B4-BE49-F238E27FC236}">
              <a16:creationId xmlns:a16="http://schemas.microsoft.com/office/drawing/2014/main" id="{43611889-91F7-4735-9A76-8DCBD3DE0D1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1" name="Rectangle 260">
          <a:extLst>
            <a:ext uri="{FF2B5EF4-FFF2-40B4-BE49-F238E27FC236}">
              <a16:creationId xmlns:a16="http://schemas.microsoft.com/office/drawing/2014/main" id="{67823DCA-F017-4793-9341-C89C1F7A040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2" name="Rectangle 261">
          <a:extLst>
            <a:ext uri="{FF2B5EF4-FFF2-40B4-BE49-F238E27FC236}">
              <a16:creationId xmlns:a16="http://schemas.microsoft.com/office/drawing/2014/main" id="{754A64A7-683B-4FF3-B733-5C2388143BB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3" name="Rectangle 262">
          <a:extLst>
            <a:ext uri="{FF2B5EF4-FFF2-40B4-BE49-F238E27FC236}">
              <a16:creationId xmlns:a16="http://schemas.microsoft.com/office/drawing/2014/main" id="{D4585CF3-8470-4D87-B96B-1CB73581C3E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4" name="Rectangle 263">
          <a:extLst>
            <a:ext uri="{FF2B5EF4-FFF2-40B4-BE49-F238E27FC236}">
              <a16:creationId xmlns:a16="http://schemas.microsoft.com/office/drawing/2014/main" id="{4FA51924-F3CB-46E9-8538-AD4C1A9991F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5" name="Rectangle 264">
          <a:extLst>
            <a:ext uri="{FF2B5EF4-FFF2-40B4-BE49-F238E27FC236}">
              <a16:creationId xmlns:a16="http://schemas.microsoft.com/office/drawing/2014/main" id="{A8F58CC7-513B-40F9-8E93-2D9999F4183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6" name="Rectangle 265">
          <a:extLst>
            <a:ext uri="{FF2B5EF4-FFF2-40B4-BE49-F238E27FC236}">
              <a16:creationId xmlns:a16="http://schemas.microsoft.com/office/drawing/2014/main" id="{1CBA385C-455F-427A-B96F-808661B9866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7" name="Rectangle 266">
          <a:extLst>
            <a:ext uri="{FF2B5EF4-FFF2-40B4-BE49-F238E27FC236}">
              <a16:creationId xmlns:a16="http://schemas.microsoft.com/office/drawing/2014/main" id="{44C107DA-775D-43B0-9077-75B83EF6E90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8" name="Rectangle 267">
          <a:extLst>
            <a:ext uri="{FF2B5EF4-FFF2-40B4-BE49-F238E27FC236}">
              <a16:creationId xmlns:a16="http://schemas.microsoft.com/office/drawing/2014/main" id="{596E5D94-0863-44F9-8232-FDE6C3B721D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79" name="Rectangle 268">
          <a:extLst>
            <a:ext uri="{FF2B5EF4-FFF2-40B4-BE49-F238E27FC236}">
              <a16:creationId xmlns:a16="http://schemas.microsoft.com/office/drawing/2014/main" id="{0538EE95-F199-4A58-8920-53EDF613C60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180" name="Rectangle 269">
          <a:extLst>
            <a:ext uri="{FF2B5EF4-FFF2-40B4-BE49-F238E27FC236}">
              <a16:creationId xmlns:a16="http://schemas.microsoft.com/office/drawing/2014/main" id="{D7580888-34CD-4C63-8445-711B38A1027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1" name="Rectangle 238">
          <a:extLst>
            <a:ext uri="{FF2B5EF4-FFF2-40B4-BE49-F238E27FC236}">
              <a16:creationId xmlns:a16="http://schemas.microsoft.com/office/drawing/2014/main" id="{F134DAF2-9BC2-4D50-B6DB-AAE3BF39C2E7}"/>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2" name="Rectangle 249">
          <a:extLst>
            <a:ext uri="{FF2B5EF4-FFF2-40B4-BE49-F238E27FC236}">
              <a16:creationId xmlns:a16="http://schemas.microsoft.com/office/drawing/2014/main" id="{5955568E-B89A-4166-9CBB-D2A46D63178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3" name="Rectangle 251">
          <a:extLst>
            <a:ext uri="{FF2B5EF4-FFF2-40B4-BE49-F238E27FC236}">
              <a16:creationId xmlns:a16="http://schemas.microsoft.com/office/drawing/2014/main" id="{4025649D-E359-42DF-82DC-7B145309C392}"/>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4" name="Rectangle 253">
          <a:extLst>
            <a:ext uri="{FF2B5EF4-FFF2-40B4-BE49-F238E27FC236}">
              <a16:creationId xmlns:a16="http://schemas.microsoft.com/office/drawing/2014/main" id="{2D1F4605-F43A-4E29-A7B9-4A525C60F11B}"/>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5" name="Rectangle 254">
          <a:extLst>
            <a:ext uri="{FF2B5EF4-FFF2-40B4-BE49-F238E27FC236}">
              <a16:creationId xmlns:a16="http://schemas.microsoft.com/office/drawing/2014/main" id="{EE05DDB0-D2A7-4045-A933-BC77143E492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6" name="Rectangle 255">
          <a:extLst>
            <a:ext uri="{FF2B5EF4-FFF2-40B4-BE49-F238E27FC236}">
              <a16:creationId xmlns:a16="http://schemas.microsoft.com/office/drawing/2014/main" id="{9C82AE5B-D31F-44F3-A741-5577D3BE24F4}"/>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7" name="Rectangle 257">
          <a:extLst>
            <a:ext uri="{FF2B5EF4-FFF2-40B4-BE49-F238E27FC236}">
              <a16:creationId xmlns:a16="http://schemas.microsoft.com/office/drawing/2014/main" id="{6BDE612E-A3C9-42B1-8FD4-D482D3C41EAC}"/>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8" name="Rectangle 258">
          <a:extLst>
            <a:ext uri="{FF2B5EF4-FFF2-40B4-BE49-F238E27FC236}">
              <a16:creationId xmlns:a16="http://schemas.microsoft.com/office/drawing/2014/main" id="{F3A09572-4C7F-4C93-86C1-CAAAB4E18883}"/>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89" name="Rectangle 259">
          <a:extLst>
            <a:ext uri="{FF2B5EF4-FFF2-40B4-BE49-F238E27FC236}">
              <a16:creationId xmlns:a16="http://schemas.microsoft.com/office/drawing/2014/main" id="{ED219CC9-D189-4344-AD53-FE9523AAD2AB}"/>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0" name="Rectangle 260">
          <a:extLst>
            <a:ext uri="{FF2B5EF4-FFF2-40B4-BE49-F238E27FC236}">
              <a16:creationId xmlns:a16="http://schemas.microsoft.com/office/drawing/2014/main" id="{41DFA891-33A3-4F0F-BAA1-2F667C5DA30D}"/>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1" name="Rectangle 261">
          <a:extLst>
            <a:ext uri="{FF2B5EF4-FFF2-40B4-BE49-F238E27FC236}">
              <a16:creationId xmlns:a16="http://schemas.microsoft.com/office/drawing/2014/main" id="{91462B21-D290-463B-A46E-A7DA3EFE7061}"/>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2" name="Rectangle 262">
          <a:extLst>
            <a:ext uri="{FF2B5EF4-FFF2-40B4-BE49-F238E27FC236}">
              <a16:creationId xmlns:a16="http://schemas.microsoft.com/office/drawing/2014/main" id="{3DBE29FF-F2BD-483E-B507-1842FDD36DF5}"/>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3" name="Rectangle 263">
          <a:extLst>
            <a:ext uri="{FF2B5EF4-FFF2-40B4-BE49-F238E27FC236}">
              <a16:creationId xmlns:a16="http://schemas.microsoft.com/office/drawing/2014/main" id="{5D90BE55-A729-438F-8DC5-8E8DC7BEB2A9}"/>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4" name="Rectangle 264">
          <a:extLst>
            <a:ext uri="{FF2B5EF4-FFF2-40B4-BE49-F238E27FC236}">
              <a16:creationId xmlns:a16="http://schemas.microsoft.com/office/drawing/2014/main" id="{64D6A535-9F24-4F52-88B5-504DB102C183}"/>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5" name="Rectangle 265">
          <a:extLst>
            <a:ext uri="{FF2B5EF4-FFF2-40B4-BE49-F238E27FC236}">
              <a16:creationId xmlns:a16="http://schemas.microsoft.com/office/drawing/2014/main" id="{FB85A6E3-6A80-4E29-AFAD-1B1452764AAC}"/>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6" name="Rectangle 266">
          <a:extLst>
            <a:ext uri="{FF2B5EF4-FFF2-40B4-BE49-F238E27FC236}">
              <a16:creationId xmlns:a16="http://schemas.microsoft.com/office/drawing/2014/main" id="{B08B94D9-1FE0-4D96-91D4-61346028EC6E}"/>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7" name="Rectangle 267">
          <a:extLst>
            <a:ext uri="{FF2B5EF4-FFF2-40B4-BE49-F238E27FC236}">
              <a16:creationId xmlns:a16="http://schemas.microsoft.com/office/drawing/2014/main" id="{C16FD2C4-2455-4AE3-91B5-1ABB80DC74FF}"/>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8" name="Rectangle 268">
          <a:extLst>
            <a:ext uri="{FF2B5EF4-FFF2-40B4-BE49-F238E27FC236}">
              <a16:creationId xmlns:a16="http://schemas.microsoft.com/office/drawing/2014/main" id="{6C400793-D7C9-4022-B09E-441735C2705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199" name="Rectangle 269">
          <a:extLst>
            <a:ext uri="{FF2B5EF4-FFF2-40B4-BE49-F238E27FC236}">
              <a16:creationId xmlns:a16="http://schemas.microsoft.com/office/drawing/2014/main" id="{799DBC82-4DAE-4932-9AA4-AE202F8A25CE}"/>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3</xdr:row>
      <xdr:rowOff>0</xdr:rowOff>
    </xdr:from>
    <xdr:ext cx="28854" cy="132665"/>
    <xdr:sp macro="" textlink="">
      <xdr:nvSpPr>
        <xdr:cNvPr id="200" name="Rectangle 269">
          <a:extLst>
            <a:ext uri="{FF2B5EF4-FFF2-40B4-BE49-F238E27FC236}">
              <a16:creationId xmlns:a16="http://schemas.microsoft.com/office/drawing/2014/main" id="{2431F25C-19DF-42EE-9E39-96D0786C8E85}"/>
            </a:ext>
          </a:extLst>
        </xdr:cNvPr>
        <xdr:cNvSpPr>
          <a:spLocks noChangeArrowheads="1"/>
        </xdr:cNvSpPr>
      </xdr:nvSpPr>
      <xdr:spPr bwMode="auto">
        <a:xfrm>
          <a:off x="3399155" y="447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1" name="Rectangle 238">
          <a:extLst>
            <a:ext uri="{FF2B5EF4-FFF2-40B4-BE49-F238E27FC236}">
              <a16:creationId xmlns:a16="http://schemas.microsoft.com/office/drawing/2014/main" id="{2921EF34-18E5-49EE-B73A-E4D162972DF5}"/>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2" name="Rectangle 249">
          <a:extLst>
            <a:ext uri="{FF2B5EF4-FFF2-40B4-BE49-F238E27FC236}">
              <a16:creationId xmlns:a16="http://schemas.microsoft.com/office/drawing/2014/main" id="{389D3E03-34E5-45E6-9322-65FF35CBEDE3}"/>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3" name="Rectangle 251">
          <a:extLst>
            <a:ext uri="{FF2B5EF4-FFF2-40B4-BE49-F238E27FC236}">
              <a16:creationId xmlns:a16="http://schemas.microsoft.com/office/drawing/2014/main" id="{9C496DB3-9ACF-4D0E-8173-AEE9C725A00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4" name="Rectangle 253">
          <a:extLst>
            <a:ext uri="{FF2B5EF4-FFF2-40B4-BE49-F238E27FC236}">
              <a16:creationId xmlns:a16="http://schemas.microsoft.com/office/drawing/2014/main" id="{554EDA3F-B9E3-4913-9D71-0D95CF4DEC5E}"/>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5" name="Rectangle 254">
          <a:extLst>
            <a:ext uri="{FF2B5EF4-FFF2-40B4-BE49-F238E27FC236}">
              <a16:creationId xmlns:a16="http://schemas.microsoft.com/office/drawing/2014/main" id="{9DAD9D61-3EB9-4A90-9273-E7BEE23A7433}"/>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6" name="Rectangle 255">
          <a:extLst>
            <a:ext uri="{FF2B5EF4-FFF2-40B4-BE49-F238E27FC236}">
              <a16:creationId xmlns:a16="http://schemas.microsoft.com/office/drawing/2014/main" id="{DB1AE010-F8F7-4586-B074-86B9D22F2C49}"/>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7" name="Rectangle 257">
          <a:extLst>
            <a:ext uri="{FF2B5EF4-FFF2-40B4-BE49-F238E27FC236}">
              <a16:creationId xmlns:a16="http://schemas.microsoft.com/office/drawing/2014/main" id="{DC97F031-4EF5-4A44-AF0E-7845CAFDEF61}"/>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8" name="Rectangle 258">
          <a:extLst>
            <a:ext uri="{FF2B5EF4-FFF2-40B4-BE49-F238E27FC236}">
              <a16:creationId xmlns:a16="http://schemas.microsoft.com/office/drawing/2014/main" id="{B1EF0800-96FF-46CB-8128-36793E125C0E}"/>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09" name="Rectangle 259">
          <a:extLst>
            <a:ext uri="{FF2B5EF4-FFF2-40B4-BE49-F238E27FC236}">
              <a16:creationId xmlns:a16="http://schemas.microsoft.com/office/drawing/2014/main" id="{0D4B2D12-CD53-4F09-A999-1B3E89C79A69}"/>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0" name="Rectangle 260">
          <a:extLst>
            <a:ext uri="{FF2B5EF4-FFF2-40B4-BE49-F238E27FC236}">
              <a16:creationId xmlns:a16="http://schemas.microsoft.com/office/drawing/2014/main" id="{5B2C463B-D065-42CA-929D-867B3869E106}"/>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1" name="Rectangle 261">
          <a:extLst>
            <a:ext uri="{FF2B5EF4-FFF2-40B4-BE49-F238E27FC236}">
              <a16:creationId xmlns:a16="http://schemas.microsoft.com/office/drawing/2014/main" id="{811DBD39-E82F-488F-8071-F976BFB059B0}"/>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2" name="Rectangle 262">
          <a:extLst>
            <a:ext uri="{FF2B5EF4-FFF2-40B4-BE49-F238E27FC236}">
              <a16:creationId xmlns:a16="http://schemas.microsoft.com/office/drawing/2014/main" id="{A0C3BB52-628F-4734-9A73-1C04028A5250}"/>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13" name="Rectangle 263">
          <a:extLst>
            <a:ext uri="{FF2B5EF4-FFF2-40B4-BE49-F238E27FC236}">
              <a16:creationId xmlns:a16="http://schemas.microsoft.com/office/drawing/2014/main" id="{D7077462-78E9-434D-8AB8-04DFD7DF39DA}"/>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4" name="Rectangle 264">
          <a:extLst>
            <a:ext uri="{FF2B5EF4-FFF2-40B4-BE49-F238E27FC236}">
              <a16:creationId xmlns:a16="http://schemas.microsoft.com/office/drawing/2014/main" id="{9687B61C-D73B-4BA5-8110-3553FF46C10E}"/>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5" name="Rectangle 265">
          <a:extLst>
            <a:ext uri="{FF2B5EF4-FFF2-40B4-BE49-F238E27FC236}">
              <a16:creationId xmlns:a16="http://schemas.microsoft.com/office/drawing/2014/main" id="{9581DEFC-8D9F-414A-93CC-24CC2A63AFAE}"/>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6" name="Rectangle 266">
          <a:extLst>
            <a:ext uri="{FF2B5EF4-FFF2-40B4-BE49-F238E27FC236}">
              <a16:creationId xmlns:a16="http://schemas.microsoft.com/office/drawing/2014/main" id="{0EEBF4E1-EF5F-4F7D-B5E4-4A2A5F1AEC0A}"/>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7" name="Rectangle 267">
          <a:extLst>
            <a:ext uri="{FF2B5EF4-FFF2-40B4-BE49-F238E27FC236}">
              <a16:creationId xmlns:a16="http://schemas.microsoft.com/office/drawing/2014/main" id="{55888C6D-A220-4172-9011-7E5E90D95430}"/>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8" name="Rectangle 268">
          <a:extLst>
            <a:ext uri="{FF2B5EF4-FFF2-40B4-BE49-F238E27FC236}">
              <a16:creationId xmlns:a16="http://schemas.microsoft.com/office/drawing/2014/main" id="{B78FC0AC-7053-47B0-AEE9-06C12833E0B6}"/>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19" name="Rectangle 269">
          <a:extLst>
            <a:ext uri="{FF2B5EF4-FFF2-40B4-BE49-F238E27FC236}">
              <a16:creationId xmlns:a16="http://schemas.microsoft.com/office/drawing/2014/main" id="{0A4A24A2-8B54-481C-A60A-95B5897F3A78}"/>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0" name="Rectangle 238">
          <a:extLst>
            <a:ext uri="{FF2B5EF4-FFF2-40B4-BE49-F238E27FC236}">
              <a16:creationId xmlns:a16="http://schemas.microsoft.com/office/drawing/2014/main" id="{49903A08-2759-4ACF-8C55-F332A2A387BA}"/>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1" name="Rectangle 249">
          <a:extLst>
            <a:ext uri="{FF2B5EF4-FFF2-40B4-BE49-F238E27FC236}">
              <a16:creationId xmlns:a16="http://schemas.microsoft.com/office/drawing/2014/main" id="{1D3FF3F7-675D-4445-A3FE-F728FBD881E4}"/>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2" name="Rectangle 251">
          <a:extLst>
            <a:ext uri="{FF2B5EF4-FFF2-40B4-BE49-F238E27FC236}">
              <a16:creationId xmlns:a16="http://schemas.microsoft.com/office/drawing/2014/main" id="{DE7E3630-3261-43AC-87F1-F2ECE1373E82}"/>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3" name="Rectangle 253">
          <a:extLst>
            <a:ext uri="{FF2B5EF4-FFF2-40B4-BE49-F238E27FC236}">
              <a16:creationId xmlns:a16="http://schemas.microsoft.com/office/drawing/2014/main" id="{A17EDD46-571C-4858-935A-60BDE000FAD8}"/>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4" name="Rectangle 254">
          <a:extLst>
            <a:ext uri="{FF2B5EF4-FFF2-40B4-BE49-F238E27FC236}">
              <a16:creationId xmlns:a16="http://schemas.microsoft.com/office/drawing/2014/main" id="{E950360C-8C49-466A-B242-745CEF7A0EB7}"/>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5" name="Rectangle 255">
          <a:extLst>
            <a:ext uri="{FF2B5EF4-FFF2-40B4-BE49-F238E27FC236}">
              <a16:creationId xmlns:a16="http://schemas.microsoft.com/office/drawing/2014/main" id="{EF268C97-7B86-4D38-AA7A-540B1F0065D2}"/>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6" name="Rectangle 257">
          <a:extLst>
            <a:ext uri="{FF2B5EF4-FFF2-40B4-BE49-F238E27FC236}">
              <a16:creationId xmlns:a16="http://schemas.microsoft.com/office/drawing/2014/main" id="{1C51D09E-D19A-4872-8281-652C2CC0824C}"/>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7" name="Rectangle 258">
          <a:extLst>
            <a:ext uri="{FF2B5EF4-FFF2-40B4-BE49-F238E27FC236}">
              <a16:creationId xmlns:a16="http://schemas.microsoft.com/office/drawing/2014/main" id="{23D2B37C-76F7-4A8F-B0E8-782A061A74F6}"/>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8" name="Rectangle 259">
          <a:extLst>
            <a:ext uri="{FF2B5EF4-FFF2-40B4-BE49-F238E27FC236}">
              <a16:creationId xmlns:a16="http://schemas.microsoft.com/office/drawing/2014/main" id="{F86790EE-35D4-4511-9377-A937A75D5F03}"/>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29" name="Rectangle 260">
          <a:extLst>
            <a:ext uri="{FF2B5EF4-FFF2-40B4-BE49-F238E27FC236}">
              <a16:creationId xmlns:a16="http://schemas.microsoft.com/office/drawing/2014/main" id="{433633E5-B87B-4E0C-9FB4-25B033E41423}"/>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0" name="Rectangle 261">
          <a:extLst>
            <a:ext uri="{FF2B5EF4-FFF2-40B4-BE49-F238E27FC236}">
              <a16:creationId xmlns:a16="http://schemas.microsoft.com/office/drawing/2014/main" id="{A07A66A2-A46D-4742-9995-13DE235F49C1}"/>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1" name="Rectangle 262">
          <a:extLst>
            <a:ext uri="{FF2B5EF4-FFF2-40B4-BE49-F238E27FC236}">
              <a16:creationId xmlns:a16="http://schemas.microsoft.com/office/drawing/2014/main" id="{E7923ABE-5507-4FEB-BA2A-0BB1D0EDDB83}"/>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2" name="Rectangle 263">
          <a:extLst>
            <a:ext uri="{FF2B5EF4-FFF2-40B4-BE49-F238E27FC236}">
              <a16:creationId xmlns:a16="http://schemas.microsoft.com/office/drawing/2014/main" id="{DC80E0C7-F02C-42E0-92F5-67532EEF32B3}"/>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3" name="Rectangle 264">
          <a:extLst>
            <a:ext uri="{FF2B5EF4-FFF2-40B4-BE49-F238E27FC236}">
              <a16:creationId xmlns:a16="http://schemas.microsoft.com/office/drawing/2014/main" id="{9BDD2A3E-8351-4FF8-BFEE-3D4FC48F555B}"/>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4" name="Rectangle 265">
          <a:extLst>
            <a:ext uri="{FF2B5EF4-FFF2-40B4-BE49-F238E27FC236}">
              <a16:creationId xmlns:a16="http://schemas.microsoft.com/office/drawing/2014/main" id="{C7E91EDE-E2EE-4080-BB4F-772EC8E3CE02}"/>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5" name="Rectangle 266">
          <a:extLst>
            <a:ext uri="{FF2B5EF4-FFF2-40B4-BE49-F238E27FC236}">
              <a16:creationId xmlns:a16="http://schemas.microsoft.com/office/drawing/2014/main" id="{8A9C3D05-62E3-4EF2-8EEF-98E144C19243}"/>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6" name="Rectangle 267">
          <a:extLst>
            <a:ext uri="{FF2B5EF4-FFF2-40B4-BE49-F238E27FC236}">
              <a16:creationId xmlns:a16="http://schemas.microsoft.com/office/drawing/2014/main" id="{36F64174-6638-4728-A421-A37C2B3A223B}"/>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7" name="Rectangle 268">
          <a:extLst>
            <a:ext uri="{FF2B5EF4-FFF2-40B4-BE49-F238E27FC236}">
              <a16:creationId xmlns:a16="http://schemas.microsoft.com/office/drawing/2014/main" id="{A5BD8BF3-258B-4E4A-BFC3-E43047A57214}"/>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38" name="Rectangle 269">
          <a:extLst>
            <a:ext uri="{FF2B5EF4-FFF2-40B4-BE49-F238E27FC236}">
              <a16:creationId xmlns:a16="http://schemas.microsoft.com/office/drawing/2014/main" id="{49263831-4C3F-40F3-B4E8-0BCC75CE0933}"/>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39" name="Rectangle 238">
          <a:extLst>
            <a:ext uri="{FF2B5EF4-FFF2-40B4-BE49-F238E27FC236}">
              <a16:creationId xmlns:a16="http://schemas.microsoft.com/office/drawing/2014/main" id="{45EB9740-53E0-440F-980E-2893A6D63E36}"/>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0" name="Rectangle 249">
          <a:extLst>
            <a:ext uri="{FF2B5EF4-FFF2-40B4-BE49-F238E27FC236}">
              <a16:creationId xmlns:a16="http://schemas.microsoft.com/office/drawing/2014/main" id="{1BAE867E-7BA8-4BD2-9F89-590E89D3EF4A}"/>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1" name="Rectangle 251">
          <a:extLst>
            <a:ext uri="{FF2B5EF4-FFF2-40B4-BE49-F238E27FC236}">
              <a16:creationId xmlns:a16="http://schemas.microsoft.com/office/drawing/2014/main" id="{FF36E1D6-7E90-47D1-974B-FEDD1107DD0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2" name="Rectangle 253">
          <a:extLst>
            <a:ext uri="{FF2B5EF4-FFF2-40B4-BE49-F238E27FC236}">
              <a16:creationId xmlns:a16="http://schemas.microsoft.com/office/drawing/2014/main" id="{2DE90B72-F979-436B-B3E7-DE5DAF37DF59}"/>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3" name="Rectangle 254">
          <a:extLst>
            <a:ext uri="{FF2B5EF4-FFF2-40B4-BE49-F238E27FC236}">
              <a16:creationId xmlns:a16="http://schemas.microsoft.com/office/drawing/2014/main" id="{40BD8064-6BFB-4B7B-9561-E03324651A99}"/>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4" name="Rectangle 255">
          <a:extLst>
            <a:ext uri="{FF2B5EF4-FFF2-40B4-BE49-F238E27FC236}">
              <a16:creationId xmlns:a16="http://schemas.microsoft.com/office/drawing/2014/main" id="{CB252D1F-EBFA-4B2C-B7C0-862A926C642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5" name="Rectangle 257">
          <a:extLst>
            <a:ext uri="{FF2B5EF4-FFF2-40B4-BE49-F238E27FC236}">
              <a16:creationId xmlns:a16="http://schemas.microsoft.com/office/drawing/2014/main" id="{88A6C152-A705-472C-B981-E04E7739F860}"/>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6" name="Rectangle 258">
          <a:extLst>
            <a:ext uri="{FF2B5EF4-FFF2-40B4-BE49-F238E27FC236}">
              <a16:creationId xmlns:a16="http://schemas.microsoft.com/office/drawing/2014/main" id="{32EF59AB-1B9A-4B9B-9001-30A631C8860B}"/>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7" name="Rectangle 259">
          <a:extLst>
            <a:ext uri="{FF2B5EF4-FFF2-40B4-BE49-F238E27FC236}">
              <a16:creationId xmlns:a16="http://schemas.microsoft.com/office/drawing/2014/main" id="{B384CA56-22DA-471E-8677-687585316061}"/>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8" name="Rectangle 260">
          <a:extLst>
            <a:ext uri="{FF2B5EF4-FFF2-40B4-BE49-F238E27FC236}">
              <a16:creationId xmlns:a16="http://schemas.microsoft.com/office/drawing/2014/main" id="{569217F5-AF5F-4019-B734-7D0F8E234F6B}"/>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49" name="Rectangle 261">
          <a:extLst>
            <a:ext uri="{FF2B5EF4-FFF2-40B4-BE49-F238E27FC236}">
              <a16:creationId xmlns:a16="http://schemas.microsoft.com/office/drawing/2014/main" id="{14E62C22-3673-40EA-AE50-297E47FBCB89}"/>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50" name="Rectangle 262">
          <a:extLst>
            <a:ext uri="{FF2B5EF4-FFF2-40B4-BE49-F238E27FC236}">
              <a16:creationId xmlns:a16="http://schemas.microsoft.com/office/drawing/2014/main" id="{33A873AA-8268-44F8-903E-37234EB9524F}"/>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251" name="Rectangle 263">
          <a:extLst>
            <a:ext uri="{FF2B5EF4-FFF2-40B4-BE49-F238E27FC236}">
              <a16:creationId xmlns:a16="http://schemas.microsoft.com/office/drawing/2014/main" id="{718EDEBD-478A-4674-8493-4CCEDC7DE6D3}"/>
            </a:ext>
          </a:extLst>
        </xdr:cNvPr>
        <xdr:cNvSpPr>
          <a:spLocks noChangeArrowheads="1"/>
        </xdr:cNvSpPr>
      </xdr:nvSpPr>
      <xdr:spPr bwMode="auto">
        <a:xfrm>
          <a:off x="723900"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52" name="Rectangle 264">
          <a:extLst>
            <a:ext uri="{FF2B5EF4-FFF2-40B4-BE49-F238E27FC236}">
              <a16:creationId xmlns:a16="http://schemas.microsoft.com/office/drawing/2014/main" id="{B08BFF40-E2D7-4E5D-9326-A313FBCF57BD}"/>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53" name="Rectangle 265">
          <a:extLst>
            <a:ext uri="{FF2B5EF4-FFF2-40B4-BE49-F238E27FC236}">
              <a16:creationId xmlns:a16="http://schemas.microsoft.com/office/drawing/2014/main" id="{FD328B06-1B8F-41BE-8987-BDE6B10BBAD0}"/>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54" name="Rectangle 266">
          <a:extLst>
            <a:ext uri="{FF2B5EF4-FFF2-40B4-BE49-F238E27FC236}">
              <a16:creationId xmlns:a16="http://schemas.microsoft.com/office/drawing/2014/main" id="{C0900E42-1AB4-4F89-A1A0-5FDF4826DEEB}"/>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55" name="Rectangle 267">
          <a:extLst>
            <a:ext uri="{FF2B5EF4-FFF2-40B4-BE49-F238E27FC236}">
              <a16:creationId xmlns:a16="http://schemas.microsoft.com/office/drawing/2014/main" id="{0E9C06B5-DB81-4AD6-A252-74F926EC9EE5}"/>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56" name="Rectangle 268">
          <a:extLst>
            <a:ext uri="{FF2B5EF4-FFF2-40B4-BE49-F238E27FC236}">
              <a16:creationId xmlns:a16="http://schemas.microsoft.com/office/drawing/2014/main" id="{D6153AAD-E8ED-4B2A-BEFB-178AA7B7668D}"/>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19050</xdr:colOff>
      <xdr:row>1</xdr:row>
      <xdr:rowOff>0</xdr:rowOff>
    </xdr:from>
    <xdr:ext cx="28854" cy="132665"/>
    <xdr:sp macro="" textlink="">
      <xdr:nvSpPr>
        <xdr:cNvPr id="257" name="Rectangle 269">
          <a:extLst>
            <a:ext uri="{FF2B5EF4-FFF2-40B4-BE49-F238E27FC236}">
              <a16:creationId xmlns:a16="http://schemas.microsoft.com/office/drawing/2014/main" id="{A456E20B-5B4B-4C92-ADDA-42926BFDA2E2}"/>
            </a:ext>
          </a:extLst>
        </xdr:cNvPr>
        <xdr:cNvSpPr>
          <a:spLocks noChangeArrowheads="1"/>
        </xdr:cNvSpPr>
      </xdr:nvSpPr>
      <xdr:spPr bwMode="auto">
        <a:xfrm>
          <a:off x="714375" y="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58" name="Rectangle 238">
          <a:extLst>
            <a:ext uri="{FF2B5EF4-FFF2-40B4-BE49-F238E27FC236}">
              <a16:creationId xmlns:a16="http://schemas.microsoft.com/office/drawing/2014/main" id="{4302BF5B-6730-445C-87B3-6BE941F93A70}"/>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59" name="Rectangle 249">
          <a:extLst>
            <a:ext uri="{FF2B5EF4-FFF2-40B4-BE49-F238E27FC236}">
              <a16:creationId xmlns:a16="http://schemas.microsoft.com/office/drawing/2014/main" id="{BE72B7A2-C913-4962-8702-6C5CF89D3313}"/>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0" name="Rectangle 251">
          <a:extLst>
            <a:ext uri="{FF2B5EF4-FFF2-40B4-BE49-F238E27FC236}">
              <a16:creationId xmlns:a16="http://schemas.microsoft.com/office/drawing/2014/main" id="{0737E118-C60E-4B00-AD3C-1CFB8C846FC0}"/>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1" name="Rectangle 253">
          <a:extLst>
            <a:ext uri="{FF2B5EF4-FFF2-40B4-BE49-F238E27FC236}">
              <a16:creationId xmlns:a16="http://schemas.microsoft.com/office/drawing/2014/main" id="{5DCAD32C-6613-4AD6-BE2F-537A88FC5FBB}"/>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2" name="Rectangle 254">
          <a:extLst>
            <a:ext uri="{FF2B5EF4-FFF2-40B4-BE49-F238E27FC236}">
              <a16:creationId xmlns:a16="http://schemas.microsoft.com/office/drawing/2014/main" id="{DD24B291-0424-447B-A539-751C571A1810}"/>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3" name="Rectangle 255">
          <a:extLst>
            <a:ext uri="{FF2B5EF4-FFF2-40B4-BE49-F238E27FC236}">
              <a16:creationId xmlns:a16="http://schemas.microsoft.com/office/drawing/2014/main" id="{F3BF2740-9A0C-4873-A93A-87CD2ACAD897}"/>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4" name="Rectangle 257">
          <a:extLst>
            <a:ext uri="{FF2B5EF4-FFF2-40B4-BE49-F238E27FC236}">
              <a16:creationId xmlns:a16="http://schemas.microsoft.com/office/drawing/2014/main" id="{B89DF26A-A461-4640-8F3D-CD3471392D74}"/>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5" name="Rectangle 258">
          <a:extLst>
            <a:ext uri="{FF2B5EF4-FFF2-40B4-BE49-F238E27FC236}">
              <a16:creationId xmlns:a16="http://schemas.microsoft.com/office/drawing/2014/main" id="{EEDCBE5F-B101-47E4-9AB6-DFB776AEEE67}"/>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6" name="Rectangle 259">
          <a:extLst>
            <a:ext uri="{FF2B5EF4-FFF2-40B4-BE49-F238E27FC236}">
              <a16:creationId xmlns:a16="http://schemas.microsoft.com/office/drawing/2014/main" id="{A6DB8199-255A-4242-A74B-48263796E964}"/>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7" name="Rectangle 260">
          <a:extLst>
            <a:ext uri="{FF2B5EF4-FFF2-40B4-BE49-F238E27FC236}">
              <a16:creationId xmlns:a16="http://schemas.microsoft.com/office/drawing/2014/main" id="{CFD97D87-15C2-46FF-BD17-1AC81B6EEE75}"/>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8" name="Rectangle 261">
          <a:extLst>
            <a:ext uri="{FF2B5EF4-FFF2-40B4-BE49-F238E27FC236}">
              <a16:creationId xmlns:a16="http://schemas.microsoft.com/office/drawing/2014/main" id="{4DF85242-3BC8-4BED-BC10-7680882546D8}"/>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69" name="Rectangle 262">
          <a:extLst>
            <a:ext uri="{FF2B5EF4-FFF2-40B4-BE49-F238E27FC236}">
              <a16:creationId xmlns:a16="http://schemas.microsoft.com/office/drawing/2014/main" id="{080D3FAD-6C9F-41DD-8DAD-F4A0611A9340}"/>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0" name="Rectangle 263">
          <a:extLst>
            <a:ext uri="{FF2B5EF4-FFF2-40B4-BE49-F238E27FC236}">
              <a16:creationId xmlns:a16="http://schemas.microsoft.com/office/drawing/2014/main" id="{B98FBCEC-D93F-453D-8648-2EC8CFE44FF6}"/>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1" name="Rectangle 264">
          <a:extLst>
            <a:ext uri="{FF2B5EF4-FFF2-40B4-BE49-F238E27FC236}">
              <a16:creationId xmlns:a16="http://schemas.microsoft.com/office/drawing/2014/main" id="{07420E71-A9EA-4268-8DFE-3F581FC06565}"/>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2" name="Rectangle 265">
          <a:extLst>
            <a:ext uri="{FF2B5EF4-FFF2-40B4-BE49-F238E27FC236}">
              <a16:creationId xmlns:a16="http://schemas.microsoft.com/office/drawing/2014/main" id="{A4EB4D7D-8A22-471B-8F83-B5582BAE4F2C}"/>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3" name="Rectangle 266">
          <a:extLst>
            <a:ext uri="{FF2B5EF4-FFF2-40B4-BE49-F238E27FC236}">
              <a16:creationId xmlns:a16="http://schemas.microsoft.com/office/drawing/2014/main" id="{4E5AF8FE-4CC2-4D51-9493-DED9FFFCC5CD}"/>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4" name="Rectangle 267">
          <a:extLst>
            <a:ext uri="{FF2B5EF4-FFF2-40B4-BE49-F238E27FC236}">
              <a16:creationId xmlns:a16="http://schemas.microsoft.com/office/drawing/2014/main" id="{E3BB90F6-7F27-4B6B-AA43-49A181D62AF1}"/>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5" name="Rectangle 268">
          <a:extLst>
            <a:ext uri="{FF2B5EF4-FFF2-40B4-BE49-F238E27FC236}">
              <a16:creationId xmlns:a16="http://schemas.microsoft.com/office/drawing/2014/main" id="{15C3DDDA-32F1-4531-AAD9-7DCF520B4AB1}"/>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6" name="Rectangle 269">
          <a:extLst>
            <a:ext uri="{FF2B5EF4-FFF2-40B4-BE49-F238E27FC236}">
              <a16:creationId xmlns:a16="http://schemas.microsoft.com/office/drawing/2014/main" id="{36E5604C-CCCC-48BC-8DCC-20DC83D366BA}"/>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7" name="Rectangle 238">
          <a:extLst>
            <a:ext uri="{FF2B5EF4-FFF2-40B4-BE49-F238E27FC236}">
              <a16:creationId xmlns:a16="http://schemas.microsoft.com/office/drawing/2014/main" id="{2F75E610-C33A-43FD-8A30-7D25F45AE368}"/>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8" name="Rectangle 249">
          <a:extLst>
            <a:ext uri="{FF2B5EF4-FFF2-40B4-BE49-F238E27FC236}">
              <a16:creationId xmlns:a16="http://schemas.microsoft.com/office/drawing/2014/main" id="{49829F60-E4CE-4A67-BC14-CAD456236C98}"/>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79" name="Rectangle 251">
          <a:extLst>
            <a:ext uri="{FF2B5EF4-FFF2-40B4-BE49-F238E27FC236}">
              <a16:creationId xmlns:a16="http://schemas.microsoft.com/office/drawing/2014/main" id="{CB355B79-1605-46C0-8861-352F0C7F22F7}"/>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0" name="Rectangle 253">
          <a:extLst>
            <a:ext uri="{FF2B5EF4-FFF2-40B4-BE49-F238E27FC236}">
              <a16:creationId xmlns:a16="http://schemas.microsoft.com/office/drawing/2014/main" id="{D74ECCA2-D840-4862-91E8-1EBE770B618D}"/>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1" name="Rectangle 254">
          <a:extLst>
            <a:ext uri="{FF2B5EF4-FFF2-40B4-BE49-F238E27FC236}">
              <a16:creationId xmlns:a16="http://schemas.microsoft.com/office/drawing/2014/main" id="{C8F4951F-0193-44B6-BF59-A96D0DDC734B}"/>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2" name="Rectangle 255">
          <a:extLst>
            <a:ext uri="{FF2B5EF4-FFF2-40B4-BE49-F238E27FC236}">
              <a16:creationId xmlns:a16="http://schemas.microsoft.com/office/drawing/2014/main" id="{2F18E213-F2F1-4156-A3E0-B7CD05FD87A4}"/>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3" name="Rectangle 257">
          <a:extLst>
            <a:ext uri="{FF2B5EF4-FFF2-40B4-BE49-F238E27FC236}">
              <a16:creationId xmlns:a16="http://schemas.microsoft.com/office/drawing/2014/main" id="{981C4EC2-2ADC-4862-A08F-50CF1441E454}"/>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4" name="Rectangle 258">
          <a:extLst>
            <a:ext uri="{FF2B5EF4-FFF2-40B4-BE49-F238E27FC236}">
              <a16:creationId xmlns:a16="http://schemas.microsoft.com/office/drawing/2014/main" id="{E68A32C4-ECD3-490B-9FB5-02A30A14BDDF}"/>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5" name="Rectangle 259">
          <a:extLst>
            <a:ext uri="{FF2B5EF4-FFF2-40B4-BE49-F238E27FC236}">
              <a16:creationId xmlns:a16="http://schemas.microsoft.com/office/drawing/2014/main" id="{F9E96447-4D7C-4CA0-A598-2A0D6FDEC049}"/>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6" name="Rectangle 260">
          <a:extLst>
            <a:ext uri="{FF2B5EF4-FFF2-40B4-BE49-F238E27FC236}">
              <a16:creationId xmlns:a16="http://schemas.microsoft.com/office/drawing/2014/main" id="{078486C5-887B-4BB0-8EA1-834041F3744A}"/>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7" name="Rectangle 261">
          <a:extLst>
            <a:ext uri="{FF2B5EF4-FFF2-40B4-BE49-F238E27FC236}">
              <a16:creationId xmlns:a16="http://schemas.microsoft.com/office/drawing/2014/main" id="{91A6E55B-EA52-43E1-ABCF-CDB00C46DE4F}"/>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8" name="Rectangle 262">
          <a:extLst>
            <a:ext uri="{FF2B5EF4-FFF2-40B4-BE49-F238E27FC236}">
              <a16:creationId xmlns:a16="http://schemas.microsoft.com/office/drawing/2014/main" id="{51393D79-B8F7-42F9-A153-C41B10C939C9}"/>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89" name="Rectangle 263">
          <a:extLst>
            <a:ext uri="{FF2B5EF4-FFF2-40B4-BE49-F238E27FC236}">
              <a16:creationId xmlns:a16="http://schemas.microsoft.com/office/drawing/2014/main" id="{D7E11494-2912-4688-B052-5BA4A4E5A258}"/>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90" name="Rectangle 264">
          <a:extLst>
            <a:ext uri="{FF2B5EF4-FFF2-40B4-BE49-F238E27FC236}">
              <a16:creationId xmlns:a16="http://schemas.microsoft.com/office/drawing/2014/main" id="{634E3BB3-FA79-4EFA-B9C9-6AFC27E26C6D}"/>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91" name="Rectangle 265">
          <a:extLst>
            <a:ext uri="{FF2B5EF4-FFF2-40B4-BE49-F238E27FC236}">
              <a16:creationId xmlns:a16="http://schemas.microsoft.com/office/drawing/2014/main" id="{D1FD3719-CD3E-484A-8A94-EFC65BB68E88}"/>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92" name="Rectangle 266">
          <a:extLst>
            <a:ext uri="{FF2B5EF4-FFF2-40B4-BE49-F238E27FC236}">
              <a16:creationId xmlns:a16="http://schemas.microsoft.com/office/drawing/2014/main" id="{AE119592-1668-4132-8DF7-3A91BE1F727B}"/>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93" name="Rectangle 267">
          <a:extLst>
            <a:ext uri="{FF2B5EF4-FFF2-40B4-BE49-F238E27FC236}">
              <a16:creationId xmlns:a16="http://schemas.microsoft.com/office/drawing/2014/main" id="{3A958416-B578-4F88-A843-E12D97846015}"/>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94" name="Rectangle 268">
          <a:extLst>
            <a:ext uri="{FF2B5EF4-FFF2-40B4-BE49-F238E27FC236}">
              <a16:creationId xmlns:a16="http://schemas.microsoft.com/office/drawing/2014/main" id="{E8DDCCFF-77C4-411D-B710-6C4A90781411}"/>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850</xdr:row>
      <xdr:rowOff>0</xdr:rowOff>
    </xdr:from>
    <xdr:ext cx="28854" cy="132665"/>
    <xdr:sp macro="" textlink="">
      <xdr:nvSpPr>
        <xdr:cNvPr id="295" name="Rectangle 269">
          <a:extLst>
            <a:ext uri="{FF2B5EF4-FFF2-40B4-BE49-F238E27FC236}">
              <a16:creationId xmlns:a16="http://schemas.microsoft.com/office/drawing/2014/main" id="{C66EB1D4-3942-4ABD-A193-DAC3A7284E9B}"/>
            </a:ext>
          </a:extLst>
        </xdr:cNvPr>
        <xdr:cNvSpPr>
          <a:spLocks noChangeArrowheads="1"/>
        </xdr:cNvSpPr>
      </xdr:nvSpPr>
      <xdr:spPr bwMode="auto">
        <a:xfrm>
          <a:off x="723900" y="2373153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296" name="Rectangle 238">
          <a:extLst>
            <a:ext uri="{FF2B5EF4-FFF2-40B4-BE49-F238E27FC236}">
              <a16:creationId xmlns:a16="http://schemas.microsoft.com/office/drawing/2014/main" id="{4D02E207-B8A1-48BF-9A6A-1FC53C699CFC}"/>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297" name="Rectangle 249">
          <a:extLst>
            <a:ext uri="{FF2B5EF4-FFF2-40B4-BE49-F238E27FC236}">
              <a16:creationId xmlns:a16="http://schemas.microsoft.com/office/drawing/2014/main" id="{A859AE67-6F3E-4231-8D90-9E102F037963}"/>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298" name="Rectangle 251">
          <a:extLst>
            <a:ext uri="{FF2B5EF4-FFF2-40B4-BE49-F238E27FC236}">
              <a16:creationId xmlns:a16="http://schemas.microsoft.com/office/drawing/2014/main" id="{4EC4D2DD-3ADC-444C-9203-11D554EB0A33}"/>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299" name="Rectangle 253">
          <a:extLst>
            <a:ext uri="{FF2B5EF4-FFF2-40B4-BE49-F238E27FC236}">
              <a16:creationId xmlns:a16="http://schemas.microsoft.com/office/drawing/2014/main" id="{BB71F7B1-01B4-4F5E-A98F-B695B42C5D6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0" name="Rectangle 254">
          <a:extLst>
            <a:ext uri="{FF2B5EF4-FFF2-40B4-BE49-F238E27FC236}">
              <a16:creationId xmlns:a16="http://schemas.microsoft.com/office/drawing/2014/main" id="{548C1974-5231-4586-8CE1-B4A36778C4E5}"/>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1" name="Rectangle 255">
          <a:extLst>
            <a:ext uri="{FF2B5EF4-FFF2-40B4-BE49-F238E27FC236}">
              <a16:creationId xmlns:a16="http://schemas.microsoft.com/office/drawing/2014/main" id="{9A92956B-BB8E-49FD-91CE-B84C7741E471}"/>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2" name="Rectangle 257">
          <a:extLst>
            <a:ext uri="{FF2B5EF4-FFF2-40B4-BE49-F238E27FC236}">
              <a16:creationId xmlns:a16="http://schemas.microsoft.com/office/drawing/2014/main" id="{157BC181-7D43-4F7D-A97A-E32226DD1CB5}"/>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3" name="Rectangle 258">
          <a:extLst>
            <a:ext uri="{FF2B5EF4-FFF2-40B4-BE49-F238E27FC236}">
              <a16:creationId xmlns:a16="http://schemas.microsoft.com/office/drawing/2014/main" id="{69B26ECC-537A-488C-BC3B-4B84855306E5}"/>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4" name="Rectangle 259">
          <a:extLst>
            <a:ext uri="{FF2B5EF4-FFF2-40B4-BE49-F238E27FC236}">
              <a16:creationId xmlns:a16="http://schemas.microsoft.com/office/drawing/2014/main" id="{58080961-BE3F-49D5-BDF2-3D008B8BC52D}"/>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5" name="Rectangle 260">
          <a:extLst>
            <a:ext uri="{FF2B5EF4-FFF2-40B4-BE49-F238E27FC236}">
              <a16:creationId xmlns:a16="http://schemas.microsoft.com/office/drawing/2014/main" id="{7471970F-A425-408B-B876-B1DF6EE3E8F1}"/>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6" name="Rectangle 261">
          <a:extLst>
            <a:ext uri="{FF2B5EF4-FFF2-40B4-BE49-F238E27FC236}">
              <a16:creationId xmlns:a16="http://schemas.microsoft.com/office/drawing/2014/main" id="{84EECBEE-3C2E-4B61-AAC4-428E385ED913}"/>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7" name="Rectangle 262">
          <a:extLst>
            <a:ext uri="{FF2B5EF4-FFF2-40B4-BE49-F238E27FC236}">
              <a16:creationId xmlns:a16="http://schemas.microsoft.com/office/drawing/2014/main" id="{E0DB8512-5EF0-46A4-8E2B-8A3E830F438A}"/>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8" name="Rectangle 263">
          <a:extLst>
            <a:ext uri="{FF2B5EF4-FFF2-40B4-BE49-F238E27FC236}">
              <a16:creationId xmlns:a16="http://schemas.microsoft.com/office/drawing/2014/main" id="{AC4B60F1-C56A-42A4-9D5B-866B026BC6B4}"/>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09" name="Rectangle 264">
          <a:extLst>
            <a:ext uri="{FF2B5EF4-FFF2-40B4-BE49-F238E27FC236}">
              <a16:creationId xmlns:a16="http://schemas.microsoft.com/office/drawing/2014/main" id="{EF7DC25F-8801-405F-B63A-B0507BA36F32}"/>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0" name="Rectangle 265">
          <a:extLst>
            <a:ext uri="{FF2B5EF4-FFF2-40B4-BE49-F238E27FC236}">
              <a16:creationId xmlns:a16="http://schemas.microsoft.com/office/drawing/2014/main" id="{10A730C0-DA0F-479C-A0C4-39E21D758925}"/>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1" name="Rectangle 266">
          <a:extLst>
            <a:ext uri="{FF2B5EF4-FFF2-40B4-BE49-F238E27FC236}">
              <a16:creationId xmlns:a16="http://schemas.microsoft.com/office/drawing/2014/main" id="{5A44DE6E-9E75-4A5B-AFAF-E8C534716619}"/>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2" name="Rectangle 267">
          <a:extLst>
            <a:ext uri="{FF2B5EF4-FFF2-40B4-BE49-F238E27FC236}">
              <a16:creationId xmlns:a16="http://schemas.microsoft.com/office/drawing/2014/main" id="{D937D8AD-3DE2-4FA6-9B35-117A7EA226C7}"/>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3" name="Rectangle 268">
          <a:extLst>
            <a:ext uri="{FF2B5EF4-FFF2-40B4-BE49-F238E27FC236}">
              <a16:creationId xmlns:a16="http://schemas.microsoft.com/office/drawing/2014/main" id="{3F7B8748-4E6F-4E97-8B0A-72030B78CCA2}"/>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4" name="Rectangle 269">
          <a:extLst>
            <a:ext uri="{FF2B5EF4-FFF2-40B4-BE49-F238E27FC236}">
              <a16:creationId xmlns:a16="http://schemas.microsoft.com/office/drawing/2014/main" id="{785FE361-95D6-4BF5-90FC-24C535BF83D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5" name="Rectangle 238">
          <a:extLst>
            <a:ext uri="{FF2B5EF4-FFF2-40B4-BE49-F238E27FC236}">
              <a16:creationId xmlns:a16="http://schemas.microsoft.com/office/drawing/2014/main" id="{E3D98227-EA74-409E-8D20-DDAD29EE6F6B}"/>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6" name="Rectangle 249">
          <a:extLst>
            <a:ext uri="{FF2B5EF4-FFF2-40B4-BE49-F238E27FC236}">
              <a16:creationId xmlns:a16="http://schemas.microsoft.com/office/drawing/2014/main" id="{537E7A30-7156-4522-A314-D730D0A6FF1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7" name="Rectangle 251">
          <a:extLst>
            <a:ext uri="{FF2B5EF4-FFF2-40B4-BE49-F238E27FC236}">
              <a16:creationId xmlns:a16="http://schemas.microsoft.com/office/drawing/2014/main" id="{A39B5B58-C6EB-4433-B437-DDF5F7C46688}"/>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8" name="Rectangle 253">
          <a:extLst>
            <a:ext uri="{FF2B5EF4-FFF2-40B4-BE49-F238E27FC236}">
              <a16:creationId xmlns:a16="http://schemas.microsoft.com/office/drawing/2014/main" id="{C14017C8-32F6-46C0-B995-16A8E75EAD09}"/>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19" name="Rectangle 254">
          <a:extLst>
            <a:ext uri="{FF2B5EF4-FFF2-40B4-BE49-F238E27FC236}">
              <a16:creationId xmlns:a16="http://schemas.microsoft.com/office/drawing/2014/main" id="{DE27929D-9979-4041-99A3-3B9271615717}"/>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0" name="Rectangle 255">
          <a:extLst>
            <a:ext uri="{FF2B5EF4-FFF2-40B4-BE49-F238E27FC236}">
              <a16:creationId xmlns:a16="http://schemas.microsoft.com/office/drawing/2014/main" id="{0D64E08A-0869-4BFF-B86F-AEA029BBC117}"/>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1" name="Rectangle 257">
          <a:extLst>
            <a:ext uri="{FF2B5EF4-FFF2-40B4-BE49-F238E27FC236}">
              <a16:creationId xmlns:a16="http://schemas.microsoft.com/office/drawing/2014/main" id="{22E2E921-2D8F-4A56-9A55-2F86B8ED618C}"/>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2" name="Rectangle 258">
          <a:extLst>
            <a:ext uri="{FF2B5EF4-FFF2-40B4-BE49-F238E27FC236}">
              <a16:creationId xmlns:a16="http://schemas.microsoft.com/office/drawing/2014/main" id="{4D461658-B6B8-4588-980A-CB907E1AE06C}"/>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3" name="Rectangle 259">
          <a:extLst>
            <a:ext uri="{FF2B5EF4-FFF2-40B4-BE49-F238E27FC236}">
              <a16:creationId xmlns:a16="http://schemas.microsoft.com/office/drawing/2014/main" id="{79A63135-31B8-4E70-A065-B85E9049EFA9}"/>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4" name="Rectangle 260">
          <a:extLst>
            <a:ext uri="{FF2B5EF4-FFF2-40B4-BE49-F238E27FC236}">
              <a16:creationId xmlns:a16="http://schemas.microsoft.com/office/drawing/2014/main" id="{F4579B33-A056-4E68-A4C0-B9962F4C743C}"/>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5" name="Rectangle 261">
          <a:extLst>
            <a:ext uri="{FF2B5EF4-FFF2-40B4-BE49-F238E27FC236}">
              <a16:creationId xmlns:a16="http://schemas.microsoft.com/office/drawing/2014/main" id="{7A21C74D-CBEF-482A-962F-2656A0DD7D8E}"/>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6" name="Rectangle 262">
          <a:extLst>
            <a:ext uri="{FF2B5EF4-FFF2-40B4-BE49-F238E27FC236}">
              <a16:creationId xmlns:a16="http://schemas.microsoft.com/office/drawing/2014/main" id="{2BD49E43-B6BF-4F5E-A7A9-19A53F4D96CF}"/>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7" name="Rectangle 263">
          <a:extLst>
            <a:ext uri="{FF2B5EF4-FFF2-40B4-BE49-F238E27FC236}">
              <a16:creationId xmlns:a16="http://schemas.microsoft.com/office/drawing/2014/main" id="{135C467D-B2A2-4969-A042-E68CC4F8E825}"/>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8" name="Rectangle 264">
          <a:extLst>
            <a:ext uri="{FF2B5EF4-FFF2-40B4-BE49-F238E27FC236}">
              <a16:creationId xmlns:a16="http://schemas.microsoft.com/office/drawing/2014/main" id="{D44731F7-A5CC-4F8A-9D55-13187C19666B}"/>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29" name="Rectangle 265">
          <a:extLst>
            <a:ext uri="{FF2B5EF4-FFF2-40B4-BE49-F238E27FC236}">
              <a16:creationId xmlns:a16="http://schemas.microsoft.com/office/drawing/2014/main" id="{3B052FCF-29D2-4F24-A633-1DF26A39CC0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30" name="Rectangle 266">
          <a:extLst>
            <a:ext uri="{FF2B5EF4-FFF2-40B4-BE49-F238E27FC236}">
              <a16:creationId xmlns:a16="http://schemas.microsoft.com/office/drawing/2014/main" id="{0F0D2BE7-BB73-4CBF-8805-D5FCF94C89D8}"/>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31" name="Rectangle 267">
          <a:extLst>
            <a:ext uri="{FF2B5EF4-FFF2-40B4-BE49-F238E27FC236}">
              <a16:creationId xmlns:a16="http://schemas.microsoft.com/office/drawing/2014/main" id="{3C859403-08E7-4BE7-B512-F5F5702BB04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32" name="Rectangle 268">
          <a:extLst>
            <a:ext uri="{FF2B5EF4-FFF2-40B4-BE49-F238E27FC236}">
              <a16:creationId xmlns:a16="http://schemas.microsoft.com/office/drawing/2014/main" id="{2C1BC4E3-D7BD-48B5-B491-7D02E4FB37B8}"/>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849</xdr:row>
      <xdr:rowOff>0</xdr:rowOff>
    </xdr:from>
    <xdr:ext cx="28854" cy="132665"/>
    <xdr:sp macro="" textlink="">
      <xdr:nvSpPr>
        <xdr:cNvPr id="333" name="Rectangle 269">
          <a:extLst>
            <a:ext uri="{FF2B5EF4-FFF2-40B4-BE49-F238E27FC236}">
              <a16:creationId xmlns:a16="http://schemas.microsoft.com/office/drawing/2014/main" id="{FCA44E39-611A-405F-ACAA-BDAD73589430}"/>
            </a:ext>
          </a:extLst>
        </xdr:cNvPr>
        <xdr:cNvSpPr>
          <a:spLocks noChangeArrowheads="1"/>
        </xdr:cNvSpPr>
      </xdr:nvSpPr>
      <xdr:spPr bwMode="auto">
        <a:xfrm>
          <a:off x="723900" y="2371629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34" name="Rectangle 238">
          <a:extLst>
            <a:ext uri="{FF2B5EF4-FFF2-40B4-BE49-F238E27FC236}">
              <a16:creationId xmlns:a16="http://schemas.microsoft.com/office/drawing/2014/main" id="{20F2A41F-B1DD-4053-B36F-12587A0AADF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35" name="Rectangle 249">
          <a:extLst>
            <a:ext uri="{FF2B5EF4-FFF2-40B4-BE49-F238E27FC236}">
              <a16:creationId xmlns:a16="http://schemas.microsoft.com/office/drawing/2014/main" id="{0CC7250D-80B0-4A5D-8E87-E91FB3DE7FE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36" name="Rectangle 251">
          <a:extLst>
            <a:ext uri="{FF2B5EF4-FFF2-40B4-BE49-F238E27FC236}">
              <a16:creationId xmlns:a16="http://schemas.microsoft.com/office/drawing/2014/main" id="{2AD45E52-CC46-45CB-967C-E46573166B7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37" name="Rectangle 253">
          <a:extLst>
            <a:ext uri="{FF2B5EF4-FFF2-40B4-BE49-F238E27FC236}">
              <a16:creationId xmlns:a16="http://schemas.microsoft.com/office/drawing/2014/main" id="{962BA4F6-BB22-4974-A1E3-A1B290829F1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38" name="Rectangle 254">
          <a:extLst>
            <a:ext uri="{FF2B5EF4-FFF2-40B4-BE49-F238E27FC236}">
              <a16:creationId xmlns:a16="http://schemas.microsoft.com/office/drawing/2014/main" id="{AD4D7285-04C2-4403-A66A-5B0DCF706DC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39" name="Rectangle 255">
          <a:extLst>
            <a:ext uri="{FF2B5EF4-FFF2-40B4-BE49-F238E27FC236}">
              <a16:creationId xmlns:a16="http://schemas.microsoft.com/office/drawing/2014/main" id="{86D152FA-BA9C-4A63-9E31-6A1B1A5EF90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0" name="Rectangle 257">
          <a:extLst>
            <a:ext uri="{FF2B5EF4-FFF2-40B4-BE49-F238E27FC236}">
              <a16:creationId xmlns:a16="http://schemas.microsoft.com/office/drawing/2014/main" id="{C96E79CB-3EB2-493F-8F12-42420B6809E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1" name="Rectangle 258">
          <a:extLst>
            <a:ext uri="{FF2B5EF4-FFF2-40B4-BE49-F238E27FC236}">
              <a16:creationId xmlns:a16="http://schemas.microsoft.com/office/drawing/2014/main" id="{520C3D4F-468E-4FC3-A421-965D70508C5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2" name="Rectangle 259">
          <a:extLst>
            <a:ext uri="{FF2B5EF4-FFF2-40B4-BE49-F238E27FC236}">
              <a16:creationId xmlns:a16="http://schemas.microsoft.com/office/drawing/2014/main" id="{D8D21157-A58A-4F3C-B874-3B19BE9947A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3" name="Rectangle 260">
          <a:extLst>
            <a:ext uri="{FF2B5EF4-FFF2-40B4-BE49-F238E27FC236}">
              <a16:creationId xmlns:a16="http://schemas.microsoft.com/office/drawing/2014/main" id="{B924EE52-2D79-4E46-BEFE-FF9AD5D9D15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4" name="Rectangle 261">
          <a:extLst>
            <a:ext uri="{FF2B5EF4-FFF2-40B4-BE49-F238E27FC236}">
              <a16:creationId xmlns:a16="http://schemas.microsoft.com/office/drawing/2014/main" id="{45F3B51F-0091-4308-95A2-54EC658F66D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5" name="Rectangle 262">
          <a:extLst>
            <a:ext uri="{FF2B5EF4-FFF2-40B4-BE49-F238E27FC236}">
              <a16:creationId xmlns:a16="http://schemas.microsoft.com/office/drawing/2014/main" id="{7A2A0D07-B200-46F5-AC35-FC9E37452F4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6" name="Rectangle 263">
          <a:extLst>
            <a:ext uri="{FF2B5EF4-FFF2-40B4-BE49-F238E27FC236}">
              <a16:creationId xmlns:a16="http://schemas.microsoft.com/office/drawing/2014/main" id="{943B7C8F-2149-45C3-BFE7-66C89337C9E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7" name="Rectangle 264">
          <a:extLst>
            <a:ext uri="{FF2B5EF4-FFF2-40B4-BE49-F238E27FC236}">
              <a16:creationId xmlns:a16="http://schemas.microsoft.com/office/drawing/2014/main" id="{56CEA178-B988-4C39-963C-C7CF7A50650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8" name="Rectangle 265">
          <a:extLst>
            <a:ext uri="{FF2B5EF4-FFF2-40B4-BE49-F238E27FC236}">
              <a16:creationId xmlns:a16="http://schemas.microsoft.com/office/drawing/2014/main" id="{F0D45535-E672-4A18-93ED-B5DD173E888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49" name="Rectangle 266">
          <a:extLst>
            <a:ext uri="{FF2B5EF4-FFF2-40B4-BE49-F238E27FC236}">
              <a16:creationId xmlns:a16="http://schemas.microsoft.com/office/drawing/2014/main" id="{12BCE2FA-A3AA-4DDA-B7BB-957832BAF1F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0" name="Rectangle 267">
          <a:extLst>
            <a:ext uri="{FF2B5EF4-FFF2-40B4-BE49-F238E27FC236}">
              <a16:creationId xmlns:a16="http://schemas.microsoft.com/office/drawing/2014/main" id="{AA900299-310A-4605-BE05-B4EAE77D073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1" name="Rectangle 268">
          <a:extLst>
            <a:ext uri="{FF2B5EF4-FFF2-40B4-BE49-F238E27FC236}">
              <a16:creationId xmlns:a16="http://schemas.microsoft.com/office/drawing/2014/main" id="{73186A0A-A34D-4FA6-BBDE-99872712F4B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2" name="Rectangle 269">
          <a:extLst>
            <a:ext uri="{FF2B5EF4-FFF2-40B4-BE49-F238E27FC236}">
              <a16:creationId xmlns:a16="http://schemas.microsoft.com/office/drawing/2014/main" id="{85C80A14-19A8-4F81-AF03-6BFCDAA7421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3" name="Rectangle 238">
          <a:extLst>
            <a:ext uri="{FF2B5EF4-FFF2-40B4-BE49-F238E27FC236}">
              <a16:creationId xmlns:a16="http://schemas.microsoft.com/office/drawing/2014/main" id="{43BB5141-EAA2-4F00-A84B-49A87BC6883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4" name="Rectangle 249">
          <a:extLst>
            <a:ext uri="{FF2B5EF4-FFF2-40B4-BE49-F238E27FC236}">
              <a16:creationId xmlns:a16="http://schemas.microsoft.com/office/drawing/2014/main" id="{F69A22B0-7FAD-4A85-AF2A-D6A24043CD7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5" name="Rectangle 251">
          <a:extLst>
            <a:ext uri="{FF2B5EF4-FFF2-40B4-BE49-F238E27FC236}">
              <a16:creationId xmlns:a16="http://schemas.microsoft.com/office/drawing/2014/main" id="{97BCFB18-50C4-4E40-94AD-01DF5EA4D87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6" name="Rectangle 253">
          <a:extLst>
            <a:ext uri="{FF2B5EF4-FFF2-40B4-BE49-F238E27FC236}">
              <a16:creationId xmlns:a16="http://schemas.microsoft.com/office/drawing/2014/main" id="{AA1B6701-6EEB-41E4-9A33-90CABF09553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7" name="Rectangle 254">
          <a:extLst>
            <a:ext uri="{FF2B5EF4-FFF2-40B4-BE49-F238E27FC236}">
              <a16:creationId xmlns:a16="http://schemas.microsoft.com/office/drawing/2014/main" id="{24A29A80-3F4E-49E8-86F5-2B3B61B016D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8" name="Rectangle 255">
          <a:extLst>
            <a:ext uri="{FF2B5EF4-FFF2-40B4-BE49-F238E27FC236}">
              <a16:creationId xmlns:a16="http://schemas.microsoft.com/office/drawing/2014/main" id="{3E8C2C14-9B58-4DAD-9554-122A3380D2E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59" name="Rectangle 257">
          <a:extLst>
            <a:ext uri="{FF2B5EF4-FFF2-40B4-BE49-F238E27FC236}">
              <a16:creationId xmlns:a16="http://schemas.microsoft.com/office/drawing/2014/main" id="{23D96BCE-4BF9-4892-90A4-713022F817A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0" name="Rectangle 258">
          <a:extLst>
            <a:ext uri="{FF2B5EF4-FFF2-40B4-BE49-F238E27FC236}">
              <a16:creationId xmlns:a16="http://schemas.microsoft.com/office/drawing/2014/main" id="{98652561-A4B0-4546-8F11-72650376A23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1" name="Rectangle 259">
          <a:extLst>
            <a:ext uri="{FF2B5EF4-FFF2-40B4-BE49-F238E27FC236}">
              <a16:creationId xmlns:a16="http://schemas.microsoft.com/office/drawing/2014/main" id="{B477327A-76F5-478E-BD84-55C54BE86E5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2" name="Rectangle 260">
          <a:extLst>
            <a:ext uri="{FF2B5EF4-FFF2-40B4-BE49-F238E27FC236}">
              <a16:creationId xmlns:a16="http://schemas.microsoft.com/office/drawing/2014/main" id="{B78EC485-A12C-4921-A19A-D05EF4C8F4B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3" name="Rectangle 261">
          <a:extLst>
            <a:ext uri="{FF2B5EF4-FFF2-40B4-BE49-F238E27FC236}">
              <a16:creationId xmlns:a16="http://schemas.microsoft.com/office/drawing/2014/main" id="{40373B52-A0F0-473B-A8CD-3FE0B02A3A3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4" name="Rectangle 262">
          <a:extLst>
            <a:ext uri="{FF2B5EF4-FFF2-40B4-BE49-F238E27FC236}">
              <a16:creationId xmlns:a16="http://schemas.microsoft.com/office/drawing/2014/main" id="{4D77176D-FA4F-4CB2-A44B-F00A0FB6FA4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5" name="Rectangle 263">
          <a:extLst>
            <a:ext uri="{FF2B5EF4-FFF2-40B4-BE49-F238E27FC236}">
              <a16:creationId xmlns:a16="http://schemas.microsoft.com/office/drawing/2014/main" id="{80D5776E-EC78-4211-82F5-A18414734E7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6" name="Rectangle 264">
          <a:extLst>
            <a:ext uri="{FF2B5EF4-FFF2-40B4-BE49-F238E27FC236}">
              <a16:creationId xmlns:a16="http://schemas.microsoft.com/office/drawing/2014/main" id="{BF083EA2-6739-47AF-9796-98B9706DA04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7" name="Rectangle 265">
          <a:extLst>
            <a:ext uri="{FF2B5EF4-FFF2-40B4-BE49-F238E27FC236}">
              <a16:creationId xmlns:a16="http://schemas.microsoft.com/office/drawing/2014/main" id="{EC0A6B15-55B4-4910-A5DE-AD2C2BA7150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8" name="Rectangle 266">
          <a:extLst>
            <a:ext uri="{FF2B5EF4-FFF2-40B4-BE49-F238E27FC236}">
              <a16:creationId xmlns:a16="http://schemas.microsoft.com/office/drawing/2014/main" id="{ED3B337C-F660-4A3B-AA02-3F571DB1461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69" name="Rectangle 267">
          <a:extLst>
            <a:ext uri="{FF2B5EF4-FFF2-40B4-BE49-F238E27FC236}">
              <a16:creationId xmlns:a16="http://schemas.microsoft.com/office/drawing/2014/main" id="{CA189DF3-C579-4411-A821-BB5A8B339AD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0" name="Rectangle 268">
          <a:extLst>
            <a:ext uri="{FF2B5EF4-FFF2-40B4-BE49-F238E27FC236}">
              <a16:creationId xmlns:a16="http://schemas.microsoft.com/office/drawing/2014/main" id="{FA8B519F-96D8-420E-B394-5457BE7A3AF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1" name="Rectangle 269">
          <a:extLst>
            <a:ext uri="{FF2B5EF4-FFF2-40B4-BE49-F238E27FC236}">
              <a16:creationId xmlns:a16="http://schemas.microsoft.com/office/drawing/2014/main" id="{2701CD4E-8545-41D9-AE98-ACBD906FB1F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2" name="Rectangle 238">
          <a:extLst>
            <a:ext uri="{FF2B5EF4-FFF2-40B4-BE49-F238E27FC236}">
              <a16:creationId xmlns:a16="http://schemas.microsoft.com/office/drawing/2014/main" id="{3FDD01ED-0627-4950-A8CD-CA4CE416497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3" name="Rectangle 249">
          <a:extLst>
            <a:ext uri="{FF2B5EF4-FFF2-40B4-BE49-F238E27FC236}">
              <a16:creationId xmlns:a16="http://schemas.microsoft.com/office/drawing/2014/main" id="{99E8E127-240F-4415-BF72-13C66A3A453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4" name="Rectangle 251">
          <a:extLst>
            <a:ext uri="{FF2B5EF4-FFF2-40B4-BE49-F238E27FC236}">
              <a16:creationId xmlns:a16="http://schemas.microsoft.com/office/drawing/2014/main" id="{00E0A5BA-3B70-4A7D-A06F-7F178653A91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5" name="Rectangle 253">
          <a:extLst>
            <a:ext uri="{FF2B5EF4-FFF2-40B4-BE49-F238E27FC236}">
              <a16:creationId xmlns:a16="http://schemas.microsoft.com/office/drawing/2014/main" id="{D64C3EC4-0729-459D-B420-B5540329C2B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6" name="Rectangle 254">
          <a:extLst>
            <a:ext uri="{FF2B5EF4-FFF2-40B4-BE49-F238E27FC236}">
              <a16:creationId xmlns:a16="http://schemas.microsoft.com/office/drawing/2014/main" id="{0B0D627D-0B61-4DDA-A4CB-C209E31C623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7" name="Rectangle 255">
          <a:extLst>
            <a:ext uri="{FF2B5EF4-FFF2-40B4-BE49-F238E27FC236}">
              <a16:creationId xmlns:a16="http://schemas.microsoft.com/office/drawing/2014/main" id="{20F6817E-C306-4ED4-8144-949FB08A419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8" name="Rectangle 257">
          <a:extLst>
            <a:ext uri="{FF2B5EF4-FFF2-40B4-BE49-F238E27FC236}">
              <a16:creationId xmlns:a16="http://schemas.microsoft.com/office/drawing/2014/main" id="{CAF83C08-0D60-49F6-875A-173CF2B675F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79" name="Rectangle 258">
          <a:extLst>
            <a:ext uri="{FF2B5EF4-FFF2-40B4-BE49-F238E27FC236}">
              <a16:creationId xmlns:a16="http://schemas.microsoft.com/office/drawing/2014/main" id="{39D950C5-FCEB-4015-9462-217B5B0AD70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0" name="Rectangle 259">
          <a:extLst>
            <a:ext uri="{FF2B5EF4-FFF2-40B4-BE49-F238E27FC236}">
              <a16:creationId xmlns:a16="http://schemas.microsoft.com/office/drawing/2014/main" id="{2626FC91-15CB-453D-B3C4-9E9529ACF35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1" name="Rectangle 260">
          <a:extLst>
            <a:ext uri="{FF2B5EF4-FFF2-40B4-BE49-F238E27FC236}">
              <a16:creationId xmlns:a16="http://schemas.microsoft.com/office/drawing/2014/main" id="{A306EB27-176F-4868-B537-21F29AB5D04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2" name="Rectangle 261">
          <a:extLst>
            <a:ext uri="{FF2B5EF4-FFF2-40B4-BE49-F238E27FC236}">
              <a16:creationId xmlns:a16="http://schemas.microsoft.com/office/drawing/2014/main" id="{1E6F4830-869F-4AAB-B6E2-55057F298B3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3" name="Rectangle 262">
          <a:extLst>
            <a:ext uri="{FF2B5EF4-FFF2-40B4-BE49-F238E27FC236}">
              <a16:creationId xmlns:a16="http://schemas.microsoft.com/office/drawing/2014/main" id="{098A84AE-D5D5-4EEB-BCC7-2F600FA2A53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4" name="Rectangle 263">
          <a:extLst>
            <a:ext uri="{FF2B5EF4-FFF2-40B4-BE49-F238E27FC236}">
              <a16:creationId xmlns:a16="http://schemas.microsoft.com/office/drawing/2014/main" id="{95615FCE-74B6-4FDE-BCE0-F9476FD137F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5" name="Rectangle 264">
          <a:extLst>
            <a:ext uri="{FF2B5EF4-FFF2-40B4-BE49-F238E27FC236}">
              <a16:creationId xmlns:a16="http://schemas.microsoft.com/office/drawing/2014/main" id="{5225FD66-5205-4371-A759-7CAA1E26864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6" name="Rectangle 265">
          <a:extLst>
            <a:ext uri="{FF2B5EF4-FFF2-40B4-BE49-F238E27FC236}">
              <a16:creationId xmlns:a16="http://schemas.microsoft.com/office/drawing/2014/main" id="{33D957C9-5EE9-4897-AA2E-4C93723C716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7" name="Rectangle 266">
          <a:extLst>
            <a:ext uri="{FF2B5EF4-FFF2-40B4-BE49-F238E27FC236}">
              <a16:creationId xmlns:a16="http://schemas.microsoft.com/office/drawing/2014/main" id="{9C13754B-59F5-45C5-9011-2980E07DBE3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8" name="Rectangle 267">
          <a:extLst>
            <a:ext uri="{FF2B5EF4-FFF2-40B4-BE49-F238E27FC236}">
              <a16:creationId xmlns:a16="http://schemas.microsoft.com/office/drawing/2014/main" id="{144E2128-E388-4B64-A467-6C193B2EE2A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89" name="Rectangle 268">
          <a:extLst>
            <a:ext uri="{FF2B5EF4-FFF2-40B4-BE49-F238E27FC236}">
              <a16:creationId xmlns:a16="http://schemas.microsoft.com/office/drawing/2014/main" id="{047F3F88-69EB-454E-A561-4BAC87EB1DF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0" name="Rectangle 269">
          <a:extLst>
            <a:ext uri="{FF2B5EF4-FFF2-40B4-BE49-F238E27FC236}">
              <a16:creationId xmlns:a16="http://schemas.microsoft.com/office/drawing/2014/main" id="{472139C0-D1DF-4EA6-8594-DE467321231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1" name="Rectangle 238">
          <a:extLst>
            <a:ext uri="{FF2B5EF4-FFF2-40B4-BE49-F238E27FC236}">
              <a16:creationId xmlns:a16="http://schemas.microsoft.com/office/drawing/2014/main" id="{6966CA4F-F763-455A-AABD-09C76FCAA64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2" name="Rectangle 249">
          <a:extLst>
            <a:ext uri="{FF2B5EF4-FFF2-40B4-BE49-F238E27FC236}">
              <a16:creationId xmlns:a16="http://schemas.microsoft.com/office/drawing/2014/main" id="{5B8454D7-3F54-4953-907D-16212DCB70C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3" name="Rectangle 251">
          <a:extLst>
            <a:ext uri="{FF2B5EF4-FFF2-40B4-BE49-F238E27FC236}">
              <a16:creationId xmlns:a16="http://schemas.microsoft.com/office/drawing/2014/main" id="{B9842A69-C1B9-4235-BCCE-51FE49103DC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4" name="Rectangle 253">
          <a:extLst>
            <a:ext uri="{FF2B5EF4-FFF2-40B4-BE49-F238E27FC236}">
              <a16:creationId xmlns:a16="http://schemas.microsoft.com/office/drawing/2014/main" id="{0EE28F19-285B-4117-B359-DE1D137CC6A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5" name="Rectangle 254">
          <a:extLst>
            <a:ext uri="{FF2B5EF4-FFF2-40B4-BE49-F238E27FC236}">
              <a16:creationId xmlns:a16="http://schemas.microsoft.com/office/drawing/2014/main" id="{2E78D9A2-E7E7-4713-BF88-EF81C7D85D9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6" name="Rectangle 255">
          <a:extLst>
            <a:ext uri="{FF2B5EF4-FFF2-40B4-BE49-F238E27FC236}">
              <a16:creationId xmlns:a16="http://schemas.microsoft.com/office/drawing/2014/main" id="{5B17BDD0-00B8-4144-88F9-AFF1797EFBF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7" name="Rectangle 257">
          <a:extLst>
            <a:ext uri="{FF2B5EF4-FFF2-40B4-BE49-F238E27FC236}">
              <a16:creationId xmlns:a16="http://schemas.microsoft.com/office/drawing/2014/main" id="{4C3BF18A-EFD2-45AE-85AC-DD170000E34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8" name="Rectangle 258">
          <a:extLst>
            <a:ext uri="{FF2B5EF4-FFF2-40B4-BE49-F238E27FC236}">
              <a16:creationId xmlns:a16="http://schemas.microsoft.com/office/drawing/2014/main" id="{1D301190-993C-48B0-895C-123A430C240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399" name="Rectangle 259">
          <a:extLst>
            <a:ext uri="{FF2B5EF4-FFF2-40B4-BE49-F238E27FC236}">
              <a16:creationId xmlns:a16="http://schemas.microsoft.com/office/drawing/2014/main" id="{414AF8CB-0EBF-4A2F-B2A7-4E05C189FED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0" name="Rectangle 260">
          <a:extLst>
            <a:ext uri="{FF2B5EF4-FFF2-40B4-BE49-F238E27FC236}">
              <a16:creationId xmlns:a16="http://schemas.microsoft.com/office/drawing/2014/main" id="{DB6D8864-867F-4FEB-BBF7-B494D0FC90A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1" name="Rectangle 261">
          <a:extLst>
            <a:ext uri="{FF2B5EF4-FFF2-40B4-BE49-F238E27FC236}">
              <a16:creationId xmlns:a16="http://schemas.microsoft.com/office/drawing/2014/main" id="{0502FFB7-DBC7-4A55-A31E-5257BBBDECF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2" name="Rectangle 262">
          <a:extLst>
            <a:ext uri="{FF2B5EF4-FFF2-40B4-BE49-F238E27FC236}">
              <a16:creationId xmlns:a16="http://schemas.microsoft.com/office/drawing/2014/main" id="{FC3458D2-E627-4F08-BB8C-62E992EF2C5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3" name="Rectangle 263">
          <a:extLst>
            <a:ext uri="{FF2B5EF4-FFF2-40B4-BE49-F238E27FC236}">
              <a16:creationId xmlns:a16="http://schemas.microsoft.com/office/drawing/2014/main" id="{40A62014-95AE-495A-BF98-D7B350A9E9C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4" name="Rectangle 264">
          <a:extLst>
            <a:ext uri="{FF2B5EF4-FFF2-40B4-BE49-F238E27FC236}">
              <a16:creationId xmlns:a16="http://schemas.microsoft.com/office/drawing/2014/main" id="{DB11C6D8-8934-4923-BF8D-44B5236ADD2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5" name="Rectangle 265">
          <a:extLst>
            <a:ext uri="{FF2B5EF4-FFF2-40B4-BE49-F238E27FC236}">
              <a16:creationId xmlns:a16="http://schemas.microsoft.com/office/drawing/2014/main" id="{13996AC0-7619-44B3-ACC9-88DDB43904E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6" name="Rectangle 266">
          <a:extLst>
            <a:ext uri="{FF2B5EF4-FFF2-40B4-BE49-F238E27FC236}">
              <a16:creationId xmlns:a16="http://schemas.microsoft.com/office/drawing/2014/main" id="{51D75CFA-AE6A-4B34-A9A0-081FDFA04E4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7" name="Rectangle 267">
          <a:extLst>
            <a:ext uri="{FF2B5EF4-FFF2-40B4-BE49-F238E27FC236}">
              <a16:creationId xmlns:a16="http://schemas.microsoft.com/office/drawing/2014/main" id="{F5CDFE1D-B37F-4DD3-AD0B-F49DBB99A3D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8" name="Rectangle 268">
          <a:extLst>
            <a:ext uri="{FF2B5EF4-FFF2-40B4-BE49-F238E27FC236}">
              <a16:creationId xmlns:a16="http://schemas.microsoft.com/office/drawing/2014/main" id="{5C0EF560-723E-45CE-A7A3-07C249C5B16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09" name="Rectangle 269">
          <a:extLst>
            <a:ext uri="{FF2B5EF4-FFF2-40B4-BE49-F238E27FC236}">
              <a16:creationId xmlns:a16="http://schemas.microsoft.com/office/drawing/2014/main" id="{DC50044C-E4AC-45D3-B279-9A67339E4C3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267</xdr:row>
      <xdr:rowOff>0</xdr:rowOff>
    </xdr:from>
    <xdr:ext cx="28854" cy="132665"/>
    <xdr:sp macro="" textlink="">
      <xdr:nvSpPr>
        <xdr:cNvPr id="410" name="Rectangle 269">
          <a:extLst>
            <a:ext uri="{FF2B5EF4-FFF2-40B4-BE49-F238E27FC236}">
              <a16:creationId xmlns:a16="http://schemas.microsoft.com/office/drawing/2014/main" id="{8965ACEC-D043-45AE-B2E6-043CC91949E7}"/>
            </a:ext>
          </a:extLst>
        </xdr:cNvPr>
        <xdr:cNvSpPr>
          <a:spLocks noChangeArrowheads="1"/>
        </xdr:cNvSpPr>
      </xdr:nvSpPr>
      <xdr:spPr bwMode="auto">
        <a:xfrm>
          <a:off x="3399155"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1" name="Rectangle 238">
          <a:extLst>
            <a:ext uri="{FF2B5EF4-FFF2-40B4-BE49-F238E27FC236}">
              <a16:creationId xmlns:a16="http://schemas.microsoft.com/office/drawing/2014/main" id="{3A118423-A67D-4EDB-9846-BFA0C46F6BF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2" name="Rectangle 249">
          <a:extLst>
            <a:ext uri="{FF2B5EF4-FFF2-40B4-BE49-F238E27FC236}">
              <a16:creationId xmlns:a16="http://schemas.microsoft.com/office/drawing/2014/main" id="{600BD425-2822-47B0-888C-7CC01639A2D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3" name="Rectangle 251">
          <a:extLst>
            <a:ext uri="{FF2B5EF4-FFF2-40B4-BE49-F238E27FC236}">
              <a16:creationId xmlns:a16="http://schemas.microsoft.com/office/drawing/2014/main" id="{087A2192-D31A-4A87-8089-17C36F6A59A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4" name="Rectangle 253">
          <a:extLst>
            <a:ext uri="{FF2B5EF4-FFF2-40B4-BE49-F238E27FC236}">
              <a16:creationId xmlns:a16="http://schemas.microsoft.com/office/drawing/2014/main" id="{D0201B0C-B6AB-428B-9621-90B060E3463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5" name="Rectangle 254">
          <a:extLst>
            <a:ext uri="{FF2B5EF4-FFF2-40B4-BE49-F238E27FC236}">
              <a16:creationId xmlns:a16="http://schemas.microsoft.com/office/drawing/2014/main" id="{44998CD3-BC1E-4C4F-AB70-280808CEF59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6" name="Rectangle 255">
          <a:extLst>
            <a:ext uri="{FF2B5EF4-FFF2-40B4-BE49-F238E27FC236}">
              <a16:creationId xmlns:a16="http://schemas.microsoft.com/office/drawing/2014/main" id="{B57C07FF-02B6-4213-A5DD-181DEBDC7CA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7" name="Rectangle 257">
          <a:extLst>
            <a:ext uri="{FF2B5EF4-FFF2-40B4-BE49-F238E27FC236}">
              <a16:creationId xmlns:a16="http://schemas.microsoft.com/office/drawing/2014/main" id="{FE27CB59-44DF-4923-948E-2E63CE811A3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8" name="Rectangle 258">
          <a:extLst>
            <a:ext uri="{FF2B5EF4-FFF2-40B4-BE49-F238E27FC236}">
              <a16:creationId xmlns:a16="http://schemas.microsoft.com/office/drawing/2014/main" id="{0076E5CF-AFB1-46B8-B7FE-094D848047D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19" name="Rectangle 259">
          <a:extLst>
            <a:ext uri="{FF2B5EF4-FFF2-40B4-BE49-F238E27FC236}">
              <a16:creationId xmlns:a16="http://schemas.microsoft.com/office/drawing/2014/main" id="{97FDD066-5414-4F2D-9964-4C0F25C0016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0" name="Rectangle 260">
          <a:extLst>
            <a:ext uri="{FF2B5EF4-FFF2-40B4-BE49-F238E27FC236}">
              <a16:creationId xmlns:a16="http://schemas.microsoft.com/office/drawing/2014/main" id="{34E8D76E-C30C-4349-A07D-5AD17D5C41C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1" name="Rectangle 261">
          <a:extLst>
            <a:ext uri="{FF2B5EF4-FFF2-40B4-BE49-F238E27FC236}">
              <a16:creationId xmlns:a16="http://schemas.microsoft.com/office/drawing/2014/main" id="{24CA5FE4-85FB-4B6F-984D-619E005FF34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2" name="Rectangle 262">
          <a:extLst>
            <a:ext uri="{FF2B5EF4-FFF2-40B4-BE49-F238E27FC236}">
              <a16:creationId xmlns:a16="http://schemas.microsoft.com/office/drawing/2014/main" id="{1276A537-5CB0-45F6-8229-857D79C2874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3" name="Rectangle 263">
          <a:extLst>
            <a:ext uri="{FF2B5EF4-FFF2-40B4-BE49-F238E27FC236}">
              <a16:creationId xmlns:a16="http://schemas.microsoft.com/office/drawing/2014/main" id="{1776506B-1B32-40C0-8F9C-44A2CCAB3ED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4" name="Rectangle 264">
          <a:extLst>
            <a:ext uri="{FF2B5EF4-FFF2-40B4-BE49-F238E27FC236}">
              <a16:creationId xmlns:a16="http://schemas.microsoft.com/office/drawing/2014/main" id="{2C8335D6-7B23-4359-B01F-D5393CEEC54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5" name="Rectangle 265">
          <a:extLst>
            <a:ext uri="{FF2B5EF4-FFF2-40B4-BE49-F238E27FC236}">
              <a16:creationId xmlns:a16="http://schemas.microsoft.com/office/drawing/2014/main" id="{1A29014C-6E6F-4D11-8B52-D4F38FB8247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6" name="Rectangle 266">
          <a:extLst>
            <a:ext uri="{FF2B5EF4-FFF2-40B4-BE49-F238E27FC236}">
              <a16:creationId xmlns:a16="http://schemas.microsoft.com/office/drawing/2014/main" id="{02A8A9C4-1294-40B2-B5B2-7700A7E1A58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7" name="Rectangle 267">
          <a:extLst>
            <a:ext uri="{FF2B5EF4-FFF2-40B4-BE49-F238E27FC236}">
              <a16:creationId xmlns:a16="http://schemas.microsoft.com/office/drawing/2014/main" id="{BE28C75D-AED6-4E33-90F7-EFDE6787BE6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8" name="Rectangle 268">
          <a:extLst>
            <a:ext uri="{FF2B5EF4-FFF2-40B4-BE49-F238E27FC236}">
              <a16:creationId xmlns:a16="http://schemas.microsoft.com/office/drawing/2014/main" id="{917624AE-ADEF-4568-B564-534F23587C0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29" name="Rectangle 269">
          <a:extLst>
            <a:ext uri="{FF2B5EF4-FFF2-40B4-BE49-F238E27FC236}">
              <a16:creationId xmlns:a16="http://schemas.microsoft.com/office/drawing/2014/main" id="{CEF9A81D-4B16-4B5C-92B7-1686DB8B88A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0" name="Rectangle 238">
          <a:extLst>
            <a:ext uri="{FF2B5EF4-FFF2-40B4-BE49-F238E27FC236}">
              <a16:creationId xmlns:a16="http://schemas.microsoft.com/office/drawing/2014/main" id="{AC749DEF-9FEE-42BA-97ED-91C0D33C5CA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1" name="Rectangle 249">
          <a:extLst>
            <a:ext uri="{FF2B5EF4-FFF2-40B4-BE49-F238E27FC236}">
              <a16:creationId xmlns:a16="http://schemas.microsoft.com/office/drawing/2014/main" id="{E397C1AA-E9A0-41C4-972E-CF594F8F237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2" name="Rectangle 251">
          <a:extLst>
            <a:ext uri="{FF2B5EF4-FFF2-40B4-BE49-F238E27FC236}">
              <a16:creationId xmlns:a16="http://schemas.microsoft.com/office/drawing/2014/main" id="{43C2CEFA-6045-42DD-88BC-D1FBE365090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3" name="Rectangle 253">
          <a:extLst>
            <a:ext uri="{FF2B5EF4-FFF2-40B4-BE49-F238E27FC236}">
              <a16:creationId xmlns:a16="http://schemas.microsoft.com/office/drawing/2014/main" id="{48A2E862-A5E5-4A40-9105-CB36581CB67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4" name="Rectangle 254">
          <a:extLst>
            <a:ext uri="{FF2B5EF4-FFF2-40B4-BE49-F238E27FC236}">
              <a16:creationId xmlns:a16="http://schemas.microsoft.com/office/drawing/2014/main" id="{428985CA-23FD-43AD-8535-2FEDB41A72D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5" name="Rectangle 255">
          <a:extLst>
            <a:ext uri="{FF2B5EF4-FFF2-40B4-BE49-F238E27FC236}">
              <a16:creationId xmlns:a16="http://schemas.microsoft.com/office/drawing/2014/main" id="{ACC030C9-5F07-4004-AE46-9C9EF082E4E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6" name="Rectangle 257">
          <a:extLst>
            <a:ext uri="{FF2B5EF4-FFF2-40B4-BE49-F238E27FC236}">
              <a16:creationId xmlns:a16="http://schemas.microsoft.com/office/drawing/2014/main" id="{8569E90A-D648-452C-9E56-09F8DA4BB33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7" name="Rectangle 258">
          <a:extLst>
            <a:ext uri="{FF2B5EF4-FFF2-40B4-BE49-F238E27FC236}">
              <a16:creationId xmlns:a16="http://schemas.microsoft.com/office/drawing/2014/main" id="{71FEBE13-D75A-45BD-BD8E-5EE42DD13C7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8" name="Rectangle 259">
          <a:extLst>
            <a:ext uri="{FF2B5EF4-FFF2-40B4-BE49-F238E27FC236}">
              <a16:creationId xmlns:a16="http://schemas.microsoft.com/office/drawing/2014/main" id="{10E8645C-25F1-49A3-B3D6-6DAE2D1F23A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39" name="Rectangle 260">
          <a:extLst>
            <a:ext uri="{FF2B5EF4-FFF2-40B4-BE49-F238E27FC236}">
              <a16:creationId xmlns:a16="http://schemas.microsoft.com/office/drawing/2014/main" id="{97FC3660-DC9B-4D4F-BBC9-C77544DF19E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0" name="Rectangle 261">
          <a:extLst>
            <a:ext uri="{FF2B5EF4-FFF2-40B4-BE49-F238E27FC236}">
              <a16:creationId xmlns:a16="http://schemas.microsoft.com/office/drawing/2014/main" id="{292224B7-94E9-4783-990C-EEC43BF82FA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1" name="Rectangle 262">
          <a:extLst>
            <a:ext uri="{FF2B5EF4-FFF2-40B4-BE49-F238E27FC236}">
              <a16:creationId xmlns:a16="http://schemas.microsoft.com/office/drawing/2014/main" id="{EB3C9B3F-8000-42E4-8116-F8CC491F0B3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2" name="Rectangle 263">
          <a:extLst>
            <a:ext uri="{FF2B5EF4-FFF2-40B4-BE49-F238E27FC236}">
              <a16:creationId xmlns:a16="http://schemas.microsoft.com/office/drawing/2014/main" id="{0294D676-C7CF-4862-BDA2-29569182F48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3" name="Rectangle 264">
          <a:extLst>
            <a:ext uri="{FF2B5EF4-FFF2-40B4-BE49-F238E27FC236}">
              <a16:creationId xmlns:a16="http://schemas.microsoft.com/office/drawing/2014/main" id="{4C40A02D-1206-4C87-8FBA-0AB798D5371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4" name="Rectangle 265">
          <a:extLst>
            <a:ext uri="{FF2B5EF4-FFF2-40B4-BE49-F238E27FC236}">
              <a16:creationId xmlns:a16="http://schemas.microsoft.com/office/drawing/2014/main" id="{097BA7E5-AF72-4BB9-921E-45C5933BFA5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5" name="Rectangle 266">
          <a:extLst>
            <a:ext uri="{FF2B5EF4-FFF2-40B4-BE49-F238E27FC236}">
              <a16:creationId xmlns:a16="http://schemas.microsoft.com/office/drawing/2014/main" id="{A1D23BED-C844-49B2-87AE-10CACCD8C2F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6" name="Rectangle 267">
          <a:extLst>
            <a:ext uri="{FF2B5EF4-FFF2-40B4-BE49-F238E27FC236}">
              <a16:creationId xmlns:a16="http://schemas.microsoft.com/office/drawing/2014/main" id="{0F262BB5-E12E-4D77-ADD6-FB42BF510D2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7" name="Rectangle 268">
          <a:extLst>
            <a:ext uri="{FF2B5EF4-FFF2-40B4-BE49-F238E27FC236}">
              <a16:creationId xmlns:a16="http://schemas.microsoft.com/office/drawing/2014/main" id="{FDC4B27B-E700-48DC-B068-E9257EC8503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8" name="Rectangle 269">
          <a:extLst>
            <a:ext uri="{FF2B5EF4-FFF2-40B4-BE49-F238E27FC236}">
              <a16:creationId xmlns:a16="http://schemas.microsoft.com/office/drawing/2014/main" id="{D9DECC1B-68DD-445A-BBDB-F0D4776D46F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49" name="Rectangle 238">
          <a:extLst>
            <a:ext uri="{FF2B5EF4-FFF2-40B4-BE49-F238E27FC236}">
              <a16:creationId xmlns:a16="http://schemas.microsoft.com/office/drawing/2014/main" id="{C69117F4-36E4-4178-B40A-B3D4509A067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0" name="Rectangle 249">
          <a:extLst>
            <a:ext uri="{FF2B5EF4-FFF2-40B4-BE49-F238E27FC236}">
              <a16:creationId xmlns:a16="http://schemas.microsoft.com/office/drawing/2014/main" id="{F80B1C74-F074-48DF-BD64-6818A038846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1" name="Rectangle 251">
          <a:extLst>
            <a:ext uri="{FF2B5EF4-FFF2-40B4-BE49-F238E27FC236}">
              <a16:creationId xmlns:a16="http://schemas.microsoft.com/office/drawing/2014/main" id="{B5314520-D1EA-4E35-97D2-1EB1BED2C65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2" name="Rectangle 253">
          <a:extLst>
            <a:ext uri="{FF2B5EF4-FFF2-40B4-BE49-F238E27FC236}">
              <a16:creationId xmlns:a16="http://schemas.microsoft.com/office/drawing/2014/main" id="{6B532A27-D591-4463-951F-1CA6B869AC1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3" name="Rectangle 254">
          <a:extLst>
            <a:ext uri="{FF2B5EF4-FFF2-40B4-BE49-F238E27FC236}">
              <a16:creationId xmlns:a16="http://schemas.microsoft.com/office/drawing/2014/main" id="{1D87DBFF-346E-47DE-B5E1-16455E71545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4" name="Rectangle 255">
          <a:extLst>
            <a:ext uri="{FF2B5EF4-FFF2-40B4-BE49-F238E27FC236}">
              <a16:creationId xmlns:a16="http://schemas.microsoft.com/office/drawing/2014/main" id="{8739EE5E-61FE-448A-BCA8-2D86D5F2F96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5" name="Rectangle 257">
          <a:extLst>
            <a:ext uri="{FF2B5EF4-FFF2-40B4-BE49-F238E27FC236}">
              <a16:creationId xmlns:a16="http://schemas.microsoft.com/office/drawing/2014/main" id="{8B8A57E4-2700-423B-AC4C-DA58F40FE4D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6" name="Rectangle 258">
          <a:extLst>
            <a:ext uri="{FF2B5EF4-FFF2-40B4-BE49-F238E27FC236}">
              <a16:creationId xmlns:a16="http://schemas.microsoft.com/office/drawing/2014/main" id="{4EB7E650-20E9-434B-9030-E9510EB5142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7" name="Rectangle 259">
          <a:extLst>
            <a:ext uri="{FF2B5EF4-FFF2-40B4-BE49-F238E27FC236}">
              <a16:creationId xmlns:a16="http://schemas.microsoft.com/office/drawing/2014/main" id="{8399E3B3-C44F-4C77-9E11-623D45CD401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8" name="Rectangle 260">
          <a:extLst>
            <a:ext uri="{FF2B5EF4-FFF2-40B4-BE49-F238E27FC236}">
              <a16:creationId xmlns:a16="http://schemas.microsoft.com/office/drawing/2014/main" id="{D989D4DD-7681-4D9D-934B-874EC507D0E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59" name="Rectangle 261">
          <a:extLst>
            <a:ext uri="{FF2B5EF4-FFF2-40B4-BE49-F238E27FC236}">
              <a16:creationId xmlns:a16="http://schemas.microsoft.com/office/drawing/2014/main" id="{A99F5C4A-4913-49B0-A725-1775EC638D4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0" name="Rectangle 262">
          <a:extLst>
            <a:ext uri="{FF2B5EF4-FFF2-40B4-BE49-F238E27FC236}">
              <a16:creationId xmlns:a16="http://schemas.microsoft.com/office/drawing/2014/main" id="{6C1B0C5E-D1EF-41BD-A334-85803A561C4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1" name="Rectangle 263">
          <a:extLst>
            <a:ext uri="{FF2B5EF4-FFF2-40B4-BE49-F238E27FC236}">
              <a16:creationId xmlns:a16="http://schemas.microsoft.com/office/drawing/2014/main" id="{DC6815F4-628C-4485-8BA7-E998417EBE1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2" name="Rectangle 264">
          <a:extLst>
            <a:ext uri="{FF2B5EF4-FFF2-40B4-BE49-F238E27FC236}">
              <a16:creationId xmlns:a16="http://schemas.microsoft.com/office/drawing/2014/main" id="{1CC2D174-BE65-4216-81E0-DB7728B027F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3" name="Rectangle 265">
          <a:extLst>
            <a:ext uri="{FF2B5EF4-FFF2-40B4-BE49-F238E27FC236}">
              <a16:creationId xmlns:a16="http://schemas.microsoft.com/office/drawing/2014/main" id="{8E1EEC37-48FD-47B5-B057-D6DB7E6278B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4" name="Rectangle 266">
          <a:extLst>
            <a:ext uri="{FF2B5EF4-FFF2-40B4-BE49-F238E27FC236}">
              <a16:creationId xmlns:a16="http://schemas.microsoft.com/office/drawing/2014/main" id="{0FD2BA7B-9995-446A-8B3D-6135021ECFB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5" name="Rectangle 267">
          <a:extLst>
            <a:ext uri="{FF2B5EF4-FFF2-40B4-BE49-F238E27FC236}">
              <a16:creationId xmlns:a16="http://schemas.microsoft.com/office/drawing/2014/main" id="{9D8BCF2A-86E5-402E-A0B7-470E17AE6AA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6" name="Rectangle 268">
          <a:extLst>
            <a:ext uri="{FF2B5EF4-FFF2-40B4-BE49-F238E27FC236}">
              <a16:creationId xmlns:a16="http://schemas.microsoft.com/office/drawing/2014/main" id="{2C471601-86C2-4B8D-B264-5CC20092C89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7" name="Rectangle 269">
          <a:extLst>
            <a:ext uri="{FF2B5EF4-FFF2-40B4-BE49-F238E27FC236}">
              <a16:creationId xmlns:a16="http://schemas.microsoft.com/office/drawing/2014/main" id="{E6C4510D-822F-4945-BF1A-66C15F6EC83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267</xdr:row>
      <xdr:rowOff>0</xdr:rowOff>
    </xdr:from>
    <xdr:ext cx="28854" cy="132665"/>
    <xdr:sp macro="" textlink="">
      <xdr:nvSpPr>
        <xdr:cNvPr id="468" name="Rectangle 269">
          <a:extLst>
            <a:ext uri="{FF2B5EF4-FFF2-40B4-BE49-F238E27FC236}">
              <a16:creationId xmlns:a16="http://schemas.microsoft.com/office/drawing/2014/main" id="{39448DF9-E2F9-4689-9B27-A013713F288A}"/>
            </a:ext>
          </a:extLst>
        </xdr:cNvPr>
        <xdr:cNvSpPr>
          <a:spLocks noChangeArrowheads="1"/>
        </xdr:cNvSpPr>
      </xdr:nvSpPr>
      <xdr:spPr bwMode="auto">
        <a:xfrm>
          <a:off x="3399155"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69" name="Rectangle 238">
          <a:extLst>
            <a:ext uri="{FF2B5EF4-FFF2-40B4-BE49-F238E27FC236}">
              <a16:creationId xmlns:a16="http://schemas.microsoft.com/office/drawing/2014/main" id="{2217A588-8030-4D7D-AB4A-2AE14A68870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0" name="Rectangle 249">
          <a:extLst>
            <a:ext uri="{FF2B5EF4-FFF2-40B4-BE49-F238E27FC236}">
              <a16:creationId xmlns:a16="http://schemas.microsoft.com/office/drawing/2014/main" id="{073BB84E-47C7-40FA-82C9-16F427627E8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1" name="Rectangle 251">
          <a:extLst>
            <a:ext uri="{FF2B5EF4-FFF2-40B4-BE49-F238E27FC236}">
              <a16:creationId xmlns:a16="http://schemas.microsoft.com/office/drawing/2014/main" id="{C5B56EB5-FF66-4BFD-8CC1-16308102381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2" name="Rectangle 253">
          <a:extLst>
            <a:ext uri="{FF2B5EF4-FFF2-40B4-BE49-F238E27FC236}">
              <a16:creationId xmlns:a16="http://schemas.microsoft.com/office/drawing/2014/main" id="{4F51EB8F-1F39-497B-99FA-5480C16960A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3" name="Rectangle 254">
          <a:extLst>
            <a:ext uri="{FF2B5EF4-FFF2-40B4-BE49-F238E27FC236}">
              <a16:creationId xmlns:a16="http://schemas.microsoft.com/office/drawing/2014/main" id="{EACF5B26-5426-47AC-A183-44037C45871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4" name="Rectangle 255">
          <a:extLst>
            <a:ext uri="{FF2B5EF4-FFF2-40B4-BE49-F238E27FC236}">
              <a16:creationId xmlns:a16="http://schemas.microsoft.com/office/drawing/2014/main" id="{3FE47938-DC74-4A4A-86FA-7011AB4013C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5" name="Rectangle 257">
          <a:extLst>
            <a:ext uri="{FF2B5EF4-FFF2-40B4-BE49-F238E27FC236}">
              <a16:creationId xmlns:a16="http://schemas.microsoft.com/office/drawing/2014/main" id="{A132951D-B714-4A32-B68F-A17308AA181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6" name="Rectangle 258">
          <a:extLst>
            <a:ext uri="{FF2B5EF4-FFF2-40B4-BE49-F238E27FC236}">
              <a16:creationId xmlns:a16="http://schemas.microsoft.com/office/drawing/2014/main" id="{8722DC43-B8BD-4B46-8813-263ED525169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7" name="Rectangle 259">
          <a:extLst>
            <a:ext uri="{FF2B5EF4-FFF2-40B4-BE49-F238E27FC236}">
              <a16:creationId xmlns:a16="http://schemas.microsoft.com/office/drawing/2014/main" id="{0E607FBA-B066-46BB-934F-59D71E68BA4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8" name="Rectangle 260">
          <a:extLst>
            <a:ext uri="{FF2B5EF4-FFF2-40B4-BE49-F238E27FC236}">
              <a16:creationId xmlns:a16="http://schemas.microsoft.com/office/drawing/2014/main" id="{023C6768-37E7-4BF5-B5CD-9D21BBB54DB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79" name="Rectangle 261">
          <a:extLst>
            <a:ext uri="{FF2B5EF4-FFF2-40B4-BE49-F238E27FC236}">
              <a16:creationId xmlns:a16="http://schemas.microsoft.com/office/drawing/2014/main" id="{7570D995-962F-464E-B228-4535EEE6500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0" name="Rectangle 262">
          <a:extLst>
            <a:ext uri="{FF2B5EF4-FFF2-40B4-BE49-F238E27FC236}">
              <a16:creationId xmlns:a16="http://schemas.microsoft.com/office/drawing/2014/main" id="{5F58A2DB-5E59-434D-A072-09BECEC317B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1" name="Rectangle 263">
          <a:extLst>
            <a:ext uri="{FF2B5EF4-FFF2-40B4-BE49-F238E27FC236}">
              <a16:creationId xmlns:a16="http://schemas.microsoft.com/office/drawing/2014/main" id="{8B9B163C-ABB6-4631-8FE7-7631AA3088E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2" name="Rectangle 264">
          <a:extLst>
            <a:ext uri="{FF2B5EF4-FFF2-40B4-BE49-F238E27FC236}">
              <a16:creationId xmlns:a16="http://schemas.microsoft.com/office/drawing/2014/main" id="{C6AC5F88-346C-442C-8834-D9B3BDBEA35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3" name="Rectangle 265">
          <a:extLst>
            <a:ext uri="{FF2B5EF4-FFF2-40B4-BE49-F238E27FC236}">
              <a16:creationId xmlns:a16="http://schemas.microsoft.com/office/drawing/2014/main" id="{6BC72C2F-6A45-4F99-AA74-625FC70451F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4" name="Rectangle 266">
          <a:extLst>
            <a:ext uri="{FF2B5EF4-FFF2-40B4-BE49-F238E27FC236}">
              <a16:creationId xmlns:a16="http://schemas.microsoft.com/office/drawing/2014/main" id="{B0FFAF02-ECDA-4F48-A654-982483560A5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5" name="Rectangle 267">
          <a:extLst>
            <a:ext uri="{FF2B5EF4-FFF2-40B4-BE49-F238E27FC236}">
              <a16:creationId xmlns:a16="http://schemas.microsoft.com/office/drawing/2014/main" id="{9F90705A-A29D-4719-8B9E-9C0B19686AE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6" name="Rectangle 268">
          <a:extLst>
            <a:ext uri="{FF2B5EF4-FFF2-40B4-BE49-F238E27FC236}">
              <a16:creationId xmlns:a16="http://schemas.microsoft.com/office/drawing/2014/main" id="{4C9A73F9-66A1-40A8-BE4D-C56F429118C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7" name="Rectangle 269">
          <a:extLst>
            <a:ext uri="{FF2B5EF4-FFF2-40B4-BE49-F238E27FC236}">
              <a16:creationId xmlns:a16="http://schemas.microsoft.com/office/drawing/2014/main" id="{B24BFF6D-B3E5-4978-9E59-784A35912CA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8" name="Rectangle 238">
          <a:extLst>
            <a:ext uri="{FF2B5EF4-FFF2-40B4-BE49-F238E27FC236}">
              <a16:creationId xmlns:a16="http://schemas.microsoft.com/office/drawing/2014/main" id="{8E95A82F-3ED2-4733-BD1F-1936E008409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89" name="Rectangle 249">
          <a:extLst>
            <a:ext uri="{FF2B5EF4-FFF2-40B4-BE49-F238E27FC236}">
              <a16:creationId xmlns:a16="http://schemas.microsoft.com/office/drawing/2014/main" id="{4A069293-F379-473E-92F0-6F8A5852A0D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0" name="Rectangle 251">
          <a:extLst>
            <a:ext uri="{FF2B5EF4-FFF2-40B4-BE49-F238E27FC236}">
              <a16:creationId xmlns:a16="http://schemas.microsoft.com/office/drawing/2014/main" id="{1C4B5635-D3C9-48BC-8371-F4796FA18A3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1" name="Rectangle 253">
          <a:extLst>
            <a:ext uri="{FF2B5EF4-FFF2-40B4-BE49-F238E27FC236}">
              <a16:creationId xmlns:a16="http://schemas.microsoft.com/office/drawing/2014/main" id="{14AD74D3-C89E-4A86-BDEA-093F59CA8AF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2" name="Rectangle 254">
          <a:extLst>
            <a:ext uri="{FF2B5EF4-FFF2-40B4-BE49-F238E27FC236}">
              <a16:creationId xmlns:a16="http://schemas.microsoft.com/office/drawing/2014/main" id="{49A68F8D-FD98-483B-B82A-DA9305C30CE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3" name="Rectangle 255">
          <a:extLst>
            <a:ext uri="{FF2B5EF4-FFF2-40B4-BE49-F238E27FC236}">
              <a16:creationId xmlns:a16="http://schemas.microsoft.com/office/drawing/2014/main" id="{9BB7F93A-9C91-42AE-8ECA-5346FE02968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4" name="Rectangle 257">
          <a:extLst>
            <a:ext uri="{FF2B5EF4-FFF2-40B4-BE49-F238E27FC236}">
              <a16:creationId xmlns:a16="http://schemas.microsoft.com/office/drawing/2014/main" id="{231DD681-ECEF-4AEC-B8F5-F9BA3F1F6B5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5" name="Rectangle 258">
          <a:extLst>
            <a:ext uri="{FF2B5EF4-FFF2-40B4-BE49-F238E27FC236}">
              <a16:creationId xmlns:a16="http://schemas.microsoft.com/office/drawing/2014/main" id="{E5311A44-9B54-493F-BC29-4D8F4172362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6" name="Rectangle 259">
          <a:extLst>
            <a:ext uri="{FF2B5EF4-FFF2-40B4-BE49-F238E27FC236}">
              <a16:creationId xmlns:a16="http://schemas.microsoft.com/office/drawing/2014/main" id="{1005591F-4FAD-4F3B-9A74-7C1027EC8E2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7" name="Rectangle 260">
          <a:extLst>
            <a:ext uri="{FF2B5EF4-FFF2-40B4-BE49-F238E27FC236}">
              <a16:creationId xmlns:a16="http://schemas.microsoft.com/office/drawing/2014/main" id="{78EF836E-30AE-4383-A6E8-2B9EBC67521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8" name="Rectangle 261">
          <a:extLst>
            <a:ext uri="{FF2B5EF4-FFF2-40B4-BE49-F238E27FC236}">
              <a16:creationId xmlns:a16="http://schemas.microsoft.com/office/drawing/2014/main" id="{102230FC-6D22-4896-AC9F-2C03CBD25C4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499" name="Rectangle 262">
          <a:extLst>
            <a:ext uri="{FF2B5EF4-FFF2-40B4-BE49-F238E27FC236}">
              <a16:creationId xmlns:a16="http://schemas.microsoft.com/office/drawing/2014/main" id="{28A1C28F-36FA-4C6C-A46F-65C7CAEFE77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0" name="Rectangle 263">
          <a:extLst>
            <a:ext uri="{FF2B5EF4-FFF2-40B4-BE49-F238E27FC236}">
              <a16:creationId xmlns:a16="http://schemas.microsoft.com/office/drawing/2014/main" id="{3BCEE437-EABD-4D6A-BE93-69B0B3E2436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1" name="Rectangle 264">
          <a:extLst>
            <a:ext uri="{FF2B5EF4-FFF2-40B4-BE49-F238E27FC236}">
              <a16:creationId xmlns:a16="http://schemas.microsoft.com/office/drawing/2014/main" id="{573FDC90-C52A-4917-8986-72E89B7FA30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2" name="Rectangle 265">
          <a:extLst>
            <a:ext uri="{FF2B5EF4-FFF2-40B4-BE49-F238E27FC236}">
              <a16:creationId xmlns:a16="http://schemas.microsoft.com/office/drawing/2014/main" id="{12F14A2C-BF54-46E7-A1BA-36095806A7A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3" name="Rectangle 266">
          <a:extLst>
            <a:ext uri="{FF2B5EF4-FFF2-40B4-BE49-F238E27FC236}">
              <a16:creationId xmlns:a16="http://schemas.microsoft.com/office/drawing/2014/main" id="{F89B50AA-C06B-47C5-9A2C-FDE4C8A68DF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4" name="Rectangle 267">
          <a:extLst>
            <a:ext uri="{FF2B5EF4-FFF2-40B4-BE49-F238E27FC236}">
              <a16:creationId xmlns:a16="http://schemas.microsoft.com/office/drawing/2014/main" id="{C8A214D8-3B73-44DB-8702-E77821AE172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5" name="Rectangle 268">
          <a:extLst>
            <a:ext uri="{FF2B5EF4-FFF2-40B4-BE49-F238E27FC236}">
              <a16:creationId xmlns:a16="http://schemas.microsoft.com/office/drawing/2014/main" id="{E05D8169-C1ED-4AB0-BE03-8EB37C7CE5C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6" name="Rectangle 269">
          <a:extLst>
            <a:ext uri="{FF2B5EF4-FFF2-40B4-BE49-F238E27FC236}">
              <a16:creationId xmlns:a16="http://schemas.microsoft.com/office/drawing/2014/main" id="{476F6EA5-31CF-4072-AA74-C68B3642041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7" name="Rectangle 238">
          <a:extLst>
            <a:ext uri="{FF2B5EF4-FFF2-40B4-BE49-F238E27FC236}">
              <a16:creationId xmlns:a16="http://schemas.microsoft.com/office/drawing/2014/main" id="{977F77FB-3D31-41D9-9068-87C90E4B5A6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8" name="Rectangle 249">
          <a:extLst>
            <a:ext uri="{FF2B5EF4-FFF2-40B4-BE49-F238E27FC236}">
              <a16:creationId xmlns:a16="http://schemas.microsoft.com/office/drawing/2014/main" id="{30CE3AAD-EA32-4F52-80F9-E3BC92498D4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09" name="Rectangle 251">
          <a:extLst>
            <a:ext uri="{FF2B5EF4-FFF2-40B4-BE49-F238E27FC236}">
              <a16:creationId xmlns:a16="http://schemas.microsoft.com/office/drawing/2014/main" id="{CDE31161-DD64-424C-A4CC-0D6D2DF92A5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0" name="Rectangle 253">
          <a:extLst>
            <a:ext uri="{FF2B5EF4-FFF2-40B4-BE49-F238E27FC236}">
              <a16:creationId xmlns:a16="http://schemas.microsoft.com/office/drawing/2014/main" id="{8C27BEE7-0A72-4694-8B56-93426492937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1" name="Rectangle 254">
          <a:extLst>
            <a:ext uri="{FF2B5EF4-FFF2-40B4-BE49-F238E27FC236}">
              <a16:creationId xmlns:a16="http://schemas.microsoft.com/office/drawing/2014/main" id="{8C9CEA8D-871E-404D-95E6-F9966B9E630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2" name="Rectangle 255">
          <a:extLst>
            <a:ext uri="{FF2B5EF4-FFF2-40B4-BE49-F238E27FC236}">
              <a16:creationId xmlns:a16="http://schemas.microsoft.com/office/drawing/2014/main" id="{DD5224E4-3F43-4EC9-B47A-62F74EA1C54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3" name="Rectangle 257">
          <a:extLst>
            <a:ext uri="{FF2B5EF4-FFF2-40B4-BE49-F238E27FC236}">
              <a16:creationId xmlns:a16="http://schemas.microsoft.com/office/drawing/2014/main" id="{8B8D1CC1-21C6-44A2-92B5-DB614400165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4" name="Rectangle 258">
          <a:extLst>
            <a:ext uri="{FF2B5EF4-FFF2-40B4-BE49-F238E27FC236}">
              <a16:creationId xmlns:a16="http://schemas.microsoft.com/office/drawing/2014/main" id="{5A9D4F26-0815-45A7-9321-A5B9FB6296C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5" name="Rectangle 259">
          <a:extLst>
            <a:ext uri="{FF2B5EF4-FFF2-40B4-BE49-F238E27FC236}">
              <a16:creationId xmlns:a16="http://schemas.microsoft.com/office/drawing/2014/main" id="{57C77D84-D876-4095-9A8B-0F37E6CC306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6" name="Rectangle 260">
          <a:extLst>
            <a:ext uri="{FF2B5EF4-FFF2-40B4-BE49-F238E27FC236}">
              <a16:creationId xmlns:a16="http://schemas.microsoft.com/office/drawing/2014/main" id="{6E0A37B0-AA28-403C-8369-B25C08734E8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7" name="Rectangle 261">
          <a:extLst>
            <a:ext uri="{FF2B5EF4-FFF2-40B4-BE49-F238E27FC236}">
              <a16:creationId xmlns:a16="http://schemas.microsoft.com/office/drawing/2014/main" id="{92740A0F-0042-43EB-AF6F-520E60D3A21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8" name="Rectangle 262">
          <a:extLst>
            <a:ext uri="{FF2B5EF4-FFF2-40B4-BE49-F238E27FC236}">
              <a16:creationId xmlns:a16="http://schemas.microsoft.com/office/drawing/2014/main" id="{3E3CDDA2-E14D-4E4B-AD1D-FC2C384F439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19" name="Rectangle 263">
          <a:extLst>
            <a:ext uri="{FF2B5EF4-FFF2-40B4-BE49-F238E27FC236}">
              <a16:creationId xmlns:a16="http://schemas.microsoft.com/office/drawing/2014/main" id="{8E7BDBAA-42BC-4D60-A57A-CAF4F08ADAE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0" name="Rectangle 264">
          <a:extLst>
            <a:ext uri="{FF2B5EF4-FFF2-40B4-BE49-F238E27FC236}">
              <a16:creationId xmlns:a16="http://schemas.microsoft.com/office/drawing/2014/main" id="{5AF819B9-8F23-4B96-B688-9355AFD5CF5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1" name="Rectangle 265">
          <a:extLst>
            <a:ext uri="{FF2B5EF4-FFF2-40B4-BE49-F238E27FC236}">
              <a16:creationId xmlns:a16="http://schemas.microsoft.com/office/drawing/2014/main" id="{3D2AB8F8-EAED-4C05-849C-3788C9C7F82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2" name="Rectangle 266">
          <a:extLst>
            <a:ext uri="{FF2B5EF4-FFF2-40B4-BE49-F238E27FC236}">
              <a16:creationId xmlns:a16="http://schemas.microsoft.com/office/drawing/2014/main" id="{738F8B2D-A656-40E1-91CE-63D01D907C2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3" name="Rectangle 267">
          <a:extLst>
            <a:ext uri="{FF2B5EF4-FFF2-40B4-BE49-F238E27FC236}">
              <a16:creationId xmlns:a16="http://schemas.microsoft.com/office/drawing/2014/main" id="{4742B90F-2F6E-40C4-B21F-8508C8723DD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4" name="Rectangle 268">
          <a:extLst>
            <a:ext uri="{FF2B5EF4-FFF2-40B4-BE49-F238E27FC236}">
              <a16:creationId xmlns:a16="http://schemas.microsoft.com/office/drawing/2014/main" id="{CB8D6D13-2DEA-47EC-83EE-5928CB069FF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5" name="Rectangle 269">
          <a:extLst>
            <a:ext uri="{FF2B5EF4-FFF2-40B4-BE49-F238E27FC236}">
              <a16:creationId xmlns:a16="http://schemas.microsoft.com/office/drawing/2014/main" id="{5F4E4122-5A55-4198-B700-DE824B782E8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6" name="Rectangle 238">
          <a:extLst>
            <a:ext uri="{FF2B5EF4-FFF2-40B4-BE49-F238E27FC236}">
              <a16:creationId xmlns:a16="http://schemas.microsoft.com/office/drawing/2014/main" id="{26DFD531-FACD-4EC2-8A46-DD9E033F4BE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7" name="Rectangle 249">
          <a:extLst>
            <a:ext uri="{FF2B5EF4-FFF2-40B4-BE49-F238E27FC236}">
              <a16:creationId xmlns:a16="http://schemas.microsoft.com/office/drawing/2014/main" id="{1FB465E7-69AA-45F6-B268-16EC315E895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8" name="Rectangle 251">
          <a:extLst>
            <a:ext uri="{FF2B5EF4-FFF2-40B4-BE49-F238E27FC236}">
              <a16:creationId xmlns:a16="http://schemas.microsoft.com/office/drawing/2014/main" id="{C1616A48-843B-4B34-9E41-9E8683D3582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29" name="Rectangle 253">
          <a:extLst>
            <a:ext uri="{FF2B5EF4-FFF2-40B4-BE49-F238E27FC236}">
              <a16:creationId xmlns:a16="http://schemas.microsoft.com/office/drawing/2014/main" id="{B2C5F2A2-52AA-474E-8846-218FDA51DAF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0" name="Rectangle 254">
          <a:extLst>
            <a:ext uri="{FF2B5EF4-FFF2-40B4-BE49-F238E27FC236}">
              <a16:creationId xmlns:a16="http://schemas.microsoft.com/office/drawing/2014/main" id="{EDA85006-F741-4681-807F-701D77A5581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1" name="Rectangle 255">
          <a:extLst>
            <a:ext uri="{FF2B5EF4-FFF2-40B4-BE49-F238E27FC236}">
              <a16:creationId xmlns:a16="http://schemas.microsoft.com/office/drawing/2014/main" id="{B9CCD945-4ED9-430D-BA3E-629ACE8722B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2" name="Rectangle 257">
          <a:extLst>
            <a:ext uri="{FF2B5EF4-FFF2-40B4-BE49-F238E27FC236}">
              <a16:creationId xmlns:a16="http://schemas.microsoft.com/office/drawing/2014/main" id="{091A3507-1A8F-490E-A0DE-9CFC6830278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3" name="Rectangle 258">
          <a:extLst>
            <a:ext uri="{FF2B5EF4-FFF2-40B4-BE49-F238E27FC236}">
              <a16:creationId xmlns:a16="http://schemas.microsoft.com/office/drawing/2014/main" id="{1E2BF92F-3A27-47F0-9001-8F1FC8D8DB5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4" name="Rectangle 259">
          <a:extLst>
            <a:ext uri="{FF2B5EF4-FFF2-40B4-BE49-F238E27FC236}">
              <a16:creationId xmlns:a16="http://schemas.microsoft.com/office/drawing/2014/main" id="{56B39467-C37A-4BC0-B757-C19196A78B2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5" name="Rectangle 260">
          <a:extLst>
            <a:ext uri="{FF2B5EF4-FFF2-40B4-BE49-F238E27FC236}">
              <a16:creationId xmlns:a16="http://schemas.microsoft.com/office/drawing/2014/main" id="{3D4F2C40-3CA4-44C3-9903-2E03AA4589F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6" name="Rectangle 261">
          <a:extLst>
            <a:ext uri="{FF2B5EF4-FFF2-40B4-BE49-F238E27FC236}">
              <a16:creationId xmlns:a16="http://schemas.microsoft.com/office/drawing/2014/main" id="{2C864245-E749-4B27-B175-89F7A78C671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7" name="Rectangle 262">
          <a:extLst>
            <a:ext uri="{FF2B5EF4-FFF2-40B4-BE49-F238E27FC236}">
              <a16:creationId xmlns:a16="http://schemas.microsoft.com/office/drawing/2014/main" id="{908B11F5-3FFE-471E-8EAE-D3E09290FE5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8" name="Rectangle 263">
          <a:extLst>
            <a:ext uri="{FF2B5EF4-FFF2-40B4-BE49-F238E27FC236}">
              <a16:creationId xmlns:a16="http://schemas.microsoft.com/office/drawing/2014/main" id="{8B71A3CC-3B30-47F7-8D77-B0221B60A15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39" name="Rectangle 264">
          <a:extLst>
            <a:ext uri="{FF2B5EF4-FFF2-40B4-BE49-F238E27FC236}">
              <a16:creationId xmlns:a16="http://schemas.microsoft.com/office/drawing/2014/main" id="{64FE7779-C230-408A-8038-CA12E9DEA47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0" name="Rectangle 265">
          <a:extLst>
            <a:ext uri="{FF2B5EF4-FFF2-40B4-BE49-F238E27FC236}">
              <a16:creationId xmlns:a16="http://schemas.microsoft.com/office/drawing/2014/main" id="{5EBDC95E-8F63-40FD-ABF4-3FE90D2ADDD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1" name="Rectangle 266">
          <a:extLst>
            <a:ext uri="{FF2B5EF4-FFF2-40B4-BE49-F238E27FC236}">
              <a16:creationId xmlns:a16="http://schemas.microsoft.com/office/drawing/2014/main" id="{A00D9558-B7DD-4E55-834F-69A045389A9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2" name="Rectangle 267">
          <a:extLst>
            <a:ext uri="{FF2B5EF4-FFF2-40B4-BE49-F238E27FC236}">
              <a16:creationId xmlns:a16="http://schemas.microsoft.com/office/drawing/2014/main" id="{10438CE8-BCB8-4179-95FD-1BDFBE8BA7D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3" name="Rectangle 268">
          <a:extLst>
            <a:ext uri="{FF2B5EF4-FFF2-40B4-BE49-F238E27FC236}">
              <a16:creationId xmlns:a16="http://schemas.microsoft.com/office/drawing/2014/main" id="{0F89CB89-00B4-4E34-A212-EEB2CA03593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4" name="Rectangle 269">
          <a:extLst>
            <a:ext uri="{FF2B5EF4-FFF2-40B4-BE49-F238E27FC236}">
              <a16:creationId xmlns:a16="http://schemas.microsoft.com/office/drawing/2014/main" id="{78D6A979-D313-4C97-B87F-0CB6FFB3C14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5" name="Rectangle 238">
          <a:extLst>
            <a:ext uri="{FF2B5EF4-FFF2-40B4-BE49-F238E27FC236}">
              <a16:creationId xmlns:a16="http://schemas.microsoft.com/office/drawing/2014/main" id="{54D6C2E1-3DED-4413-B93E-6F7FD963B66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6" name="Rectangle 249">
          <a:extLst>
            <a:ext uri="{FF2B5EF4-FFF2-40B4-BE49-F238E27FC236}">
              <a16:creationId xmlns:a16="http://schemas.microsoft.com/office/drawing/2014/main" id="{C8036939-FF87-4186-BC6C-E4C4B38F9B6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7" name="Rectangle 251">
          <a:extLst>
            <a:ext uri="{FF2B5EF4-FFF2-40B4-BE49-F238E27FC236}">
              <a16:creationId xmlns:a16="http://schemas.microsoft.com/office/drawing/2014/main" id="{189CAAFE-ED6E-4B49-AA1E-E1DB6164E61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8" name="Rectangle 253">
          <a:extLst>
            <a:ext uri="{FF2B5EF4-FFF2-40B4-BE49-F238E27FC236}">
              <a16:creationId xmlns:a16="http://schemas.microsoft.com/office/drawing/2014/main" id="{54D5BE69-B154-4868-AA6D-2B82AAEB502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49" name="Rectangle 254">
          <a:extLst>
            <a:ext uri="{FF2B5EF4-FFF2-40B4-BE49-F238E27FC236}">
              <a16:creationId xmlns:a16="http://schemas.microsoft.com/office/drawing/2014/main" id="{331AE1A8-A5C5-4A65-B8FC-891DC732EF6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0" name="Rectangle 255">
          <a:extLst>
            <a:ext uri="{FF2B5EF4-FFF2-40B4-BE49-F238E27FC236}">
              <a16:creationId xmlns:a16="http://schemas.microsoft.com/office/drawing/2014/main" id="{5287DC78-3EBF-4C31-939C-5DA03DAFD17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1" name="Rectangle 257">
          <a:extLst>
            <a:ext uri="{FF2B5EF4-FFF2-40B4-BE49-F238E27FC236}">
              <a16:creationId xmlns:a16="http://schemas.microsoft.com/office/drawing/2014/main" id="{D3578623-B9DA-420D-A68D-19C047C198E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2" name="Rectangle 258">
          <a:extLst>
            <a:ext uri="{FF2B5EF4-FFF2-40B4-BE49-F238E27FC236}">
              <a16:creationId xmlns:a16="http://schemas.microsoft.com/office/drawing/2014/main" id="{785DD1AD-A608-4B12-8032-5C277409A60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3" name="Rectangle 259">
          <a:extLst>
            <a:ext uri="{FF2B5EF4-FFF2-40B4-BE49-F238E27FC236}">
              <a16:creationId xmlns:a16="http://schemas.microsoft.com/office/drawing/2014/main" id="{617D6137-2E9F-4DC6-AA98-A4BC7F0D3D7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4" name="Rectangle 260">
          <a:extLst>
            <a:ext uri="{FF2B5EF4-FFF2-40B4-BE49-F238E27FC236}">
              <a16:creationId xmlns:a16="http://schemas.microsoft.com/office/drawing/2014/main" id="{5C8CC85E-9807-4FD6-A420-4ABB6973AEA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5" name="Rectangle 261">
          <a:extLst>
            <a:ext uri="{FF2B5EF4-FFF2-40B4-BE49-F238E27FC236}">
              <a16:creationId xmlns:a16="http://schemas.microsoft.com/office/drawing/2014/main" id="{5EDECFF1-6619-44F9-9B6D-C6E86233B82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6" name="Rectangle 262">
          <a:extLst>
            <a:ext uri="{FF2B5EF4-FFF2-40B4-BE49-F238E27FC236}">
              <a16:creationId xmlns:a16="http://schemas.microsoft.com/office/drawing/2014/main" id="{BE5B9AF8-C82C-41C1-9B49-19D3A2CE9DB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7" name="Rectangle 263">
          <a:extLst>
            <a:ext uri="{FF2B5EF4-FFF2-40B4-BE49-F238E27FC236}">
              <a16:creationId xmlns:a16="http://schemas.microsoft.com/office/drawing/2014/main" id="{32F0A4CB-5D53-4B98-AA93-671CCB8A340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8" name="Rectangle 264">
          <a:extLst>
            <a:ext uri="{FF2B5EF4-FFF2-40B4-BE49-F238E27FC236}">
              <a16:creationId xmlns:a16="http://schemas.microsoft.com/office/drawing/2014/main" id="{55E9F34F-B519-4A02-B49E-E6335558049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59" name="Rectangle 265">
          <a:extLst>
            <a:ext uri="{FF2B5EF4-FFF2-40B4-BE49-F238E27FC236}">
              <a16:creationId xmlns:a16="http://schemas.microsoft.com/office/drawing/2014/main" id="{31857541-7EA5-4250-ADDE-D381B1992D5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0" name="Rectangle 266">
          <a:extLst>
            <a:ext uri="{FF2B5EF4-FFF2-40B4-BE49-F238E27FC236}">
              <a16:creationId xmlns:a16="http://schemas.microsoft.com/office/drawing/2014/main" id="{CD49C2F1-0422-47DD-983B-D97842D2434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1" name="Rectangle 267">
          <a:extLst>
            <a:ext uri="{FF2B5EF4-FFF2-40B4-BE49-F238E27FC236}">
              <a16:creationId xmlns:a16="http://schemas.microsoft.com/office/drawing/2014/main" id="{84C518EB-DFEA-482C-9E6F-37A7185B185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2" name="Rectangle 268">
          <a:extLst>
            <a:ext uri="{FF2B5EF4-FFF2-40B4-BE49-F238E27FC236}">
              <a16:creationId xmlns:a16="http://schemas.microsoft.com/office/drawing/2014/main" id="{6B39EDD1-A549-4811-B064-E527D3E5C54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3" name="Rectangle 269">
          <a:extLst>
            <a:ext uri="{FF2B5EF4-FFF2-40B4-BE49-F238E27FC236}">
              <a16:creationId xmlns:a16="http://schemas.microsoft.com/office/drawing/2014/main" id="{1A6C40D4-1058-4D03-8288-4D7CB860C3F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4" name="Rectangle 238">
          <a:extLst>
            <a:ext uri="{FF2B5EF4-FFF2-40B4-BE49-F238E27FC236}">
              <a16:creationId xmlns:a16="http://schemas.microsoft.com/office/drawing/2014/main" id="{BE913478-6B6F-4C04-BA79-41E493AA971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5" name="Rectangle 249">
          <a:extLst>
            <a:ext uri="{FF2B5EF4-FFF2-40B4-BE49-F238E27FC236}">
              <a16:creationId xmlns:a16="http://schemas.microsoft.com/office/drawing/2014/main" id="{CEA5249D-4611-4E35-A38C-B2834FDB929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6" name="Rectangle 251">
          <a:extLst>
            <a:ext uri="{FF2B5EF4-FFF2-40B4-BE49-F238E27FC236}">
              <a16:creationId xmlns:a16="http://schemas.microsoft.com/office/drawing/2014/main" id="{A500BF40-E8EE-488B-941E-5C11BDCE3CE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7" name="Rectangle 253">
          <a:extLst>
            <a:ext uri="{FF2B5EF4-FFF2-40B4-BE49-F238E27FC236}">
              <a16:creationId xmlns:a16="http://schemas.microsoft.com/office/drawing/2014/main" id="{F4BC2E2B-075D-4A0B-BD8A-10E99BAC041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8" name="Rectangle 254">
          <a:extLst>
            <a:ext uri="{FF2B5EF4-FFF2-40B4-BE49-F238E27FC236}">
              <a16:creationId xmlns:a16="http://schemas.microsoft.com/office/drawing/2014/main" id="{38191FA2-8C83-4714-997D-EA6D9064453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69" name="Rectangle 255">
          <a:extLst>
            <a:ext uri="{FF2B5EF4-FFF2-40B4-BE49-F238E27FC236}">
              <a16:creationId xmlns:a16="http://schemas.microsoft.com/office/drawing/2014/main" id="{6BBA698B-3656-4FF8-B451-4E19DFB7118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0" name="Rectangle 257">
          <a:extLst>
            <a:ext uri="{FF2B5EF4-FFF2-40B4-BE49-F238E27FC236}">
              <a16:creationId xmlns:a16="http://schemas.microsoft.com/office/drawing/2014/main" id="{C678DF4E-7939-48B3-8710-34BF2184892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1" name="Rectangle 258">
          <a:extLst>
            <a:ext uri="{FF2B5EF4-FFF2-40B4-BE49-F238E27FC236}">
              <a16:creationId xmlns:a16="http://schemas.microsoft.com/office/drawing/2014/main" id="{20CB87B3-EB18-4A71-B9EA-390D9E95010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2" name="Rectangle 259">
          <a:extLst>
            <a:ext uri="{FF2B5EF4-FFF2-40B4-BE49-F238E27FC236}">
              <a16:creationId xmlns:a16="http://schemas.microsoft.com/office/drawing/2014/main" id="{B09B2367-AC83-41D2-B018-1D1899F2C10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3" name="Rectangle 260">
          <a:extLst>
            <a:ext uri="{FF2B5EF4-FFF2-40B4-BE49-F238E27FC236}">
              <a16:creationId xmlns:a16="http://schemas.microsoft.com/office/drawing/2014/main" id="{ECE7E805-54DF-44D9-8A8A-C77B082DA61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4" name="Rectangle 261">
          <a:extLst>
            <a:ext uri="{FF2B5EF4-FFF2-40B4-BE49-F238E27FC236}">
              <a16:creationId xmlns:a16="http://schemas.microsoft.com/office/drawing/2014/main" id="{A09DD637-E5DE-4802-93F2-434E6EA4EF6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5" name="Rectangle 262">
          <a:extLst>
            <a:ext uri="{FF2B5EF4-FFF2-40B4-BE49-F238E27FC236}">
              <a16:creationId xmlns:a16="http://schemas.microsoft.com/office/drawing/2014/main" id="{26F71640-8A53-4B06-A0CE-F6CC12E3E63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6" name="Rectangle 263">
          <a:extLst>
            <a:ext uri="{FF2B5EF4-FFF2-40B4-BE49-F238E27FC236}">
              <a16:creationId xmlns:a16="http://schemas.microsoft.com/office/drawing/2014/main" id="{D5AC21C4-D46A-4DFC-88BE-EAACF0B7BA6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7" name="Rectangle 264">
          <a:extLst>
            <a:ext uri="{FF2B5EF4-FFF2-40B4-BE49-F238E27FC236}">
              <a16:creationId xmlns:a16="http://schemas.microsoft.com/office/drawing/2014/main" id="{F0661589-2041-4963-AFD2-F2F5059CF30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8" name="Rectangle 265">
          <a:extLst>
            <a:ext uri="{FF2B5EF4-FFF2-40B4-BE49-F238E27FC236}">
              <a16:creationId xmlns:a16="http://schemas.microsoft.com/office/drawing/2014/main" id="{9637C782-3008-417D-8071-149EB3CA423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79" name="Rectangle 266">
          <a:extLst>
            <a:ext uri="{FF2B5EF4-FFF2-40B4-BE49-F238E27FC236}">
              <a16:creationId xmlns:a16="http://schemas.microsoft.com/office/drawing/2014/main" id="{40DC5992-7C2E-428F-AADF-1DD19DBA9A7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0" name="Rectangle 267">
          <a:extLst>
            <a:ext uri="{FF2B5EF4-FFF2-40B4-BE49-F238E27FC236}">
              <a16:creationId xmlns:a16="http://schemas.microsoft.com/office/drawing/2014/main" id="{A9FAAB5C-170B-402D-99E4-4EAB1B42ADD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1" name="Rectangle 268">
          <a:extLst>
            <a:ext uri="{FF2B5EF4-FFF2-40B4-BE49-F238E27FC236}">
              <a16:creationId xmlns:a16="http://schemas.microsoft.com/office/drawing/2014/main" id="{EEB429E3-D436-4398-8CA6-F4DA33BBA39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2" name="Rectangle 269">
          <a:extLst>
            <a:ext uri="{FF2B5EF4-FFF2-40B4-BE49-F238E27FC236}">
              <a16:creationId xmlns:a16="http://schemas.microsoft.com/office/drawing/2014/main" id="{694CDA9D-FBB5-4987-9F35-EE9D823F335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267</xdr:row>
      <xdr:rowOff>0</xdr:rowOff>
    </xdr:from>
    <xdr:ext cx="28854" cy="132665"/>
    <xdr:sp macro="" textlink="">
      <xdr:nvSpPr>
        <xdr:cNvPr id="583" name="Rectangle 269">
          <a:extLst>
            <a:ext uri="{FF2B5EF4-FFF2-40B4-BE49-F238E27FC236}">
              <a16:creationId xmlns:a16="http://schemas.microsoft.com/office/drawing/2014/main" id="{E7BE4FE5-28F0-4CE8-881F-4D6678E377BB}"/>
            </a:ext>
          </a:extLst>
        </xdr:cNvPr>
        <xdr:cNvSpPr>
          <a:spLocks noChangeArrowheads="1"/>
        </xdr:cNvSpPr>
      </xdr:nvSpPr>
      <xdr:spPr bwMode="auto">
        <a:xfrm>
          <a:off x="3399155"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4" name="Rectangle 238">
          <a:extLst>
            <a:ext uri="{FF2B5EF4-FFF2-40B4-BE49-F238E27FC236}">
              <a16:creationId xmlns:a16="http://schemas.microsoft.com/office/drawing/2014/main" id="{CC71A19E-7810-48C0-BDA8-A853AC133E4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5" name="Rectangle 249">
          <a:extLst>
            <a:ext uri="{FF2B5EF4-FFF2-40B4-BE49-F238E27FC236}">
              <a16:creationId xmlns:a16="http://schemas.microsoft.com/office/drawing/2014/main" id="{6CDAEE9E-EB56-4101-A514-298265E8C5E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6" name="Rectangle 251">
          <a:extLst>
            <a:ext uri="{FF2B5EF4-FFF2-40B4-BE49-F238E27FC236}">
              <a16:creationId xmlns:a16="http://schemas.microsoft.com/office/drawing/2014/main" id="{528BE0FC-5E29-44A2-8A0D-75B160558EA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7" name="Rectangle 253">
          <a:extLst>
            <a:ext uri="{FF2B5EF4-FFF2-40B4-BE49-F238E27FC236}">
              <a16:creationId xmlns:a16="http://schemas.microsoft.com/office/drawing/2014/main" id="{505657CC-349B-4552-AE73-C7CB495DB46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8" name="Rectangle 254">
          <a:extLst>
            <a:ext uri="{FF2B5EF4-FFF2-40B4-BE49-F238E27FC236}">
              <a16:creationId xmlns:a16="http://schemas.microsoft.com/office/drawing/2014/main" id="{6FDA0165-E5BF-47DA-A425-95A51A582D1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89" name="Rectangle 255">
          <a:extLst>
            <a:ext uri="{FF2B5EF4-FFF2-40B4-BE49-F238E27FC236}">
              <a16:creationId xmlns:a16="http://schemas.microsoft.com/office/drawing/2014/main" id="{A5413669-0026-4478-861F-6134087D4CE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0" name="Rectangle 257">
          <a:extLst>
            <a:ext uri="{FF2B5EF4-FFF2-40B4-BE49-F238E27FC236}">
              <a16:creationId xmlns:a16="http://schemas.microsoft.com/office/drawing/2014/main" id="{6B6A3A3F-7F4B-4A8C-A133-67DB11188B4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1" name="Rectangle 258">
          <a:extLst>
            <a:ext uri="{FF2B5EF4-FFF2-40B4-BE49-F238E27FC236}">
              <a16:creationId xmlns:a16="http://schemas.microsoft.com/office/drawing/2014/main" id="{3BC587CB-AE84-4F8B-B3E7-CE268ED82B0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2" name="Rectangle 259">
          <a:extLst>
            <a:ext uri="{FF2B5EF4-FFF2-40B4-BE49-F238E27FC236}">
              <a16:creationId xmlns:a16="http://schemas.microsoft.com/office/drawing/2014/main" id="{232F0AC7-7790-4DFA-AE62-5F27F946532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3" name="Rectangle 260">
          <a:extLst>
            <a:ext uri="{FF2B5EF4-FFF2-40B4-BE49-F238E27FC236}">
              <a16:creationId xmlns:a16="http://schemas.microsoft.com/office/drawing/2014/main" id="{349258A2-7667-4ED7-8068-EAE556E2ACF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4" name="Rectangle 261">
          <a:extLst>
            <a:ext uri="{FF2B5EF4-FFF2-40B4-BE49-F238E27FC236}">
              <a16:creationId xmlns:a16="http://schemas.microsoft.com/office/drawing/2014/main" id="{4295E872-A629-4A7B-B45E-C0CEC810D2C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5" name="Rectangle 262">
          <a:extLst>
            <a:ext uri="{FF2B5EF4-FFF2-40B4-BE49-F238E27FC236}">
              <a16:creationId xmlns:a16="http://schemas.microsoft.com/office/drawing/2014/main" id="{35998B59-B42C-41C1-9632-38F42743E76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6" name="Rectangle 263">
          <a:extLst>
            <a:ext uri="{FF2B5EF4-FFF2-40B4-BE49-F238E27FC236}">
              <a16:creationId xmlns:a16="http://schemas.microsoft.com/office/drawing/2014/main" id="{F09191D9-F6ED-4828-AA5C-1EA447DD16E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7" name="Rectangle 264">
          <a:extLst>
            <a:ext uri="{FF2B5EF4-FFF2-40B4-BE49-F238E27FC236}">
              <a16:creationId xmlns:a16="http://schemas.microsoft.com/office/drawing/2014/main" id="{7A7C2D12-0ACA-42E7-9286-6408C58C373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8" name="Rectangle 265">
          <a:extLst>
            <a:ext uri="{FF2B5EF4-FFF2-40B4-BE49-F238E27FC236}">
              <a16:creationId xmlns:a16="http://schemas.microsoft.com/office/drawing/2014/main" id="{7200652F-CAD4-4423-9C3A-1CC61C32F26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599" name="Rectangle 266">
          <a:extLst>
            <a:ext uri="{FF2B5EF4-FFF2-40B4-BE49-F238E27FC236}">
              <a16:creationId xmlns:a16="http://schemas.microsoft.com/office/drawing/2014/main" id="{02C806F9-DC94-4771-A056-BDDEB6BB6EA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0" name="Rectangle 267">
          <a:extLst>
            <a:ext uri="{FF2B5EF4-FFF2-40B4-BE49-F238E27FC236}">
              <a16:creationId xmlns:a16="http://schemas.microsoft.com/office/drawing/2014/main" id="{262AE92D-7F4A-4876-9254-7333BED4770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1" name="Rectangle 268">
          <a:extLst>
            <a:ext uri="{FF2B5EF4-FFF2-40B4-BE49-F238E27FC236}">
              <a16:creationId xmlns:a16="http://schemas.microsoft.com/office/drawing/2014/main" id="{D3884700-2E01-4327-A4CB-A72E755EA5C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2" name="Rectangle 269">
          <a:extLst>
            <a:ext uri="{FF2B5EF4-FFF2-40B4-BE49-F238E27FC236}">
              <a16:creationId xmlns:a16="http://schemas.microsoft.com/office/drawing/2014/main" id="{A323C330-1D67-4670-8768-341579C8418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3" name="Rectangle 238">
          <a:extLst>
            <a:ext uri="{FF2B5EF4-FFF2-40B4-BE49-F238E27FC236}">
              <a16:creationId xmlns:a16="http://schemas.microsoft.com/office/drawing/2014/main" id="{BD2F3716-C221-4FF6-955C-A06D6754F3B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4" name="Rectangle 249">
          <a:extLst>
            <a:ext uri="{FF2B5EF4-FFF2-40B4-BE49-F238E27FC236}">
              <a16:creationId xmlns:a16="http://schemas.microsoft.com/office/drawing/2014/main" id="{810200D5-FEBC-4685-9DAE-A971C279218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5" name="Rectangle 251">
          <a:extLst>
            <a:ext uri="{FF2B5EF4-FFF2-40B4-BE49-F238E27FC236}">
              <a16:creationId xmlns:a16="http://schemas.microsoft.com/office/drawing/2014/main" id="{B9D73B49-460C-4495-B2F3-BDF76303E82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6" name="Rectangle 253">
          <a:extLst>
            <a:ext uri="{FF2B5EF4-FFF2-40B4-BE49-F238E27FC236}">
              <a16:creationId xmlns:a16="http://schemas.microsoft.com/office/drawing/2014/main" id="{6CBFA63E-9768-4CC6-87CA-8B5B4B88DA6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7" name="Rectangle 254">
          <a:extLst>
            <a:ext uri="{FF2B5EF4-FFF2-40B4-BE49-F238E27FC236}">
              <a16:creationId xmlns:a16="http://schemas.microsoft.com/office/drawing/2014/main" id="{06EA3A7D-6CA6-4D8B-A5A7-D05842219C1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8" name="Rectangle 255">
          <a:extLst>
            <a:ext uri="{FF2B5EF4-FFF2-40B4-BE49-F238E27FC236}">
              <a16:creationId xmlns:a16="http://schemas.microsoft.com/office/drawing/2014/main" id="{36B659DA-7566-460F-8EE0-116696016FA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09" name="Rectangle 257">
          <a:extLst>
            <a:ext uri="{FF2B5EF4-FFF2-40B4-BE49-F238E27FC236}">
              <a16:creationId xmlns:a16="http://schemas.microsoft.com/office/drawing/2014/main" id="{3FCA15F8-666F-4DF6-86F8-E907415965F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0" name="Rectangle 258">
          <a:extLst>
            <a:ext uri="{FF2B5EF4-FFF2-40B4-BE49-F238E27FC236}">
              <a16:creationId xmlns:a16="http://schemas.microsoft.com/office/drawing/2014/main" id="{51D74033-8436-4E3E-8618-1763F11C826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1" name="Rectangle 259">
          <a:extLst>
            <a:ext uri="{FF2B5EF4-FFF2-40B4-BE49-F238E27FC236}">
              <a16:creationId xmlns:a16="http://schemas.microsoft.com/office/drawing/2014/main" id="{65A566FD-8775-4A7B-AB0F-0752D791419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2" name="Rectangle 260">
          <a:extLst>
            <a:ext uri="{FF2B5EF4-FFF2-40B4-BE49-F238E27FC236}">
              <a16:creationId xmlns:a16="http://schemas.microsoft.com/office/drawing/2014/main" id="{200F6CD4-7AC7-4857-ABFB-A2305DFA0CB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3" name="Rectangle 261">
          <a:extLst>
            <a:ext uri="{FF2B5EF4-FFF2-40B4-BE49-F238E27FC236}">
              <a16:creationId xmlns:a16="http://schemas.microsoft.com/office/drawing/2014/main" id="{ABBDF94D-3D5F-40C1-9EEF-79CE6B8FC9A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4" name="Rectangle 262">
          <a:extLst>
            <a:ext uri="{FF2B5EF4-FFF2-40B4-BE49-F238E27FC236}">
              <a16:creationId xmlns:a16="http://schemas.microsoft.com/office/drawing/2014/main" id="{4D218594-23C7-48DA-A23D-96484C9621B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5" name="Rectangle 263">
          <a:extLst>
            <a:ext uri="{FF2B5EF4-FFF2-40B4-BE49-F238E27FC236}">
              <a16:creationId xmlns:a16="http://schemas.microsoft.com/office/drawing/2014/main" id="{7BE79E95-8489-4106-946C-C39EE8C641A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6" name="Rectangle 264">
          <a:extLst>
            <a:ext uri="{FF2B5EF4-FFF2-40B4-BE49-F238E27FC236}">
              <a16:creationId xmlns:a16="http://schemas.microsoft.com/office/drawing/2014/main" id="{A6B14E04-E6DF-4C6A-ADAD-EFBBD0F6708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7" name="Rectangle 265">
          <a:extLst>
            <a:ext uri="{FF2B5EF4-FFF2-40B4-BE49-F238E27FC236}">
              <a16:creationId xmlns:a16="http://schemas.microsoft.com/office/drawing/2014/main" id="{1ED393FB-B5A1-405C-8CF9-29C20D6266C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8" name="Rectangle 266">
          <a:extLst>
            <a:ext uri="{FF2B5EF4-FFF2-40B4-BE49-F238E27FC236}">
              <a16:creationId xmlns:a16="http://schemas.microsoft.com/office/drawing/2014/main" id="{5D5E28B8-9964-497A-A2BA-D18CF774A16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19" name="Rectangle 267">
          <a:extLst>
            <a:ext uri="{FF2B5EF4-FFF2-40B4-BE49-F238E27FC236}">
              <a16:creationId xmlns:a16="http://schemas.microsoft.com/office/drawing/2014/main" id="{FC9749F8-889A-4EF3-82FD-FA97387D873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0" name="Rectangle 268">
          <a:extLst>
            <a:ext uri="{FF2B5EF4-FFF2-40B4-BE49-F238E27FC236}">
              <a16:creationId xmlns:a16="http://schemas.microsoft.com/office/drawing/2014/main" id="{AF55D946-68FD-4434-BF54-A3E5F58123C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1" name="Rectangle 269">
          <a:extLst>
            <a:ext uri="{FF2B5EF4-FFF2-40B4-BE49-F238E27FC236}">
              <a16:creationId xmlns:a16="http://schemas.microsoft.com/office/drawing/2014/main" id="{E9130B2E-D3EB-4777-9CCA-05176EDAF02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2" name="Rectangle 238">
          <a:extLst>
            <a:ext uri="{FF2B5EF4-FFF2-40B4-BE49-F238E27FC236}">
              <a16:creationId xmlns:a16="http://schemas.microsoft.com/office/drawing/2014/main" id="{C12EF4D3-8DC9-4E53-9114-E070A620B04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3" name="Rectangle 249">
          <a:extLst>
            <a:ext uri="{FF2B5EF4-FFF2-40B4-BE49-F238E27FC236}">
              <a16:creationId xmlns:a16="http://schemas.microsoft.com/office/drawing/2014/main" id="{DE320AF5-BFE0-494F-A0DB-3887FCCDF06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4" name="Rectangle 251">
          <a:extLst>
            <a:ext uri="{FF2B5EF4-FFF2-40B4-BE49-F238E27FC236}">
              <a16:creationId xmlns:a16="http://schemas.microsoft.com/office/drawing/2014/main" id="{594806BA-EDDE-42F4-B04F-83FAD9FEB25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5" name="Rectangle 253">
          <a:extLst>
            <a:ext uri="{FF2B5EF4-FFF2-40B4-BE49-F238E27FC236}">
              <a16:creationId xmlns:a16="http://schemas.microsoft.com/office/drawing/2014/main" id="{E7C4D1D8-EF93-4CCE-A8AB-E2591C56E87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6" name="Rectangle 254">
          <a:extLst>
            <a:ext uri="{FF2B5EF4-FFF2-40B4-BE49-F238E27FC236}">
              <a16:creationId xmlns:a16="http://schemas.microsoft.com/office/drawing/2014/main" id="{156123E1-3EAC-4B4D-8A07-5F239774D1F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7" name="Rectangle 255">
          <a:extLst>
            <a:ext uri="{FF2B5EF4-FFF2-40B4-BE49-F238E27FC236}">
              <a16:creationId xmlns:a16="http://schemas.microsoft.com/office/drawing/2014/main" id="{BBCE2FFD-E591-4697-9DDE-509358C2969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8" name="Rectangle 257">
          <a:extLst>
            <a:ext uri="{FF2B5EF4-FFF2-40B4-BE49-F238E27FC236}">
              <a16:creationId xmlns:a16="http://schemas.microsoft.com/office/drawing/2014/main" id="{76ECCD8C-74B3-4F32-AD7D-3996966EFA4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29" name="Rectangle 258">
          <a:extLst>
            <a:ext uri="{FF2B5EF4-FFF2-40B4-BE49-F238E27FC236}">
              <a16:creationId xmlns:a16="http://schemas.microsoft.com/office/drawing/2014/main" id="{2172A386-1A86-48D2-99FE-1187E626777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0" name="Rectangle 259">
          <a:extLst>
            <a:ext uri="{FF2B5EF4-FFF2-40B4-BE49-F238E27FC236}">
              <a16:creationId xmlns:a16="http://schemas.microsoft.com/office/drawing/2014/main" id="{D3767164-DD29-4A68-9244-40A9A6CDA0D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1" name="Rectangle 260">
          <a:extLst>
            <a:ext uri="{FF2B5EF4-FFF2-40B4-BE49-F238E27FC236}">
              <a16:creationId xmlns:a16="http://schemas.microsoft.com/office/drawing/2014/main" id="{932A2706-52D5-4174-B0AB-4E7C3FFAC74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2" name="Rectangle 261">
          <a:extLst>
            <a:ext uri="{FF2B5EF4-FFF2-40B4-BE49-F238E27FC236}">
              <a16:creationId xmlns:a16="http://schemas.microsoft.com/office/drawing/2014/main" id="{652A94C6-B058-4E1D-81CD-DC0F707802A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3" name="Rectangle 262">
          <a:extLst>
            <a:ext uri="{FF2B5EF4-FFF2-40B4-BE49-F238E27FC236}">
              <a16:creationId xmlns:a16="http://schemas.microsoft.com/office/drawing/2014/main" id="{CC95A601-2E60-43E9-A011-95A92CEA402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4" name="Rectangle 263">
          <a:extLst>
            <a:ext uri="{FF2B5EF4-FFF2-40B4-BE49-F238E27FC236}">
              <a16:creationId xmlns:a16="http://schemas.microsoft.com/office/drawing/2014/main" id="{94E7457A-AE79-43DC-A5D7-8D8DFAAECFF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5" name="Rectangle 264">
          <a:extLst>
            <a:ext uri="{FF2B5EF4-FFF2-40B4-BE49-F238E27FC236}">
              <a16:creationId xmlns:a16="http://schemas.microsoft.com/office/drawing/2014/main" id="{2F43783A-8B3C-46A5-BA35-81300CBD1EF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6" name="Rectangle 265">
          <a:extLst>
            <a:ext uri="{FF2B5EF4-FFF2-40B4-BE49-F238E27FC236}">
              <a16:creationId xmlns:a16="http://schemas.microsoft.com/office/drawing/2014/main" id="{B70E3DB9-26F7-4FC9-8E30-AAD273EFA3A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7" name="Rectangle 266">
          <a:extLst>
            <a:ext uri="{FF2B5EF4-FFF2-40B4-BE49-F238E27FC236}">
              <a16:creationId xmlns:a16="http://schemas.microsoft.com/office/drawing/2014/main" id="{CD40FCC5-4204-401E-B214-146AA0CC145D}"/>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8" name="Rectangle 267">
          <a:extLst>
            <a:ext uri="{FF2B5EF4-FFF2-40B4-BE49-F238E27FC236}">
              <a16:creationId xmlns:a16="http://schemas.microsoft.com/office/drawing/2014/main" id="{8E52E14A-FA57-430D-85ED-10447D92B85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39" name="Rectangle 268">
          <a:extLst>
            <a:ext uri="{FF2B5EF4-FFF2-40B4-BE49-F238E27FC236}">
              <a16:creationId xmlns:a16="http://schemas.microsoft.com/office/drawing/2014/main" id="{9D753116-4F62-4A44-B589-8FA6670DD49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0" name="Rectangle 269">
          <a:extLst>
            <a:ext uri="{FF2B5EF4-FFF2-40B4-BE49-F238E27FC236}">
              <a16:creationId xmlns:a16="http://schemas.microsoft.com/office/drawing/2014/main" id="{03512C27-19AA-43EF-9979-995D775E07A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267</xdr:row>
      <xdr:rowOff>0</xdr:rowOff>
    </xdr:from>
    <xdr:ext cx="28854" cy="132665"/>
    <xdr:sp macro="" textlink="">
      <xdr:nvSpPr>
        <xdr:cNvPr id="641" name="Rectangle 269">
          <a:extLst>
            <a:ext uri="{FF2B5EF4-FFF2-40B4-BE49-F238E27FC236}">
              <a16:creationId xmlns:a16="http://schemas.microsoft.com/office/drawing/2014/main" id="{D95DAF5D-1F6A-4673-9AF6-738E97879D0F}"/>
            </a:ext>
          </a:extLst>
        </xdr:cNvPr>
        <xdr:cNvSpPr>
          <a:spLocks noChangeArrowheads="1"/>
        </xdr:cNvSpPr>
      </xdr:nvSpPr>
      <xdr:spPr bwMode="auto">
        <a:xfrm>
          <a:off x="3399155"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2" name="Rectangle 238">
          <a:extLst>
            <a:ext uri="{FF2B5EF4-FFF2-40B4-BE49-F238E27FC236}">
              <a16:creationId xmlns:a16="http://schemas.microsoft.com/office/drawing/2014/main" id="{CF9A1245-72B2-4931-A4C2-7B171893CAE5}"/>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3" name="Rectangle 249">
          <a:extLst>
            <a:ext uri="{FF2B5EF4-FFF2-40B4-BE49-F238E27FC236}">
              <a16:creationId xmlns:a16="http://schemas.microsoft.com/office/drawing/2014/main" id="{8782AE42-2D30-460B-900F-E5F209FB938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4" name="Rectangle 251">
          <a:extLst>
            <a:ext uri="{FF2B5EF4-FFF2-40B4-BE49-F238E27FC236}">
              <a16:creationId xmlns:a16="http://schemas.microsoft.com/office/drawing/2014/main" id="{BBE4DDD3-9AB9-4F39-B42B-5EAC91C65D7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5" name="Rectangle 253">
          <a:extLst>
            <a:ext uri="{FF2B5EF4-FFF2-40B4-BE49-F238E27FC236}">
              <a16:creationId xmlns:a16="http://schemas.microsoft.com/office/drawing/2014/main" id="{0FBD7989-BBDB-441B-90DF-221A26D143F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6" name="Rectangle 254">
          <a:extLst>
            <a:ext uri="{FF2B5EF4-FFF2-40B4-BE49-F238E27FC236}">
              <a16:creationId xmlns:a16="http://schemas.microsoft.com/office/drawing/2014/main" id="{D974728F-0BAD-4C6E-9D8E-2A3925DF0F0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7" name="Rectangle 255">
          <a:extLst>
            <a:ext uri="{FF2B5EF4-FFF2-40B4-BE49-F238E27FC236}">
              <a16:creationId xmlns:a16="http://schemas.microsoft.com/office/drawing/2014/main" id="{B436ADAE-22CD-4A32-B83C-F573F257FBF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8" name="Rectangle 257">
          <a:extLst>
            <a:ext uri="{FF2B5EF4-FFF2-40B4-BE49-F238E27FC236}">
              <a16:creationId xmlns:a16="http://schemas.microsoft.com/office/drawing/2014/main" id="{3684813D-17F9-471C-BF9B-68352C3CC95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49" name="Rectangle 258">
          <a:extLst>
            <a:ext uri="{FF2B5EF4-FFF2-40B4-BE49-F238E27FC236}">
              <a16:creationId xmlns:a16="http://schemas.microsoft.com/office/drawing/2014/main" id="{E74B1AA3-072E-4730-8455-1A0AEA9222F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0" name="Rectangle 259">
          <a:extLst>
            <a:ext uri="{FF2B5EF4-FFF2-40B4-BE49-F238E27FC236}">
              <a16:creationId xmlns:a16="http://schemas.microsoft.com/office/drawing/2014/main" id="{5661A532-961D-4EC5-99A2-A6CDBF64E274}"/>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1" name="Rectangle 260">
          <a:extLst>
            <a:ext uri="{FF2B5EF4-FFF2-40B4-BE49-F238E27FC236}">
              <a16:creationId xmlns:a16="http://schemas.microsoft.com/office/drawing/2014/main" id="{A67C5154-7722-48A7-974F-39D3CBA6BE4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2" name="Rectangle 261">
          <a:extLst>
            <a:ext uri="{FF2B5EF4-FFF2-40B4-BE49-F238E27FC236}">
              <a16:creationId xmlns:a16="http://schemas.microsoft.com/office/drawing/2014/main" id="{0C9B778F-E55C-4933-ACD8-4A0BC859778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3" name="Rectangle 262">
          <a:extLst>
            <a:ext uri="{FF2B5EF4-FFF2-40B4-BE49-F238E27FC236}">
              <a16:creationId xmlns:a16="http://schemas.microsoft.com/office/drawing/2014/main" id="{0AA3718D-B690-4E46-889E-C6B52AF33B0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4" name="Rectangle 263">
          <a:extLst>
            <a:ext uri="{FF2B5EF4-FFF2-40B4-BE49-F238E27FC236}">
              <a16:creationId xmlns:a16="http://schemas.microsoft.com/office/drawing/2014/main" id="{73803EC4-07ED-4DA3-9FE6-2D1028DC332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5" name="Rectangle 264">
          <a:extLst>
            <a:ext uri="{FF2B5EF4-FFF2-40B4-BE49-F238E27FC236}">
              <a16:creationId xmlns:a16="http://schemas.microsoft.com/office/drawing/2014/main" id="{CADEBE38-251A-4FFE-A78E-3F0D0EFD21A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6" name="Rectangle 265">
          <a:extLst>
            <a:ext uri="{FF2B5EF4-FFF2-40B4-BE49-F238E27FC236}">
              <a16:creationId xmlns:a16="http://schemas.microsoft.com/office/drawing/2014/main" id="{115714BC-0AF9-46B0-804C-1D052BCDD190}"/>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7" name="Rectangle 266">
          <a:extLst>
            <a:ext uri="{FF2B5EF4-FFF2-40B4-BE49-F238E27FC236}">
              <a16:creationId xmlns:a16="http://schemas.microsoft.com/office/drawing/2014/main" id="{3BC8D52D-10C8-4A21-A65E-E96F831094E9}"/>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8" name="Rectangle 267">
          <a:extLst>
            <a:ext uri="{FF2B5EF4-FFF2-40B4-BE49-F238E27FC236}">
              <a16:creationId xmlns:a16="http://schemas.microsoft.com/office/drawing/2014/main" id="{90BA6F2E-D704-4E23-920D-D1B1F9C148C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59" name="Rectangle 268">
          <a:extLst>
            <a:ext uri="{FF2B5EF4-FFF2-40B4-BE49-F238E27FC236}">
              <a16:creationId xmlns:a16="http://schemas.microsoft.com/office/drawing/2014/main" id="{09E06799-F1E8-49B2-B776-7C63E6298FC2}"/>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0" name="Rectangle 269">
          <a:extLst>
            <a:ext uri="{FF2B5EF4-FFF2-40B4-BE49-F238E27FC236}">
              <a16:creationId xmlns:a16="http://schemas.microsoft.com/office/drawing/2014/main" id="{812D352A-7E00-4029-B615-F92BA70DEF9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1" name="Rectangle 238">
          <a:extLst>
            <a:ext uri="{FF2B5EF4-FFF2-40B4-BE49-F238E27FC236}">
              <a16:creationId xmlns:a16="http://schemas.microsoft.com/office/drawing/2014/main" id="{7C46C04E-9517-4F34-A556-3847A5A3A5A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2" name="Rectangle 249">
          <a:extLst>
            <a:ext uri="{FF2B5EF4-FFF2-40B4-BE49-F238E27FC236}">
              <a16:creationId xmlns:a16="http://schemas.microsoft.com/office/drawing/2014/main" id="{7530D88A-9964-4FAB-9C01-E70A10E163A7}"/>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3" name="Rectangle 251">
          <a:extLst>
            <a:ext uri="{FF2B5EF4-FFF2-40B4-BE49-F238E27FC236}">
              <a16:creationId xmlns:a16="http://schemas.microsoft.com/office/drawing/2014/main" id="{9C0F2E95-0B02-4000-B73B-655D2E4D69FF}"/>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4" name="Rectangle 253">
          <a:extLst>
            <a:ext uri="{FF2B5EF4-FFF2-40B4-BE49-F238E27FC236}">
              <a16:creationId xmlns:a16="http://schemas.microsoft.com/office/drawing/2014/main" id="{1504170E-2387-4197-B69D-B2431323C00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5" name="Rectangle 254">
          <a:extLst>
            <a:ext uri="{FF2B5EF4-FFF2-40B4-BE49-F238E27FC236}">
              <a16:creationId xmlns:a16="http://schemas.microsoft.com/office/drawing/2014/main" id="{E01CEE4D-D412-4D72-A09A-F5531075EB3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6" name="Rectangle 255">
          <a:extLst>
            <a:ext uri="{FF2B5EF4-FFF2-40B4-BE49-F238E27FC236}">
              <a16:creationId xmlns:a16="http://schemas.microsoft.com/office/drawing/2014/main" id="{3E03FE2F-CBD0-41AF-BF51-495B0B54A03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7" name="Rectangle 257">
          <a:extLst>
            <a:ext uri="{FF2B5EF4-FFF2-40B4-BE49-F238E27FC236}">
              <a16:creationId xmlns:a16="http://schemas.microsoft.com/office/drawing/2014/main" id="{C353E23A-CE9D-40A7-BD70-19BDB474328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8" name="Rectangle 258">
          <a:extLst>
            <a:ext uri="{FF2B5EF4-FFF2-40B4-BE49-F238E27FC236}">
              <a16:creationId xmlns:a16="http://schemas.microsoft.com/office/drawing/2014/main" id="{18A5CA7F-622E-4A3D-8FAA-E9DA6B0D62F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69" name="Rectangle 259">
          <a:extLst>
            <a:ext uri="{FF2B5EF4-FFF2-40B4-BE49-F238E27FC236}">
              <a16:creationId xmlns:a16="http://schemas.microsoft.com/office/drawing/2014/main" id="{9179EA79-AAB9-48B3-991F-DAE4D8AB8E5E}"/>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0" name="Rectangle 260">
          <a:extLst>
            <a:ext uri="{FF2B5EF4-FFF2-40B4-BE49-F238E27FC236}">
              <a16:creationId xmlns:a16="http://schemas.microsoft.com/office/drawing/2014/main" id="{C72EBCCB-1E9D-4017-A488-E27DBD8DB59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1" name="Rectangle 261">
          <a:extLst>
            <a:ext uri="{FF2B5EF4-FFF2-40B4-BE49-F238E27FC236}">
              <a16:creationId xmlns:a16="http://schemas.microsoft.com/office/drawing/2014/main" id="{EE1B3326-59A7-4AED-A203-909F4B1653D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2" name="Rectangle 262">
          <a:extLst>
            <a:ext uri="{FF2B5EF4-FFF2-40B4-BE49-F238E27FC236}">
              <a16:creationId xmlns:a16="http://schemas.microsoft.com/office/drawing/2014/main" id="{D1327728-5042-44CA-9574-4F491984536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3" name="Rectangle 263">
          <a:extLst>
            <a:ext uri="{FF2B5EF4-FFF2-40B4-BE49-F238E27FC236}">
              <a16:creationId xmlns:a16="http://schemas.microsoft.com/office/drawing/2014/main" id="{5A99CC18-A8F5-426C-847E-B9F65B065E6A}"/>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4" name="Rectangle 264">
          <a:extLst>
            <a:ext uri="{FF2B5EF4-FFF2-40B4-BE49-F238E27FC236}">
              <a16:creationId xmlns:a16="http://schemas.microsoft.com/office/drawing/2014/main" id="{71FC33AD-DBA6-4A6E-BACA-C97256AA0A8B}"/>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5" name="Rectangle 265">
          <a:extLst>
            <a:ext uri="{FF2B5EF4-FFF2-40B4-BE49-F238E27FC236}">
              <a16:creationId xmlns:a16="http://schemas.microsoft.com/office/drawing/2014/main" id="{ABE95D77-3666-47B4-9CC7-2D54048A9066}"/>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6" name="Rectangle 266">
          <a:extLst>
            <a:ext uri="{FF2B5EF4-FFF2-40B4-BE49-F238E27FC236}">
              <a16:creationId xmlns:a16="http://schemas.microsoft.com/office/drawing/2014/main" id="{474C5A95-C43D-4AB3-8D26-A9E4400F64B1}"/>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7" name="Rectangle 267">
          <a:extLst>
            <a:ext uri="{FF2B5EF4-FFF2-40B4-BE49-F238E27FC236}">
              <a16:creationId xmlns:a16="http://schemas.microsoft.com/office/drawing/2014/main" id="{8857A6CF-D966-46FD-A3BB-6D241A5517B3}"/>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8" name="Rectangle 268">
          <a:extLst>
            <a:ext uri="{FF2B5EF4-FFF2-40B4-BE49-F238E27FC236}">
              <a16:creationId xmlns:a16="http://schemas.microsoft.com/office/drawing/2014/main" id="{2FC2C126-E8AE-408D-8FCF-2A97102CE8EC}"/>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267</xdr:row>
      <xdr:rowOff>0</xdr:rowOff>
    </xdr:from>
    <xdr:ext cx="28854" cy="132665"/>
    <xdr:sp macro="" textlink="">
      <xdr:nvSpPr>
        <xdr:cNvPr id="679" name="Rectangle 269">
          <a:extLst>
            <a:ext uri="{FF2B5EF4-FFF2-40B4-BE49-F238E27FC236}">
              <a16:creationId xmlns:a16="http://schemas.microsoft.com/office/drawing/2014/main" id="{F785984F-9826-41DD-89E3-728E3EF6ABC8}"/>
            </a:ext>
          </a:extLst>
        </xdr:cNvPr>
        <xdr:cNvSpPr>
          <a:spLocks noChangeArrowheads="1"/>
        </xdr:cNvSpPr>
      </xdr:nvSpPr>
      <xdr:spPr bwMode="auto">
        <a:xfrm>
          <a:off x="723900" y="81181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6</xdr:row>
      <xdr:rowOff>2117</xdr:rowOff>
    </xdr:from>
    <xdr:ext cx="28854" cy="132665"/>
    <xdr:sp macro="" textlink="">
      <xdr:nvSpPr>
        <xdr:cNvPr id="680" name="Rectangle 269">
          <a:extLst>
            <a:ext uri="{FF2B5EF4-FFF2-40B4-BE49-F238E27FC236}">
              <a16:creationId xmlns:a16="http://schemas.microsoft.com/office/drawing/2014/main" id="{842EE0AD-2D2D-41F3-9A0A-1BE7818BF1D0}"/>
            </a:ext>
          </a:extLst>
        </xdr:cNvPr>
        <xdr:cNvSpPr>
          <a:spLocks noChangeArrowheads="1"/>
        </xdr:cNvSpPr>
      </xdr:nvSpPr>
      <xdr:spPr bwMode="auto">
        <a:xfrm>
          <a:off x="3399155" y="916517"/>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1" name="Rectangle 238">
          <a:extLst>
            <a:ext uri="{FF2B5EF4-FFF2-40B4-BE49-F238E27FC236}">
              <a16:creationId xmlns:a16="http://schemas.microsoft.com/office/drawing/2014/main" id="{01B7944A-DF0C-4619-975B-495ADEF1C31B}"/>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2" name="Rectangle 249">
          <a:extLst>
            <a:ext uri="{FF2B5EF4-FFF2-40B4-BE49-F238E27FC236}">
              <a16:creationId xmlns:a16="http://schemas.microsoft.com/office/drawing/2014/main" id="{CB5F744E-E153-49EE-9DBA-E3D577A7B4BA}"/>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3" name="Rectangle 251">
          <a:extLst>
            <a:ext uri="{FF2B5EF4-FFF2-40B4-BE49-F238E27FC236}">
              <a16:creationId xmlns:a16="http://schemas.microsoft.com/office/drawing/2014/main" id="{5813A3DF-A65F-4912-AC63-95CEE53167A4}"/>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4" name="Rectangle 253">
          <a:extLst>
            <a:ext uri="{FF2B5EF4-FFF2-40B4-BE49-F238E27FC236}">
              <a16:creationId xmlns:a16="http://schemas.microsoft.com/office/drawing/2014/main" id="{FDBD4CD2-A4C6-4B10-9AC9-131EFE01982C}"/>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5" name="Rectangle 254">
          <a:extLst>
            <a:ext uri="{FF2B5EF4-FFF2-40B4-BE49-F238E27FC236}">
              <a16:creationId xmlns:a16="http://schemas.microsoft.com/office/drawing/2014/main" id="{1D0E71B6-3B7D-48B5-ACB1-4DB9F4948E23}"/>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6" name="Rectangle 255">
          <a:extLst>
            <a:ext uri="{FF2B5EF4-FFF2-40B4-BE49-F238E27FC236}">
              <a16:creationId xmlns:a16="http://schemas.microsoft.com/office/drawing/2014/main" id="{AAA4E1F6-EF11-453B-B4AC-485F94BFC6E9}"/>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7" name="Rectangle 257">
          <a:extLst>
            <a:ext uri="{FF2B5EF4-FFF2-40B4-BE49-F238E27FC236}">
              <a16:creationId xmlns:a16="http://schemas.microsoft.com/office/drawing/2014/main" id="{899E5D57-FE37-4F50-8AC8-1AC3D98D6860}"/>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8" name="Rectangle 258">
          <a:extLst>
            <a:ext uri="{FF2B5EF4-FFF2-40B4-BE49-F238E27FC236}">
              <a16:creationId xmlns:a16="http://schemas.microsoft.com/office/drawing/2014/main" id="{6AB2989B-8437-4DCD-8E9E-E82FB659E6EA}"/>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89" name="Rectangle 259">
          <a:extLst>
            <a:ext uri="{FF2B5EF4-FFF2-40B4-BE49-F238E27FC236}">
              <a16:creationId xmlns:a16="http://schemas.microsoft.com/office/drawing/2014/main" id="{B2628282-5954-40DF-AB03-CE4D005678AA}"/>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0" name="Rectangle 260">
          <a:extLst>
            <a:ext uri="{FF2B5EF4-FFF2-40B4-BE49-F238E27FC236}">
              <a16:creationId xmlns:a16="http://schemas.microsoft.com/office/drawing/2014/main" id="{5AF0AB70-F94A-4E57-A1D9-82125E8833BE}"/>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1" name="Rectangle 261">
          <a:extLst>
            <a:ext uri="{FF2B5EF4-FFF2-40B4-BE49-F238E27FC236}">
              <a16:creationId xmlns:a16="http://schemas.microsoft.com/office/drawing/2014/main" id="{D866391C-14E8-4D2B-A8AA-0197DE725C36}"/>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2" name="Rectangle 262">
          <a:extLst>
            <a:ext uri="{FF2B5EF4-FFF2-40B4-BE49-F238E27FC236}">
              <a16:creationId xmlns:a16="http://schemas.microsoft.com/office/drawing/2014/main" id="{99734A5A-ACD4-41BF-AC1B-863D50BEB0ED}"/>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3" name="Rectangle 263">
          <a:extLst>
            <a:ext uri="{FF2B5EF4-FFF2-40B4-BE49-F238E27FC236}">
              <a16:creationId xmlns:a16="http://schemas.microsoft.com/office/drawing/2014/main" id="{67185892-C4FD-4AC0-84D9-BB1E755F82AA}"/>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4" name="Rectangle 264">
          <a:extLst>
            <a:ext uri="{FF2B5EF4-FFF2-40B4-BE49-F238E27FC236}">
              <a16:creationId xmlns:a16="http://schemas.microsoft.com/office/drawing/2014/main" id="{C28D288E-A574-42FD-8176-4AFA5E9F7076}"/>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5" name="Rectangle 265">
          <a:extLst>
            <a:ext uri="{FF2B5EF4-FFF2-40B4-BE49-F238E27FC236}">
              <a16:creationId xmlns:a16="http://schemas.microsoft.com/office/drawing/2014/main" id="{73203C1D-AB44-41D3-926E-26FEE788D711}"/>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6" name="Rectangle 266">
          <a:extLst>
            <a:ext uri="{FF2B5EF4-FFF2-40B4-BE49-F238E27FC236}">
              <a16:creationId xmlns:a16="http://schemas.microsoft.com/office/drawing/2014/main" id="{6C2B1CE9-90B0-46C2-92FC-B5C4B1D51EC0}"/>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7" name="Rectangle 267">
          <a:extLst>
            <a:ext uri="{FF2B5EF4-FFF2-40B4-BE49-F238E27FC236}">
              <a16:creationId xmlns:a16="http://schemas.microsoft.com/office/drawing/2014/main" id="{F1E12A16-C18C-48E6-B92B-A0DFD5035DD3}"/>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8" name="Rectangle 268">
          <a:extLst>
            <a:ext uri="{FF2B5EF4-FFF2-40B4-BE49-F238E27FC236}">
              <a16:creationId xmlns:a16="http://schemas.microsoft.com/office/drawing/2014/main" id="{98905961-2E1D-4607-A28D-2BFF625C8A4D}"/>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699" name="Rectangle 269">
          <a:extLst>
            <a:ext uri="{FF2B5EF4-FFF2-40B4-BE49-F238E27FC236}">
              <a16:creationId xmlns:a16="http://schemas.microsoft.com/office/drawing/2014/main" id="{7C5DE196-3DE8-4DD8-B3A9-4550A93B0B91}"/>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0" name="Rectangle 238">
          <a:extLst>
            <a:ext uri="{FF2B5EF4-FFF2-40B4-BE49-F238E27FC236}">
              <a16:creationId xmlns:a16="http://schemas.microsoft.com/office/drawing/2014/main" id="{8A4EDCFD-E912-407A-8994-018AA5052A60}"/>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1" name="Rectangle 249">
          <a:extLst>
            <a:ext uri="{FF2B5EF4-FFF2-40B4-BE49-F238E27FC236}">
              <a16:creationId xmlns:a16="http://schemas.microsoft.com/office/drawing/2014/main" id="{0EE15A5A-0E79-478D-8114-E99556A192DB}"/>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2" name="Rectangle 251">
          <a:extLst>
            <a:ext uri="{FF2B5EF4-FFF2-40B4-BE49-F238E27FC236}">
              <a16:creationId xmlns:a16="http://schemas.microsoft.com/office/drawing/2014/main" id="{2D23B5EE-D316-4444-83F8-83AB9C50ACCD}"/>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3" name="Rectangle 253">
          <a:extLst>
            <a:ext uri="{FF2B5EF4-FFF2-40B4-BE49-F238E27FC236}">
              <a16:creationId xmlns:a16="http://schemas.microsoft.com/office/drawing/2014/main" id="{CA4879F8-F7FD-43B2-B599-12DB55355C27}"/>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4" name="Rectangle 254">
          <a:extLst>
            <a:ext uri="{FF2B5EF4-FFF2-40B4-BE49-F238E27FC236}">
              <a16:creationId xmlns:a16="http://schemas.microsoft.com/office/drawing/2014/main" id="{AAC73C0A-0312-4DDD-8C00-CD88E4B9F755}"/>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5" name="Rectangle 255">
          <a:extLst>
            <a:ext uri="{FF2B5EF4-FFF2-40B4-BE49-F238E27FC236}">
              <a16:creationId xmlns:a16="http://schemas.microsoft.com/office/drawing/2014/main" id="{D8DD3F84-3ACA-48DA-A9C8-976214660BC5}"/>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6" name="Rectangle 257">
          <a:extLst>
            <a:ext uri="{FF2B5EF4-FFF2-40B4-BE49-F238E27FC236}">
              <a16:creationId xmlns:a16="http://schemas.microsoft.com/office/drawing/2014/main" id="{D9D53593-E841-421A-865B-D940DC72F529}"/>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7" name="Rectangle 258">
          <a:extLst>
            <a:ext uri="{FF2B5EF4-FFF2-40B4-BE49-F238E27FC236}">
              <a16:creationId xmlns:a16="http://schemas.microsoft.com/office/drawing/2014/main" id="{61A21E96-4096-419D-B120-7442E4AAEA74}"/>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8" name="Rectangle 259">
          <a:extLst>
            <a:ext uri="{FF2B5EF4-FFF2-40B4-BE49-F238E27FC236}">
              <a16:creationId xmlns:a16="http://schemas.microsoft.com/office/drawing/2014/main" id="{689C1F09-837F-4D61-A2EF-0BDB4ABD82C6}"/>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09" name="Rectangle 260">
          <a:extLst>
            <a:ext uri="{FF2B5EF4-FFF2-40B4-BE49-F238E27FC236}">
              <a16:creationId xmlns:a16="http://schemas.microsoft.com/office/drawing/2014/main" id="{B9F8738C-9FAB-497B-A79D-6DC055F80FDE}"/>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0" name="Rectangle 261">
          <a:extLst>
            <a:ext uri="{FF2B5EF4-FFF2-40B4-BE49-F238E27FC236}">
              <a16:creationId xmlns:a16="http://schemas.microsoft.com/office/drawing/2014/main" id="{7C7A49C8-2EC7-43E3-96DE-2D36C28B3D31}"/>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1" name="Rectangle 262">
          <a:extLst>
            <a:ext uri="{FF2B5EF4-FFF2-40B4-BE49-F238E27FC236}">
              <a16:creationId xmlns:a16="http://schemas.microsoft.com/office/drawing/2014/main" id="{0328398E-7684-40A0-BF8C-A686A40C7269}"/>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2" name="Rectangle 263">
          <a:extLst>
            <a:ext uri="{FF2B5EF4-FFF2-40B4-BE49-F238E27FC236}">
              <a16:creationId xmlns:a16="http://schemas.microsoft.com/office/drawing/2014/main" id="{8E264E3E-B56E-48D8-BD48-AD82D771ECF0}"/>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3" name="Rectangle 264">
          <a:extLst>
            <a:ext uri="{FF2B5EF4-FFF2-40B4-BE49-F238E27FC236}">
              <a16:creationId xmlns:a16="http://schemas.microsoft.com/office/drawing/2014/main" id="{E175F850-A17C-4463-8171-CC3190A465E2}"/>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4" name="Rectangle 265">
          <a:extLst>
            <a:ext uri="{FF2B5EF4-FFF2-40B4-BE49-F238E27FC236}">
              <a16:creationId xmlns:a16="http://schemas.microsoft.com/office/drawing/2014/main" id="{A15085E8-9DEE-42A5-9FFA-11A7FF683404}"/>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5" name="Rectangle 266">
          <a:extLst>
            <a:ext uri="{FF2B5EF4-FFF2-40B4-BE49-F238E27FC236}">
              <a16:creationId xmlns:a16="http://schemas.microsoft.com/office/drawing/2014/main" id="{6EA4C0C6-8889-408F-B850-6FCA27E51185}"/>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6" name="Rectangle 267">
          <a:extLst>
            <a:ext uri="{FF2B5EF4-FFF2-40B4-BE49-F238E27FC236}">
              <a16:creationId xmlns:a16="http://schemas.microsoft.com/office/drawing/2014/main" id="{0BB69B6B-29BF-4D10-B917-E99963C3A147}"/>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7" name="Rectangle 268">
          <a:extLst>
            <a:ext uri="{FF2B5EF4-FFF2-40B4-BE49-F238E27FC236}">
              <a16:creationId xmlns:a16="http://schemas.microsoft.com/office/drawing/2014/main" id="{E1627160-EB4A-4E6D-9B85-FC9A4165CA78}"/>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8" name="Rectangle 269">
          <a:extLst>
            <a:ext uri="{FF2B5EF4-FFF2-40B4-BE49-F238E27FC236}">
              <a16:creationId xmlns:a16="http://schemas.microsoft.com/office/drawing/2014/main" id="{1CA5FA75-115B-4D3B-B1CF-EC6465E620C4}"/>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19" name="Rectangle 238">
          <a:extLst>
            <a:ext uri="{FF2B5EF4-FFF2-40B4-BE49-F238E27FC236}">
              <a16:creationId xmlns:a16="http://schemas.microsoft.com/office/drawing/2014/main" id="{785A5283-8153-4D6E-A3CA-D3D32E5DDA3C}"/>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0" name="Rectangle 249">
          <a:extLst>
            <a:ext uri="{FF2B5EF4-FFF2-40B4-BE49-F238E27FC236}">
              <a16:creationId xmlns:a16="http://schemas.microsoft.com/office/drawing/2014/main" id="{6DF9481E-F3AA-4AB5-A159-5979F8B37538}"/>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1" name="Rectangle 251">
          <a:extLst>
            <a:ext uri="{FF2B5EF4-FFF2-40B4-BE49-F238E27FC236}">
              <a16:creationId xmlns:a16="http://schemas.microsoft.com/office/drawing/2014/main" id="{1617C6E1-0970-4A50-B7A8-B15EFA9332D5}"/>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2" name="Rectangle 253">
          <a:extLst>
            <a:ext uri="{FF2B5EF4-FFF2-40B4-BE49-F238E27FC236}">
              <a16:creationId xmlns:a16="http://schemas.microsoft.com/office/drawing/2014/main" id="{4831A4B0-2F4F-4147-9D45-513AF2138298}"/>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3" name="Rectangle 254">
          <a:extLst>
            <a:ext uri="{FF2B5EF4-FFF2-40B4-BE49-F238E27FC236}">
              <a16:creationId xmlns:a16="http://schemas.microsoft.com/office/drawing/2014/main" id="{00C69929-F1B8-432F-BE0C-7B0470989ED3}"/>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4" name="Rectangle 255">
          <a:extLst>
            <a:ext uri="{FF2B5EF4-FFF2-40B4-BE49-F238E27FC236}">
              <a16:creationId xmlns:a16="http://schemas.microsoft.com/office/drawing/2014/main" id="{E0901EC0-0CB5-4A4C-982B-7CE11DFC23C8}"/>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5" name="Rectangle 257">
          <a:extLst>
            <a:ext uri="{FF2B5EF4-FFF2-40B4-BE49-F238E27FC236}">
              <a16:creationId xmlns:a16="http://schemas.microsoft.com/office/drawing/2014/main" id="{94C1F8C7-26FA-4F49-B16F-5558183E7587}"/>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6" name="Rectangle 258">
          <a:extLst>
            <a:ext uri="{FF2B5EF4-FFF2-40B4-BE49-F238E27FC236}">
              <a16:creationId xmlns:a16="http://schemas.microsoft.com/office/drawing/2014/main" id="{35AFF67C-0859-4C80-9A34-7AA8FA54221D}"/>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7" name="Rectangle 259">
          <a:extLst>
            <a:ext uri="{FF2B5EF4-FFF2-40B4-BE49-F238E27FC236}">
              <a16:creationId xmlns:a16="http://schemas.microsoft.com/office/drawing/2014/main" id="{D3FDD4C7-5DDD-4CC0-AF15-656EFE6CABB2}"/>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8" name="Rectangle 260">
          <a:extLst>
            <a:ext uri="{FF2B5EF4-FFF2-40B4-BE49-F238E27FC236}">
              <a16:creationId xmlns:a16="http://schemas.microsoft.com/office/drawing/2014/main" id="{F2C5F383-9CC4-4DD8-A400-BC3C2C705F67}"/>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29" name="Rectangle 261">
          <a:extLst>
            <a:ext uri="{FF2B5EF4-FFF2-40B4-BE49-F238E27FC236}">
              <a16:creationId xmlns:a16="http://schemas.microsoft.com/office/drawing/2014/main" id="{FA0B5136-9F96-494D-A23A-DEDAC9245F71}"/>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30" name="Rectangle 262">
          <a:extLst>
            <a:ext uri="{FF2B5EF4-FFF2-40B4-BE49-F238E27FC236}">
              <a16:creationId xmlns:a16="http://schemas.microsoft.com/office/drawing/2014/main" id="{8915EDCC-22AA-44E7-9732-5571D4756823}"/>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31" name="Rectangle 263">
          <a:extLst>
            <a:ext uri="{FF2B5EF4-FFF2-40B4-BE49-F238E27FC236}">
              <a16:creationId xmlns:a16="http://schemas.microsoft.com/office/drawing/2014/main" id="{6F5922F8-0BA5-4908-A1A4-3824F0978D92}"/>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32" name="Rectangle 264">
          <a:extLst>
            <a:ext uri="{FF2B5EF4-FFF2-40B4-BE49-F238E27FC236}">
              <a16:creationId xmlns:a16="http://schemas.microsoft.com/office/drawing/2014/main" id="{7694071B-847B-4775-BAC2-B2EE2D5F5642}"/>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33" name="Rectangle 265">
          <a:extLst>
            <a:ext uri="{FF2B5EF4-FFF2-40B4-BE49-F238E27FC236}">
              <a16:creationId xmlns:a16="http://schemas.microsoft.com/office/drawing/2014/main" id="{3166AA17-B378-4C87-96E7-5C96CB7C70FF}"/>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34" name="Rectangle 266">
          <a:extLst>
            <a:ext uri="{FF2B5EF4-FFF2-40B4-BE49-F238E27FC236}">
              <a16:creationId xmlns:a16="http://schemas.microsoft.com/office/drawing/2014/main" id="{3EE2AA68-D472-4B18-A203-19BF4124C8D4}"/>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35" name="Rectangle 267">
          <a:extLst>
            <a:ext uri="{FF2B5EF4-FFF2-40B4-BE49-F238E27FC236}">
              <a16:creationId xmlns:a16="http://schemas.microsoft.com/office/drawing/2014/main" id="{66F1197A-ADFE-4E14-8554-595E88962B37}"/>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36" name="Rectangle 268">
          <a:extLst>
            <a:ext uri="{FF2B5EF4-FFF2-40B4-BE49-F238E27FC236}">
              <a16:creationId xmlns:a16="http://schemas.microsoft.com/office/drawing/2014/main" id="{58330A51-F3E4-4DA4-AFB9-8B1CA06B84A7}"/>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794</xdr:row>
      <xdr:rowOff>0</xdr:rowOff>
    </xdr:from>
    <xdr:ext cx="28854" cy="132665"/>
    <xdr:sp macro="" textlink="">
      <xdr:nvSpPr>
        <xdr:cNvPr id="737" name="Rectangle 269">
          <a:extLst>
            <a:ext uri="{FF2B5EF4-FFF2-40B4-BE49-F238E27FC236}">
              <a16:creationId xmlns:a16="http://schemas.microsoft.com/office/drawing/2014/main" id="{1B2AE03D-B4A0-4B27-9773-8FB36B05304D}"/>
            </a:ext>
          </a:extLst>
        </xdr:cNvPr>
        <xdr:cNvSpPr>
          <a:spLocks noChangeArrowheads="1"/>
        </xdr:cNvSpPr>
      </xdr:nvSpPr>
      <xdr:spPr bwMode="auto">
        <a:xfrm>
          <a:off x="723900" y="2245137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38" name="Rectangle 238">
          <a:extLst>
            <a:ext uri="{FF2B5EF4-FFF2-40B4-BE49-F238E27FC236}">
              <a16:creationId xmlns:a16="http://schemas.microsoft.com/office/drawing/2014/main" id="{35A07E7D-D6A3-4E3E-9F06-A660530329CD}"/>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39" name="Rectangle 249">
          <a:extLst>
            <a:ext uri="{FF2B5EF4-FFF2-40B4-BE49-F238E27FC236}">
              <a16:creationId xmlns:a16="http://schemas.microsoft.com/office/drawing/2014/main" id="{7433AB5A-494A-4F08-B1C6-14C5C11776CF}"/>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0" name="Rectangle 251">
          <a:extLst>
            <a:ext uri="{FF2B5EF4-FFF2-40B4-BE49-F238E27FC236}">
              <a16:creationId xmlns:a16="http://schemas.microsoft.com/office/drawing/2014/main" id="{40BE0B32-04C7-42AF-84F8-E33E874600B5}"/>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1" name="Rectangle 253">
          <a:extLst>
            <a:ext uri="{FF2B5EF4-FFF2-40B4-BE49-F238E27FC236}">
              <a16:creationId xmlns:a16="http://schemas.microsoft.com/office/drawing/2014/main" id="{989E559A-14B1-4BC8-B626-EFA9014C43A6}"/>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2" name="Rectangle 254">
          <a:extLst>
            <a:ext uri="{FF2B5EF4-FFF2-40B4-BE49-F238E27FC236}">
              <a16:creationId xmlns:a16="http://schemas.microsoft.com/office/drawing/2014/main" id="{0313DBC2-F567-463C-B551-ADAF76DA00AB}"/>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3" name="Rectangle 255">
          <a:extLst>
            <a:ext uri="{FF2B5EF4-FFF2-40B4-BE49-F238E27FC236}">
              <a16:creationId xmlns:a16="http://schemas.microsoft.com/office/drawing/2014/main" id="{2A2E3DC7-DF23-4D05-B190-F8AF13A7A0F3}"/>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4" name="Rectangle 257">
          <a:extLst>
            <a:ext uri="{FF2B5EF4-FFF2-40B4-BE49-F238E27FC236}">
              <a16:creationId xmlns:a16="http://schemas.microsoft.com/office/drawing/2014/main" id="{8CF6456D-9DFD-4B69-8DA7-BD58EBC38865}"/>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5" name="Rectangle 258">
          <a:extLst>
            <a:ext uri="{FF2B5EF4-FFF2-40B4-BE49-F238E27FC236}">
              <a16:creationId xmlns:a16="http://schemas.microsoft.com/office/drawing/2014/main" id="{9F96ABE8-403A-4D41-9688-0E2973418CFC}"/>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6" name="Rectangle 259">
          <a:extLst>
            <a:ext uri="{FF2B5EF4-FFF2-40B4-BE49-F238E27FC236}">
              <a16:creationId xmlns:a16="http://schemas.microsoft.com/office/drawing/2014/main" id="{AF3F9D98-B892-4A84-8035-D3CC2A9CBC9A}"/>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7" name="Rectangle 260">
          <a:extLst>
            <a:ext uri="{FF2B5EF4-FFF2-40B4-BE49-F238E27FC236}">
              <a16:creationId xmlns:a16="http://schemas.microsoft.com/office/drawing/2014/main" id="{863FE97E-7F44-473C-AA95-7C43126A4016}"/>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8" name="Rectangle 261">
          <a:extLst>
            <a:ext uri="{FF2B5EF4-FFF2-40B4-BE49-F238E27FC236}">
              <a16:creationId xmlns:a16="http://schemas.microsoft.com/office/drawing/2014/main" id="{CAEC0626-6E23-448B-8DEB-8C2DD254A937}"/>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49" name="Rectangle 262">
          <a:extLst>
            <a:ext uri="{FF2B5EF4-FFF2-40B4-BE49-F238E27FC236}">
              <a16:creationId xmlns:a16="http://schemas.microsoft.com/office/drawing/2014/main" id="{91B567E0-8368-4263-BBB6-6B1CC21E36BC}"/>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0" name="Rectangle 263">
          <a:extLst>
            <a:ext uri="{FF2B5EF4-FFF2-40B4-BE49-F238E27FC236}">
              <a16:creationId xmlns:a16="http://schemas.microsoft.com/office/drawing/2014/main" id="{975BDCB1-199D-4FAC-B75A-12CE15272B5A}"/>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1" name="Rectangle 264">
          <a:extLst>
            <a:ext uri="{FF2B5EF4-FFF2-40B4-BE49-F238E27FC236}">
              <a16:creationId xmlns:a16="http://schemas.microsoft.com/office/drawing/2014/main" id="{443082B8-0924-40E7-993E-DA84940564D0}"/>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2" name="Rectangle 265">
          <a:extLst>
            <a:ext uri="{FF2B5EF4-FFF2-40B4-BE49-F238E27FC236}">
              <a16:creationId xmlns:a16="http://schemas.microsoft.com/office/drawing/2014/main" id="{7345C823-93E8-4A0E-B682-F471C826DB6B}"/>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3" name="Rectangle 266">
          <a:extLst>
            <a:ext uri="{FF2B5EF4-FFF2-40B4-BE49-F238E27FC236}">
              <a16:creationId xmlns:a16="http://schemas.microsoft.com/office/drawing/2014/main" id="{A4E95DA8-2955-4CA3-9F4C-84EE8AF4D41D}"/>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4" name="Rectangle 267">
          <a:extLst>
            <a:ext uri="{FF2B5EF4-FFF2-40B4-BE49-F238E27FC236}">
              <a16:creationId xmlns:a16="http://schemas.microsoft.com/office/drawing/2014/main" id="{FCA0046C-1BFA-4158-88D3-4D269F8C3346}"/>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5" name="Rectangle 268">
          <a:extLst>
            <a:ext uri="{FF2B5EF4-FFF2-40B4-BE49-F238E27FC236}">
              <a16:creationId xmlns:a16="http://schemas.microsoft.com/office/drawing/2014/main" id="{3FBCECD4-ED1B-4B4F-AD9E-3D6FAB275693}"/>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6" name="Rectangle 269">
          <a:extLst>
            <a:ext uri="{FF2B5EF4-FFF2-40B4-BE49-F238E27FC236}">
              <a16:creationId xmlns:a16="http://schemas.microsoft.com/office/drawing/2014/main" id="{9E04FC12-FA00-4AEA-B110-3DF0A1CB5EAE}"/>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7" name="Rectangle 238">
          <a:extLst>
            <a:ext uri="{FF2B5EF4-FFF2-40B4-BE49-F238E27FC236}">
              <a16:creationId xmlns:a16="http://schemas.microsoft.com/office/drawing/2014/main" id="{5C3BEADE-C632-425C-A18C-AF659A2DC44F}"/>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8" name="Rectangle 249">
          <a:extLst>
            <a:ext uri="{FF2B5EF4-FFF2-40B4-BE49-F238E27FC236}">
              <a16:creationId xmlns:a16="http://schemas.microsoft.com/office/drawing/2014/main" id="{7F50BFC8-1991-48E9-B5C0-1C384DD12C8F}"/>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59" name="Rectangle 251">
          <a:extLst>
            <a:ext uri="{FF2B5EF4-FFF2-40B4-BE49-F238E27FC236}">
              <a16:creationId xmlns:a16="http://schemas.microsoft.com/office/drawing/2014/main" id="{B67705F4-85C8-42C4-871F-2BFA543F11A8}"/>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0" name="Rectangle 253">
          <a:extLst>
            <a:ext uri="{FF2B5EF4-FFF2-40B4-BE49-F238E27FC236}">
              <a16:creationId xmlns:a16="http://schemas.microsoft.com/office/drawing/2014/main" id="{F443C9F0-7BDD-46DF-9A2D-51AD9A756A3A}"/>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1" name="Rectangle 254">
          <a:extLst>
            <a:ext uri="{FF2B5EF4-FFF2-40B4-BE49-F238E27FC236}">
              <a16:creationId xmlns:a16="http://schemas.microsoft.com/office/drawing/2014/main" id="{7C60A125-13AB-4589-B17E-58A5459A25B1}"/>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2" name="Rectangle 255">
          <a:extLst>
            <a:ext uri="{FF2B5EF4-FFF2-40B4-BE49-F238E27FC236}">
              <a16:creationId xmlns:a16="http://schemas.microsoft.com/office/drawing/2014/main" id="{94FF14CA-A531-44FB-BED1-03F47217F1E6}"/>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3" name="Rectangle 257">
          <a:extLst>
            <a:ext uri="{FF2B5EF4-FFF2-40B4-BE49-F238E27FC236}">
              <a16:creationId xmlns:a16="http://schemas.microsoft.com/office/drawing/2014/main" id="{470EBD60-29B9-4E71-B4B2-7344E1A0A3D7}"/>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4" name="Rectangle 258">
          <a:extLst>
            <a:ext uri="{FF2B5EF4-FFF2-40B4-BE49-F238E27FC236}">
              <a16:creationId xmlns:a16="http://schemas.microsoft.com/office/drawing/2014/main" id="{FA1986EC-42BF-42D3-A667-9FBA5C598659}"/>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5" name="Rectangle 259">
          <a:extLst>
            <a:ext uri="{FF2B5EF4-FFF2-40B4-BE49-F238E27FC236}">
              <a16:creationId xmlns:a16="http://schemas.microsoft.com/office/drawing/2014/main" id="{1C129B94-566F-4986-AF02-9266C2FAEBF0}"/>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6" name="Rectangle 260">
          <a:extLst>
            <a:ext uri="{FF2B5EF4-FFF2-40B4-BE49-F238E27FC236}">
              <a16:creationId xmlns:a16="http://schemas.microsoft.com/office/drawing/2014/main" id="{68E27745-ABAE-4CE8-904A-A8786C30BA41}"/>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7" name="Rectangle 261">
          <a:extLst>
            <a:ext uri="{FF2B5EF4-FFF2-40B4-BE49-F238E27FC236}">
              <a16:creationId xmlns:a16="http://schemas.microsoft.com/office/drawing/2014/main" id="{2B679699-A754-455D-B913-B63548D14368}"/>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8" name="Rectangle 262">
          <a:extLst>
            <a:ext uri="{FF2B5EF4-FFF2-40B4-BE49-F238E27FC236}">
              <a16:creationId xmlns:a16="http://schemas.microsoft.com/office/drawing/2014/main" id="{8ABCD01D-5A5D-4BD2-8273-316E863B3EEE}"/>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69" name="Rectangle 263">
          <a:extLst>
            <a:ext uri="{FF2B5EF4-FFF2-40B4-BE49-F238E27FC236}">
              <a16:creationId xmlns:a16="http://schemas.microsoft.com/office/drawing/2014/main" id="{854EFFE5-5B60-4FA5-9E52-C44F400B9793}"/>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70" name="Rectangle 264">
          <a:extLst>
            <a:ext uri="{FF2B5EF4-FFF2-40B4-BE49-F238E27FC236}">
              <a16:creationId xmlns:a16="http://schemas.microsoft.com/office/drawing/2014/main" id="{6FA0E3D3-EDF9-4079-8069-FAEFB9950789}"/>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71" name="Rectangle 265">
          <a:extLst>
            <a:ext uri="{FF2B5EF4-FFF2-40B4-BE49-F238E27FC236}">
              <a16:creationId xmlns:a16="http://schemas.microsoft.com/office/drawing/2014/main" id="{B64EA300-7FA0-4C30-9410-DD5AD9E05B36}"/>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72" name="Rectangle 266">
          <a:extLst>
            <a:ext uri="{FF2B5EF4-FFF2-40B4-BE49-F238E27FC236}">
              <a16:creationId xmlns:a16="http://schemas.microsoft.com/office/drawing/2014/main" id="{A9FECACE-4F7E-4027-81CA-9DC3B9ADCF70}"/>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73" name="Rectangle 267">
          <a:extLst>
            <a:ext uri="{FF2B5EF4-FFF2-40B4-BE49-F238E27FC236}">
              <a16:creationId xmlns:a16="http://schemas.microsoft.com/office/drawing/2014/main" id="{5BC0B35F-339B-4F45-BCD5-FBF04B8DCC61}"/>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74" name="Rectangle 268">
          <a:extLst>
            <a:ext uri="{FF2B5EF4-FFF2-40B4-BE49-F238E27FC236}">
              <a16:creationId xmlns:a16="http://schemas.microsoft.com/office/drawing/2014/main" id="{97562298-C6EC-4824-949A-A6C430394710}"/>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836</xdr:row>
      <xdr:rowOff>0</xdr:rowOff>
    </xdr:from>
    <xdr:ext cx="28854" cy="132665"/>
    <xdr:sp macro="" textlink="">
      <xdr:nvSpPr>
        <xdr:cNvPr id="775" name="Rectangle 269">
          <a:extLst>
            <a:ext uri="{FF2B5EF4-FFF2-40B4-BE49-F238E27FC236}">
              <a16:creationId xmlns:a16="http://schemas.microsoft.com/office/drawing/2014/main" id="{E1D1122B-5D58-465D-B8A7-A248AB49FADB}"/>
            </a:ext>
          </a:extLst>
        </xdr:cNvPr>
        <xdr:cNvSpPr>
          <a:spLocks noChangeArrowheads="1"/>
        </xdr:cNvSpPr>
      </xdr:nvSpPr>
      <xdr:spPr bwMode="auto">
        <a:xfrm>
          <a:off x="723900" y="2349531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76" name="Rectangle 238">
          <a:extLst>
            <a:ext uri="{FF2B5EF4-FFF2-40B4-BE49-F238E27FC236}">
              <a16:creationId xmlns:a16="http://schemas.microsoft.com/office/drawing/2014/main" id="{D56D1A48-81FF-407C-B01C-13B192A91DF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77" name="Rectangle 249">
          <a:extLst>
            <a:ext uri="{FF2B5EF4-FFF2-40B4-BE49-F238E27FC236}">
              <a16:creationId xmlns:a16="http://schemas.microsoft.com/office/drawing/2014/main" id="{EC33006C-7F9E-4856-8AAE-4ADE3728567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78" name="Rectangle 251">
          <a:extLst>
            <a:ext uri="{FF2B5EF4-FFF2-40B4-BE49-F238E27FC236}">
              <a16:creationId xmlns:a16="http://schemas.microsoft.com/office/drawing/2014/main" id="{CDA4DC72-EA2F-4CD7-8523-DE96E906845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79" name="Rectangle 253">
          <a:extLst>
            <a:ext uri="{FF2B5EF4-FFF2-40B4-BE49-F238E27FC236}">
              <a16:creationId xmlns:a16="http://schemas.microsoft.com/office/drawing/2014/main" id="{BA1F7391-5497-4FA9-B80A-A05A73C3152C}"/>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0" name="Rectangle 254">
          <a:extLst>
            <a:ext uri="{FF2B5EF4-FFF2-40B4-BE49-F238E27FC236}">
              <a16:creationId xmlns:a16="http://schemas.microsoft.com/office/drawing/2014/main" id="{ED225063-81C3-4E84-83F2-F8ED210962C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1" name="Rectangle 255">
          <a:extLst>
            <a:ext uri="{FF2B5EF4-FFF2-40B4-BE49-F238E27FC236}">
              <a16:creationId xmlns:a16="http://schemas.microsoft.com/office/drawing/2014/main" id="{AB9A9136-9E67-4D7B-842F-285895F8539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2" name="Rectangle 257">
          <a:extLst>
            <a:ext uri="{FF2B5EF4-FFF2-40B4-BE49-F238E27FC236}">
              <a16:creationId xmlns:a16="http://schemas.microsoft.com/office/drawing/2014/main" id="{E801BF33-937E-4D04-8E85-9588BE9C241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3" name="Rectangle 258">
          <a:extLst>
            <a:ext uri="{FF2B5EF4-FFF2-40B4-BE49-F238E27FC236}">
              <a16:creationId xmlns:a16="http://schemas.microsoft.com/office/drawing/2014/main" id="{55639E5C-7911-4C63-9035-FCDB3DD0237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4" name="Rectangle 259">
          <a:extLst>
            <a:ext uri="{FF2B5EF4-FFF2-40B4-BE49-F238E27FC236}">
              <a16:creationId xmlns:a16="http://schemas.microsoft.com/office/drawing/2014/main" id="{38DACC3E-04E9-430D-B034-767D4C2B8D1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5" name="Rectangle 260">
          <a:extLst>
            <a:ext uri="{FF2B5EF4-FFF2-40B4-BE49-F238E27FC236}">
              <a16:creationId xmlns:a16="http://schemas.microsoft.com/office/drawing/2014/main" id="{0D04144D-B7D0-4BB9-AF1F-5B182F1DEC7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6" name="Rectangle 261">
          <a:extLst>
            <a:ext uri="{FF2B5EF4-FFF2-40B4-BE49-F238E27FC236}">
              <a16:creationId xmlns:a16="http://schemas.microsoft.com/office/drawing/2014/main" id="{AA0BCD7F-A922-4ADB-A357-2AE8FE4715C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7" name="Rectangle 262">
          <a:extLst>
            <a:ext uri="{FF2B5EF4-FFF2-40B4-BE49-F238E27FC236}">
              <a16:creationId xmlns:a16="http://schemas.microsoft.com/office/drawing/2014/main" id="{DB55188C-D8C3-40D5-94E3-C0A26A2394B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8" name="Rectangle 263">
          <a:extLst>
            <a:ext uri="{FF2B5EF4-FFF2-40B4-BE49-F238E27FC236}">
              <a16:creationId xmlns:a16="http://schemas.microsoft.com/office/drawing/2014/main" id="{26981F2B-5083-4F29-B25F-93CF0D2ECC3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89" name="Rectangle 264">
          <a:extLst>
            <a:ext uri="{FF2B5EF4-FFF2-40B4-BE49-F238E27FC236}">
              <a16:creationId xmlns:a16="http://schemas.microsoft.com/office/drawing/2014/main" id="{3FA05E1B-2370-4114-9B39-3DCF4A514BD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0" name="Rectangle 265">
          <a:extLst>
            <a:ext uri="{FF2B5EF4-FFF2-40B4-BE49-F238E27FC236}">
              <a16:creationId xmlns:a16="http://schemas.microsoft.com/office/drawing/2014/main" id="{05E460F8-7FD8-452B-8F4F-46DAC628BBD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1" name="Rectangle 266">
          <a:extLst>
            <a:ext uri="{FF2B5EF4-FFF2-40B4-BE49-F238E27FC236}">
              <a16:creationId xmlns:a16="http://schemas.microsoft.com/office/drawing/2014/main" id="{0A164A25-0BB2-48BB-A528-118F0EA28D7B}"/>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2" name="Rectangle 267">
          <a:extLst>
            <a:ext uri="{FF2B5EF4-FFF2-40B4-BE49-F238E27FC236}">
              <a16:creationId xmlns:a16="http://schemas.microsoft.com/office/drawing/2014/main" id="{5C27A5EB-5603-46CA-B6A2-BB5A2A43377C}"/>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3" name="Rectangle 268">
          <a:extLst>
            <a:ext uri="{FF2B5EF4-FFF2-40B4-BE49-F238E27FC236}">
              <a16:creationId xmlns:a16="http://schemas.microsoft.com/office/drawing/2014/main" id="{2405CC77-3E97-4BE4-938D-975A0042DFE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4" name="Rectangle 269">
          <a:extLst>
            <a:ext uri="{FF2B5EF4-FFF2-40B4-BE49-F238E27FC236}">
              <a16:creationId xmlns:a16="http://schemas.microsoft.com/office/drawing/2014/main" id="{13A1ED50-D18F-4A32-85BC-1718E00ABBB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5" name="Rectangle 238">
          <a:extLst>
            <a:ext uri="{FF2B5EF4-FFF2-40B4-BE49-F238E27FC236}">
              <a16:creationId xmlns:a16="http://schemas.microsoft.com/office/drawing/2014/main" id="{25B2ACDB-D565-4D63-8BB6-9CE786B1640F}"/>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6" name="Rectangle 249">
          <a:extLst>
            <a:ext uri="{FF2B5EF4-FFF2-40B4-BE49-F238E27FC236}">
              <a16:creationId xmlns:a16="http://schemas.microsoft.com/office/drawing/2014/main" id="{5C254EB1-E9E2-4EA5-B4C1-CDE0BE12A81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7" name="Rectangle 251">
          <a:extLst>
            <a:ext uri="{FF2B5EF4-FFF2-40B4-BE49-F238E27FC236}">
              <a16:creationId xmlns:a16="http://schemas.microsoft.com/office/drawing/2014/main" id="{56E76620-9BDC-442A-93BC-185FE1AC3AEA}"/>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8" name="Rectangle 253">
          <a:extLst>
            <a:ext uri="{FF2B5EF4-FFF2-40B4-BE49-F238E27FC236}">
              <a16:creationId xmlns:a16="http://schemas.microsoft.com/office/drawing/2014/main" id="{22D771D2-FD60-4F19-AEF5-26CA309694C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799" name="Rectangle 254">
          <a:extLst>
            <a:ext uri="{FF2B5EF4-FFF2-40B4-BE49-F238E27FC236}">
              <a16:creationId xmlns:a16="http://schemas.microsoft.com/office/drawing/2014/main" id="{CDBAB63B-127C-4958-AE4A-4293C4A07D5B}"/>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0" name="Rectangle 255">
          <a:extLst>
            <a:ext uri="{FF2B5EF4-FFF2-40B4-BE49-F238E27FC236}">
              <a16:creationId xmlns:a16="http://schemas.microsoft.com/office/drawing/2014/main" id="{C7B2098B-A9AE-48D9-B615-60124C967B7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1" name="Rectangle 257">
          <a:extLst>
            <a:ext uri="{FF2B5EF4-FFF2-40B4-BE49-F238E27FC236}">
              <a16:creationId xmlns:a16="http://schemas.microsoft.com/office/drawing/2014/main" id="{42CE3304-CAE1-46E8-830C-7F2052B2D6B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2" name="Rectangle 258">
          <a:extLst>
            <a:ext uri="{FF2B5EF4-FFF2-40B4-BE49-F238E27FC236}">
              <a16:creationId xmlns:a16="http://schemas.microsoft.com/office/drawing/2014/main" id="{490B476A-36FC-4C30-A69A-FD520AC23C8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3" name="Rectangle 259">
          <a:extLst>
            <a:ext uri="{FF2B5EF4-FFF2-40B4-BE49-F238E27FC236}">
              <a16:creationId xmlns:a16="http://schemas.microsoft.com/office/drawing/2014/main" id="{31BA5057-43B2-4734-BC8A-11E3CBFA643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4" name="Rectangle 260">
          <a:extLst>
            <a:ext uri="{FF2B5EF4-FFF2-40B4-BE49-F238E27FC236}">
              <a16:creationId xmlns:a16="http://schemas.microsoft.com/office/drawing/2014/main" id="{62E8562C-00DB-4B30-91D7-D8D6DF4832D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5" name="Rectangle 261">
          <a:extLst>
            <a:ext uri="{FF2B5EF4-FFF2-40B4-BE49-F238E27FC236}">
              <a16:creationId xmlns:a16="http://schemas.microsoft.com/office/drawing/2014/main" id="{C0E5E007-F29C-40AC-996B-9C82BD8570C9}"/>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6" name="Rectangle 262">
          <a:extLst>
            <a:ext uri="{FF2B5EF4-FFF2-40B4-BE49-F238E27FC236}">
              <a16:creationId xmlns:a16="http://schemas.microsoft.com/office/drawing/2014/main" id="{C426F069-18C5-4AF7-BDC6-66982A30790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7" name="Rectangle 263">
          <a:extLst>
            <a:ext uri="{FF2B5EF4-FFF2-40B4-BE49-F238E27FC236}">
              <a16:creationId xmlns:a16="http://schemas.microsoft.com/office/drawing/2014/main" id="{A129B68B-32B4-4D88-A1B5-0696DFD0E6E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8" name="Rectangle 264">
          <a:extLst>
            <a:ext uri="{FF2B5EF4-FFF2-40B4-BE49-F238E27FC236}">
              <a16:creationId xmlns:a16="http://schemas.microsoft.com/office/drawing/2014/main" id="{B371BC68-B30A-43FE-920C-0890ED0321DB}"/>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09" name="Rectangle 265">
          <a:extLst>
            <a:ext uri="{FF2B5EF4-FFF2-40B4-BE49-F238E27FC236}">
              <a16:creationId xmlns:a16="http://schemas.microsoft.com/office/drawing/2014/main" id="{322C7C83-BFE5-4113-9345-EFB763B6024F}"/>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0" name="Rectangle 266">
          <a:extLst>
            <a:ext uri="{FF2B5EF4-FFF2-40B4-BE49-F238E27FC236}">
              <a16:creationId xmlns:a16="http://schemas.microsoft.com/office/drawing/2014/main" id="{FA4E20A6-19DF-4DA9-8E70-7B2C8357397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1" name="Rectangle 267">
          <a:extLst>
            <a:ext uri="{FF2B5EF4-FFF2-40B4-BE49-F238E27FC236}">
              <a16:creationId xmlns:a16="http://schemas.microsoft.com/office/drawing/2014/main" id="{F3C36CF0-B9DC-4AD6-BE02-6774133A77B9}"/>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2" name="Rectangle 268">
          <a:extLst>
            <a:ext uri="{FF2B5EF4-FFF2-40B4-BE49-F238E27FC236}">
              <a16:creationId xmlns:a16="http://schemas.microsoft.com/office/drawing/2014/main" id="{8AF2B96D-038F-4191-822E-65DC9152487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3" name="Rectangle 269">
          <a:extLst>
            <a:ext uri="{FF2B5EF4-FFF2-40B4-BE49-F238E27FC236}">
              <a16:creationId xmlns:a16="http://schemas.microsoft.com/office/drawing/2014/main" id="{5CD11983-875B-4A6C-9C2D-133D99BF8AA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4" name="Rectangle 238">
          <a:extLst>
            <a:ext uri="{FF2B5EF4-FFF2-40B4-BE49-F238E27FC236}">
              <a16:creationId xmlns:a16="http://schemas.microsoft.com/office/drawing/2014/main" id="{DA2995D9-082B-47AA-A161-60892A50555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5" name="Rectangle 249">
          <a:extLst>
            <a:ext uri="{FF2B5EF4-FFF2-40B4-BE49-F238E27FC236}">
              <a16:creationId xmlns:a16="http://schemas.microsoft.com/office/drawing/2014/main" id="{AC3E0CDD-B801-40F7-A5FB-EE984DF3D389}"/>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6" name="Rectangle 251">
          <a:extLst>
            <a:ext uri="{FF2B5EF4-FFF2-40B4-BE49-F238E27FC236}">
              <a16:creationId xmlns:a16="http://schemas.microsoft.com/office/drawing/2014/main" id="{0DF6A9B4-1967-47C1-B420-D41FEDBDC20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7" name="Rectangle 253">
          <a:extLst>
            <a:ext uri="{FF2B5EF4-FFF2-40B4-BE49-F238E27FC236}">
              <a16:creationId xmlns:a16="http://schemas.microsoft.com/office/drawing/2014/main" id="{FFD62B7A-843E-4F79-A38C-C762AF1D591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8" name="Rectangle 254">
          <a:extLst>
            <a:ext uri="{FF2B5EF4-FFF2-40B4-BE49-F238E27FC236}">
              <a16:creationId xmlns:a16="http://schemas.microsoft.com/office/drawing/2014/main" id="{A0C84FD3-4D90-4B0B-A5ED-AB20962E517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19" name="Rectangle 255">
          <a:extLst>
            <a:ext uri="{FF2B5EF4-FFF2-40B4-BE49-F238E27FC236}">
              <a16:creationId xmlns:a16="http://schemas.microsoft.com/office/drawing/2014/main" id="{8FACD46F-3F7B-45FF-9645-6D493AC6E66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0" name="Rectangle 257">
          <a:extLst>
            <a:ext uri="{FF2B5EF4-FFF2-40B4-BE49-F238E27FC236}">
              <a16:creationId xmlns:a16="http://schemas.microsoft.com/office/drawing/2014/main" id="{27FF9248-CD0B-4131-9D8F-449F6C41E6AF}"/>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1" name="Rectangle 258">
          <a:extLst>
            <a:ext uri="{FF2B5EF4-FFF2-40B4-BE49-F238E27FC236}">
              <a16:creationId xmlns:a16="http://schemas.microsoft.com/office/drawing/2014/main" id="{409096C6-0E1D-497B-A972-2CD9F71412F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2" name="Rectangle 259">
          <a:extLst>
            <a:ext uri="{FF2B5EF4-FFF2-40B4-BE49-F238E27FC236}">
              <a16:creationId xmlns:a16="http://schemas.microsoft.com/office/drawing/2014/main" id="{2D8A3695-4B88-46E3-BFB4-AC0402EFC58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3" name="Rectangle 260">
          <a:extLst>
            <a:ext uri="{FF2B5EF4-FFF2-40B4-BE49-F238E27FC236}">
              <a16:creationId xmlns:a16="http://schemas.microsoft.com/office/drawing/2014/main" id="{80AEA2FC-8380-48B2-AA24-DC89C811AE1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4" name="Rectangle 261">
          <a:extLst>
            <a:ext uri="{FF2B5EF4-FFF2-40B4-BE49-F238E27FC236}">
              <a16:creationId xmlns:a16="http://schemas.microsoft.com/office/drawing/2014/main" id="{75D84300-B26F-4487-9BA5-60CC40339E3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5" name="Rectangle 262">
          <a:extLst>
            <a:ext uri="{FF2B5EF4-FFF2-40B4-BE49-F238E27FC236}">
              <a16:creationId xmlns:a16="http://schemas.microsoft.com/office/drawing/2014/main" id="{5F4C59F0-51CF-4E70-9ED1-9D73149C5D5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6" name="Rectangle 263">
          <a:extLst>
            <a:ext uri="{FF2B5EF4-FFF2-40B4-BE49-F238E27FC236}">
              <a16:creationId xmlns:a16="http://schemas.microsoft.com/office/drawing/2014/main" id="{10E50A44-961D-4329-844D-720B988B3A1C}"/>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7" name="Rectangle 264">
          <a:extLst>
            <a:ext uri="{FF2B5EF4-FFF2-40B4-BE49-F238E27FC236}">
              <a16:creationId xmlns:a16="http://schemas.microsoft.com/office/drawing/2014/main" id="{042C88EF-5837-423D-8CC7-53AAABD1C04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8" name="Rectangle 265">
          <a:extLst>
            <a:ext uri="{FF2B5EF4-FFF2-40B4-BE49-F238E27FC236}">
              <a16:creationId xmlns:a16="http://schemas.microsoft.com/office/drawing/2014/main" id="{99477062-0EFF-4E63-B46A-A2D06AC5A00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29" name="Rectangle 266">
          <a:extLst>
            <a:ext uri="{FF2B5EF4-FFF2-40B4-BE49-F238E27FC236}">
              <a16:creationId xmlns:a16="http://schemas.microsoft.com/office/drawing/2014/main" id="{F44F074F-DC3D-47ED-9386-888A365D205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0" name="Rectangle 267">
          <a:extLst>
            <a:ext uri="{FF2B5EF4-FFF2-40B4-BE49-F238E27FC236}">
              <a16:creationId xmlns:a16="http://schemas.microsoft.com/office/drawing/2014/main" id="{0692F15A-D3B2-4E77-AADC-89D95DF3840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1" name="Rectangle 268">
          <a:extLst>
            <a:ext uri="{FF2B5EF4-FFF2-40B4-BE49-F238E27FC236}">
              <a16:creationId xmlns:a16="http://schemas.microsoft.com/office/drawing/2014/main" id="{F96AD7EC-8425-460C-82CF-98E909A8085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2" name="Rectangle 269">
          <a:extLst>
            <a:ext uri="{FF2B5EF4-FFF2-40B4-BE49-F238E27FC236}">
              <a16:creationId xmlns:a16="http://schemas.microsoft.com/office/drawing/2014/main" id="{390B7639-9711-4C9E-8D3D-9D2F1B6C758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3" name="Rectangle 238">
          <a:extLst>
            <a:ext uri="{FF2B5EF4-FFF2-40B4-BE49-F238E27FC236}">
              <a16:creationId xmlns:a16="http://schemas.microsoft.com/office/drawing/2014/main" id="{6A8DC1AB-B320-4D22-ADAD-86A676A5058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4" name="Rectangle 249">
          <a:extLst>
            <a:ext uri="{FF2B5EF4-FFF2-40B4-BE49-F238E27FC236}">
              <a16:creationId xmlns:a16="http://schemas.microsoft.com/office/drawing/2014/main" id="{95EE3D6C-49B4-4B6A-BFAB-4928A3363C8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5" name="Rectangle 251">
          <a:extLst>
            <a:ext uri="{FF2B5EF4-FFF2-40B4-BE49-F238E27FC236}">
              <a16:creationId xmlns:a16="http://schemas.microsoft.com/office/drawing/2014/main" id="{3291FF5B-56FC-47BC-A807-AEC242A02AFB}"/>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6" name="Rectangle 253">
          <a:extLst>
            <a:ext uri="{FF2B5EF4-FFF2-40B4-BE49-F238E27FC236}">
              <a16:creationId xmlns:a16="http://schemas.microsoft.com/office/drawing/2014/main" id="{63835301-7098-4D44-B186-9F3A9AB3EE2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7" name="Rectangle 254">
          <a:extLst>
            <a:ext uri="{FF2B5EF4-FFF2-40B4-BE49-F238E27FC236}">
              <a16:creationId xmlns:a16="http://schemas.microsoft.com/office/drawing/2014/main" id="{B58B9AB5-CC23-4DB7-8C88-D5755FBC328F}"/>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8" name="Rectangle 255">
          <a:extLst>
            <a:ext uri="{FF2B5EF4-FFF2-40B4-BE49-F238E27FC236}">
              <a16:creationId xmlns:a16="http://schemas.microsoft.com/office/drawing/2014/main" id="{F0716621-5D60-4552-A420-EABFA7AC920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39" name="Rectangle 257">
          <a:extLst>
            <a:ext uri="{FF2B5EF4-FFF2-40B4-BE49-F238E27FC236}">
              <a16:creationId xmlns:a16="http://schemas.microsoft.com/office/drawing/2014/main" id="{EF58A648-C9CA-45D4-A358-517BFEBD7D1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0" name="Rectangle 258">
          <a:extLst>
            <a:ext uri="{FF2B5EF4-FFF2-40B4-BE49-F238E27FC236}">
              <a16:creationId xmlns:a16="http://schemas.microsoft.com/office/drawing/2014/main" id="{C45BB1C4-3BF3-4278-BDF3-C9B361C4E9B9}"/>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1" name="Rectangle 259">
          <a:extLst>
            <a:ext uri="{FF2B5EF4-FFF2-40B4-BE49-F238E27FC236}">
              <a16:creationId xmlns:a16="http://schemas.microsoft.com/office/drawing/2014/main" id="{F9B14B02-4F96-4AEB-9CDC-E761053C9DD9}"/>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2" name="Rectangle 260">
          <a:extLst>
            <a:ext uri="{FF2B5EF4-FFF2-40B4-BE49-F238E27FC236}">
              <a16:creationId xmlns:a16="http://schemas.microsoft.com/office/drawing/2014/main" id="{1792944C-E696-4A8F-8958-A8B65A337FB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3" name="Rectangle 261">
          <a:extLst>
            <a:ext uri="{FF2B5EF4-FFF2-40B4-BE49-F238E27FC236}">
              <a16:creationId xmlns:a16="http://schemas.microsoft.com/office/drawing/2014/main" id="{7C035DCB-365D-4617-9584-EE11112D58E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4" name="Rectangle 262">
          <a:extLst>
            <a:ext uri="{FF2B5EF4-FFF2-40B4-BE49-F238E27FC236}">
              <a16:creationId xmlns:a16="http://schemas.microsoft.com/office/drawing/2014/main" id="{EA89A587-0465-44BC-80F7-DEC01474D32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5" name="Rectangle 263">
          <a:extLst>
            <a:ext uri="{FF2B5EF4-FFF2-40B4-BE49-F238E27FC236}">
              <a16:creationId xmlns:a16="http://schemas.microsoft.com/office/drawing/2014/main" id="{83120A4E-7447-4CCB-B773-C0F0F583848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6" name="Rectangle 264">
          <a:extLst>
            <a:ext uri="{FF2B5EF4-FFF2-40B4-BE49-F238E27FC236}">
              <a16:creationId xmlns:a16="http://schemas.microsoft.com/office/drawing/2014/main" id="{7E86653A-92B4-497E-AC30-F424BBE85B7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7" name="Rectangle 265">
          <a:extLst>
            <a:ext uri="{FF2B5EF4-FFF2-40B4-BE49-F238E27FC236}">
              <a16:creationId xmlns:a16="http://schemas.microsoft.com/office/drawing/2014/main" id="{90DD30F7-B514-4278-B0E4-D673ACAB184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8" name="Rectangle 266">
          <a:extLst>
            <a:ext uri="{FF2B5EF4-FFF2-40B4-BE49-F238E27FC236}">
              <a16:creationId xmlns:a16="http://schemas.microsoft.com/office/drawing/2014/main" id="{ADC04EC7-1F8C-4ACF-8F65-3AA9595C0EB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49" name="Rectangle 267">
          <a:extLst>
            <a:ext uri="{FF2B5EF4-FFF2-40B4-BE49-F238E27FC236}">
              <a16:creationId xmlns:a16="http://schemas.microsoft.com/office/drawing/2014/main" id="{99880151-00C5-4CE6-8412-7ED2E4CDC3EC}"/>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0" name="Rectangle 268">
          <a:extLst>
            <a:ext uri="{FF2B5EF4-FFF2-40B4-BE49-F238E27FC236}">
              <a16:creationId xmlns:a16="http://schemas.microsoft.com/office/drawing/2014/main" id="{FF12E4DF-8BF0-4A71-9B92-9A87956B422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1" name="Rectangle 269">
          <a:extLst>
            <a:ext uri="{FF2B5EF4-FFF2-40B4-BE49-F238E27FC236}">
              <a16:creationId xmlns:a16="http://schemas.microsoft.com/office/drawing/2014/main" id="{ADB98554-C04E-40E2-A7C1-88DA70815A9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240</xdr:row>
      <xdr:rowOff>0</xdr:rowOff>
    </xdr:from>
    <xdr:ext cx="28854" cy="132665"/>
    <xdr:sp macro="" textlink="">
      <xdr:nvSpPr>
        <xdr:cNvPr id="852" name="Rectangle 269">
          <a:extLst>
            <a:ext uri="{FF2B5EF4-FFF2-40B4-BE49-F238E27FC236}">
              <a16:creationId xmlns:a16="http://schemas.microsoft.com/office/drawing/2014/main" id="{B0359473-02D2-4886-A764-3EE6380BCD99}"/>
            </a:ext>
          </a:extLst>
        </xdr:cNvPr>
        <xdr:cNvSpPr>
          <a:spLocks noChangeArrowheads="1"/>
        </xdr:cNvSpPr>
      </xdr:nvSpPr>
      <xdr:spPr bwMode="auto">
        <a:xfrm>
          <a:off x="3399155"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3" name="Rectangle 238">
          <a:extLst>
            <a:ext uri="{FF2B5EF4-FFF2-40B4-BE49-F238E27FC236}">
              <a16:creationId xmlns:a16="http://schemas.microsoft.com/office/drawing/2014/main" id="{32E61841-6491-4103-BC3C-E3575422993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4" name="Rectangle 249">
          <a:extLst>
            <a:ext uri="{FF2B5EF4-FFF2-40B4-BE49-F238E27FC236}">
              <a16:creationId xmlns:a16="http://schemas.microsoft.com/office/drawing/2014/main" id="{6E14BF1E-234F-430A-A0B9-19BAC1F33EC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5" name="Rectangle 251">
          <a:extLst>
            <a:ext uri="{FF2B5EF4-FFF2-40B4-BE49-F238E27FC236}">
              <a16:creationId xmlns:a16="http://schemas.microsoft.com/office/drawing/2014/main" id="{66CA96B0-9AB2-48FE-B88D-A8521B0D891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6" name="Rectangle 253">
          <a:extLst>
            <a:ext uri="{FF2B5EF4-FFF2-40B4-BE49-F238E27FC236}">
              <a16:creationId xmlns:a16="http://schemas.microsoft.com/office/drawing/2014/main" id="{A4374178-C1A5-44DF-8ACE-F17598B1532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7" name="Rectangle 254">
          <a:extLst>
            <a:ext uri="{FF2B5EF4-FFF2-40B4-BE49-F238E27FC236}">
              <a16:creationId xmlns:a16="http://schemas.microsoft.com/office/drawing/2014/main" id="{E2F045BF-FD21-4086-9C00-99537CE92C7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8" name="Rectangle 255">
          <a:extLst>
            <a:ext uri="{FF2B5EF4-FFF2-40B4-BE49-F238E27FC236}">
              <a16:creationId xmlns:a16="http://schemas.microsoft.com/office/drawing/2014/main" id="{A14A7160-EDAF-47F1-A5B9-D5A446A0856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59" name="Rectangle 257">
          <a:extLst>
            <a:ext uri="{FF2B5EF4-FFF2-40B4-BE49-F238E27FC236}">
              <a16:creationId xmlns:a16="http://schemas.microsoft.com/office/drawing/2014/main" id="{56DB379B-F61C-49C6-AAB3-14F2B079A91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0" name="Rectangle 258">
          <a:extLst>
            <a:ext uri="{FF2B5EF4-FFF2-40B4-BE49-F238E27FC236}">
              <a16:creationId xmlns:a16="http://schemas.microsoft.com/office/drawing/2014/main" id="{728A731D-C0B1-4711-8C03-97E39D53E4C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1" name="Rectangle 259">
          <a:extLst>
            <a:ext uri="{FF2B5EF4-FFF2-40B4-BE49-F238E27FC236}">
              <a16:creationId xmlns:a16="http://schemas.microsoft.com/office/drawing/2014/main" id="{A8926DAE-32F7-47B9-A240-93E08121475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2" name="Rectangle 260">
          <a:extLst>
            <a:ext uri="{FF2B5EF4-FFF2-40B4-BE49-F238E27FC236}">
              <a16:creationId xmlns:a16="http://schemas.microsoft.com/office/drawing/2014/main" id="{79C7B7CC-842E-4570-B050-101A40155AC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3" name="Rectangle 261">
          <a:extLst>
            <a:ext uri="{FF2B5EF4-FFF2-40B4-BE49-F238E27FC236}">
              <a16:creationId xmlns:a16="http://schemas.microsoft.com/office/drawing/2014/main" id="{F678B0B9-0E36-451B-89EA-933031968C4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4" name="Rectangle 262">
          <a:extLst>
            <a:ext uri="{FF2B5EF4-FFF2-40B4-BE49-F238E27FC236}">
              <a16:creationId xmlns:a16="http://schemas.microsoft.com/office/drawing/2014/main" id="{D3B9F06C-302C-4068-81DD-849464C7C6E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5" name="Rectangle 263">
          <a:extLst>
            <a:ext uri="{FF2B5EF4-FFF2-40B4-BE49-F238E27FC236}">
              <a16:creationId xmlns:a16="http://schemas.microsoft.com/office/drawing/2014/main" id="{0B5D7022-842A-4293-A0C0-B9EF6B6473D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6" name="Rectangle 264">
          <a:extLst>
            <a:ext uri="{FF2B5EF4-FFF2-40B4-BE49-F238E27FC236}">
              <a16:creationId xmlns:a16="http://schemas.microsoft.com/office/drawing/2014/main" id="{E874950E-C829-412A-B864-3276BC15619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7" name="Rectangle 265">
          <a:extLst>
            <a:ext uri="{FF2B5EF4-FFF2-40B4-BE49-F238E27FC236}">
              <a16:creationId xmlns:a16="http://schemas.microsoft.com/office/drawing/2014/main" id="{ECD78D47-9074-4494-A56E-58D866DEAAAC}"/>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8" name="Rectangle 266">
          <a:extLst>
            <a:ext uri="{FF2B5EF4-FFF2-40B4-BE49-F238E27FC236}">
              <a16:creationId xmlns:a16="http://schemas.microsoft.com/office/drawing/2014/main" id="{58BA2005-85F2-4E57-B1D1-428B58A096B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69" name="Rectangle 267">
          <a:extLst>
            <a:ext uri="{FF2B5EF4-FFF2-40B4-BE49-F238E27FC236}">
              <a16:creationId xmlns:a16="http://schemas.microsoft.com/office/drawing/2014/main" id="{6FBC6740-5814-4AFC-AA16-9B56358EE5D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0" name="Rectangle 268">
          <a:extLst>
            <a:ext uri="{FF2B5EF4-FFF2-40B4-BE49-F238E27FC236}">
              <a16:creationId xmlns:a16="http://schemas.microsoft.com/office/drawing/2014/main" id="{0FE54EE5-425B-41FE-B571-7811525F19FA}"/>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1" name="Rectangle 269">
          <a:extLst>
            <a:ext uri="{FF2B5EF4-FFF2-40B4-BE49-F238E27FC236}">
              <a16:creationId xmlns:a16="http://schemas.microsoft.com/office/drawing/2014/main" id="{41AF58ED-9156-49E1-84CB-453AF64771BF}"/>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2" name="Rectangle 238">
          <a:extLst>
            <a:ext uri="{FF2B5EF4-FFF2-40B4-BE49-F238E27FC236}">
              <a16:creationId xmlns:a16="http://schemas.microsoft.com/office/drawing/2014/main" id="{EAEE4DEA-5033-4917-B0F4-9053A1FD1EC8}"/>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3" name="Rectangle 249">
          <a:extLst>
            <a:ext uri="{FF2B5EF4-FFF2-40B4-BE49-F238E27FC236}">
              <a16:creationId xmlns:a16="http://schemas.microsoft.com/office/drawing/2014/main" id="{35B87170-E69D-48AF-8BA2-E7A993821E9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4" name="Rectangle 251">
          <a:extLst>
            <a:ext uri="{FF2B5EF4-FFF2-40B4-BE49-F238E27FC236}">
              <a16:creationId xmlns:a16="http://schemas.microsoft.com/office/drawing/2014/main" id="{4EFF96EE-9D7E-448B-900C-828D57F1BB7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5" name="Rectangle 253">
          <a:extLst>
            <a:ext uri="{FF2B5EF4-FFF2-40B4-BE49-F238E27FC236}">
              <a16:creationId xmlns:a16="http://schemas.microsoft.com/office/drawing/2014/main" id="{0292463E-91F7-4C19-8876-1E0F5829551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6" name="Rectangle 254">
          <a:extLst>
            <a:ext uri="{FF2B5EF4-FFF2-40B4-BE49-F238E27FC236}">
              <a16:creationId xmlns:a16="http://schemas.microsoft.com/office/drawing/2014/main" id="{3BFD238F-93A4-43B2-9359-FF170A3F543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7" name="Rectangle 255">
          <a:extLst>
            <a:ext uri="{FF2B5EF4-FFF2-40B4-BE49-F238E27FC236}">
              <a16:creationId xmlns:a16="http://schemas.microsoft.com/office/drawing/2014/main" id="{E6294B87-DC64-47AB-9EB6-1A916549E15B}"/>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8" name="Rectangle 257">
          <a:extLst>
            <a:ext uri="{FF2B5EF4-FFF2-40B4-BE49-F238E27FC236}">
              <a16:creationId xmlns:a16="http://schemas.microsoft.com/office/drawing/2014/main" id="{9F67871A-BF57-4065-8D08-AC99B97CBC78}"/>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79" name="Rectangle 258">
          <a:extLst>
            <a:ext uri="{FF2B5EF4-FFF2-40B4-BE49-F238E27FC236}">
              <a16:creationId xmlns:a16="http://schemas.microsoft.com/office/drawing/2014/main" id="{EB91B0AD-4C12-4864-A4BF-BDDFDDF3C9A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0" name="Rectangle 259">
          <a:extLst>
            <a:ext uri="{FF2B5EF4-FFF2-40B4-BE49-F238E27FC236}">
              <a16:creationId xmlns:a16="http://schemas.microsoft.com/office/drawing/2014/main" id="{CB179F6F-E607-4E86-AC55-88AD11E7100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1" name="Rectangle 260">
          <a:extLst>
            <a:ext uri="{FF2B5EF4-FFF2-40B4-BE49-F238E27FC236}">
              <a16:creationId xmlns:a16="http://schemas.microsoft.com/office/drawing/2014/main" id="{DF0571A4-7C42-4A50-AF19-F6FBDA7C6E1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2" name="Rectangle 261">
          <a:extLst>
            <a:ext uri="{FF2B5EF4-FFF2-40B4-BE49-F238E27FC236}">
              <a16:creationId xmlns:a16="http://schemas.microsoft.com/office/drawing/2014/main" id="{779F4953-89CD-4B1F-86C5-2467CCBDDB19}"/>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3" name="Rectangle 262">
          <a:extLst>
            <a:ext uri="{FF2B5EF4-FFF2-40B4-BE49-F238E27FC236}">
              <a16:creationId xmlns:a16="http://schemas.microsoft.com/office/drawing/2014/main" id="{7C0FCA61-9375-4A03-BD43-B1FCC3174AE8}"/>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4" name="Rectangle 263">
          <a:extLst>
            <a:ext uri="{FF2B5EF4-FFF2-40B4-BE49-F238E27FC236}">
              <a16:creationId xmlns:a16="http://schemas.microsoft.com/office/drawing/2014/main" id="{A01D659C-78FA-40E2-9985-2F3ECB24DD6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5" name="Rectangle 264">
          <a:extLst>
            <a:ext uri="{FF2B5EF4-FFF2-40B4-BE49-F238E27FC236}">
              <a16:creationId xmlns:a16="http://schemas.microsoft.com/office/drawing/2014/main" id="{9E5F18EF-A191-43AE-98BD-7FB09851D38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6" name="Rectangle 265">
          <a:extLst>
            <a:ext uri="{FF2B5EF4-FFF2-40B4-BE49-F238E27FC236}">
              <a16:creationId xmlns:a16="http://schemas.microsoft.com/office/drawing/2014/main" id="{DD6C7E9F-3F8A-4C5F-B793-B088D9D451D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7" name="Rectangle 266">
          <a:extLst>
            <a:ext uri="{FF2B5EF4-FFF2-40B4-BE49-F238E27FC236}">
              <a16:creationId xmlns:a16="http://schemas.microsoft.com/office/drawing/2014/main" id="{6320EBEE-FA6E-4DC7-A355-74BB5827FC3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8" name="Rectangle 267">
          <a:extLst>
            <a:ext uri="{FF2B5EF4-FFF2-40B4-BE49-F238E27FC236}">
              <a16:creationId xmlns:a16="http://schemas.microsoft.com/office/drawing/2014/main" id="{19F905FC-B825-4EB1-8582-50E6246710CA}"/>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89" name="Rectangle 268">
          <a:extLst>
            <a:ext uri="{FF2B5EF4-FFF2-40B4-BE49-F238E27FC236}">
              <a16:creationId xmlns:a16="http://schemas.microsoft.com/office/drawing/2014/main" id="{66CF418D-3B02-4C85-B01F-5F54F0EF06C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0" name="Rectangle 269">
          <a:extLst>
            <a:ext uri="{FF2B5EF4-FFF2-40B4-BE49-F238E27FC236}">
              <a16:creationId xmlns:a16="http://schemas.microsoft.com/office/drawing/2014/main" id="{02467D97-77A9-45BE-9572-C6EB28DD452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1" name="Rectangle 238">
          <a:extLst>
            <a:ext uri="{FF2B5EF4-FFF2-40B4-BE49-F238E27FC236}">
              <a16:creationId xmlns:a16="http://schemas.microsoft.com/office/drawing/2014/main" id="{090211BE-EE49-4AF0-A07D-8A2894C64CC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2" name="Rectangle 249">
          <a:extLst>
            <a:ext uri="{FF2B5EF4-FFF2-40B4-BE49-F238E27FC236}">
              <a16:creationId xmlns:a16="http://schemas.microsoft.com/office/drawing/2014/main" id="{0AB533CD-11AD-4F6C-9338-73CF20A270D8}"/>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3" name="Rectangle 251">
          <a:extLst>
            <a:ext uri="{FF2B5EF4-FFF2-40B4-BE49-F238E27FC236}">
              <a16:creationId xmlns:a16="http://schemas.microsoft.com/office/drawing/2014/main" id="{2738D919-D84C-4403-842D-9ED2CC4466B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4" name="Rectangle 253">
          <a:extLst>
            <a:ext uri="{FF2B5EF4-FFF2-40B4-BE49-F238E27FC236}">
              <a16:creationId xmlns:a16="http://schemas.microsoft.com/office/drawing/2014/main" id="{CA58EB1D-6566-4F72-8EC7-4F92B0CD05FC}"/>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5" name="Rectangle 254">
          <a:extLst>
            <a:ext uri="{FF2B5EF4-FFF2-40B4-BE49-F238E27FC236}">
              <a16:creationId xmlns:a16="http://schemas.microsoft.com/office/drawing/2014/main" id="{978646BA-9618-4D55-A61B-3079246461B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6" name="Rectangle 255">
          <a:extLst>
            <a:ext uri="{FF2B5EF4-FFF2-40B4-BE49-F238E27FC236}">
              <a16:creationId xmlns:a16="http://schemas.microsoft.com/office/drawing/2014/main" id="{D0E633C4-662E-4730-85D1-DD217B71AF5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7" name="Rectangle 257">
          <a:extLst>
            <a:ext uri="{FF2B5EF4-FFF2-40B4-BE49-F238E27FC236}">
              <a16:creationId xmlns:a16="http://schemas.microsoft.com/office/drawing/2014/main" id="{814F2244-32D9-4C16-A04A-788D1E41DA5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8" name="Rectangle 258">
          <a:extLst>
            <a:ext uri="{FF2B5EF4-FFF2-40B4-BE49-F238E27FC236}">
              <a16:creationId xmlns:a16="http://schemas.microsoft.com/office/drawing/2014/main" id="{AB69C9E2-42AB-4D4C-A774-8495928CAF3B}"/>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899" name="Rectangle 259">
          <a:extLst>
            <a:ext uri="{FF2B5EF4-FFF2-40B4-BE49-F238E27FC236}">
              <a16:creationId xmlns:a16="http://schemas.microsoft.com/office/drawing/2014/main" id="{32D1D2A4-690F-4B29-988A-3BFC768AB17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0" name="Rectangle 260">
          <a:extLst>
            <a:ext uri="{FF2B5EF4-FFF2-40B4-BE49-F238E27FC236}">
              <a16:creationId xmlns:a16="http://schemas.microsoft.com/office/drawing/2014/main" id="{8235DA31-96C0-4BE9-88B8-71112FC7105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1" name="Rectangle 261">
          <a:extLst>
            <a:ext uri="{FF2B5EF4-FFF2-40B4-BE49-F238E27FC236}">
              <a16:creationId xmlns:a16="http://schemas.microsoft.com/office/drawing/2014/main" id="{78B0A773-26CD-489F-B19C-DB5CB3A0914B}"/>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2" name="Rectangle 262">
          <a:extLst>
            <a:ext uri="{FF2B5EF4-FFF2-40B4-BE49-F238E27FC236}">
              <a16:creationId xmlns:a16="http://schemas.microsoft.com/office/drawing/2014/main" id="{6E3140DE-F0C5-494B-A1F8-B6C6EAE1CACA}"/>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3" name="Rectangle 263">
          <a:extLst>
            <a:ext uri="{FF2B5EF4-FFF2-40B4-BE49-F238E27FC236}">
              <a16:creationId xmlns:a16="http://schemas.microsoft.com/office/drawing/2014/main" id="{97BCA6B5-1ED7-481F-B881-855C87CC4BF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4" name="Rectangle 264">
          <a:extLst>
            <a:ext uri="{FF2B5EF4-FFF2-40B4-BE49-F238E27FC236}">
              <a16:creationId xmlns:a16="http://schemas.microsoft.com/office/drawing/2014/main" id="{51E17161-B105-412C-A01F-45DC0F7F2AB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5" name="Rectangle 265">
          <a:extLst>
            <a:ext uri="{FF2B5EF4-FFF2-40B4-BE49-F238E27FC236}">
              <a16:creationId xmlns:a16="http://schemas.microsoft.com/office/drawing/2014/main" id="{6BBA6E42-54F2-4AD1-BD51-7D783D1556D8}"/>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6" name="Rectangle 266">
          <a:extLst>
            <a:ext uri="{FF2B5EF4-FFF2-40B4-BE49-F238E27FC236}">
              <a16:creationId xmlns:a16="http://schemas.microsoft.com/office/drawing/2014/main" id="{C75F82EF-6209-43AF-9B4B-6DD5DE70A7EF}"/>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7" name="Rectangle 267">
          <a:extLst>
            <a:ext uri="{FF2B5EF4-FFF2-40B4-BE49-F238E27FC236}">
              <a16:creationId xmlns:a16="http://schemas.microsoft.com/office/drawing/2014/main" id="{BFA6CB95-2D38-4F03-8FDB-11E16522CE5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8" name="Rectangle 268">
          <a:extLst>
            <a:ext uri="{FF2B5EF4-FFF2-40B4-BE49-F238E27FC236}">
              <a16:creationId xmlns:a16="http://schemas.microsoft.com/office/drawing/2014/main" id="{1D934F60-A614-46F2-9F04-2F4BB15208C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09" name="Rectangle 269">
          <a:extLst>
            <a:ext uri="{FF2B5EF4-FFF2-40B4-BE49-F238E27FC236}">
              <a16:creationId xmlns:a16="http://schemas.microsoft.com/office/drawing/2014/main" id="{2B13EA80-61F3-4472-B4C2-F47C56DF6A38}"/>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240</xdr:row>
      <xdr:rowOff>0</xdr:rowOff>
    </xdr:from>
    <xdr:ext cx="28854" cy="132665"/>
    <xdr:sp macro="" textlink="">
      <xdr:nvSpPr>
        <xdr:cNvPr id="910" name="Rectangle 269">
          <a:extLst>
            <a:ext uri="{FF2B5EF4-FFF2-40B4-BE49-F238E27FC236}">
              <a16:creationId xmlns:a16="http://schemas.microsoft.com/office/drawing/2014/main" id="{EB1C1628-C807-48B9-8BDB-25D0A3105E0E}"/>
            </a:ext>
          </a:extLst>
        </xdr:cNvPr>
        <xdr:cNvSpPr>
          <a:spLocks noChangeArrowheads="1"/>
        </xdr:cNvSpPr>
      </xdr:nvSpPr>
      <xdr:spPr bwMode="auto">
        <a:xfrm>
          <a:off x="3399155"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1" name="Rectangle 238">
          <a:extLst>
            <a:ext uri="{FF2B5EF4-FFF2-40B4-BE49-F238E27FC236}">
              <a16:creationId xmlns:a16="http://schemas.microsoft.com/office/drawing/2014/main" id="{97B75D4E-4184-42DB-AC63-446CB2EAA94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2" name="Rectangle 249">
          <a:extLst>
            <a:ext uri="{FF2B5EF4-FFF2-40B4-BE49-F238E27FC236}">
              <a16:creationId xmlns:a16="http://schemas.microsoft.com/office/drawing/2014/main" id="{89A46868-6576-45EE-B787-101CBDA4922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3" name="Rectangle 251">
          <a:extLst>
            <a:ext uri="{FF2B5EF4-FFF2-40B4-BE49-F238E27FC236}">
              <a16:creationId xmlns:a16="http://schemas.microsoft.com/office/drawing/2014/main" id="{D2402CD3-42EC-4813-862A-D3A829699559}"/>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4" name="Rectangle 253">
          <a:extLst>
            <a:ext uri="{FF2B5EF4-FFF2-40B4-BE49-F238E27FC236}">
              <a16:creationId xmlns:a16="http://schemas.microsoft.com/office/drawing/2014/main" id="{981BAFDC-F10A-401C-BD1F-5A8EB5270EFC}"/>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5" name="Rectangle 254">
          <a:extLst>
            <a:ext uri="{FF2B5EF4-FFF2-40B4-BE49-F238E27FC236}">
              <a16:creationId xmlns:a16="http://schemas.microsoft.com/office/drawing/2014/main" id="{46B07D55-82DE-4AF3-A915-D856A4290BA8}"/>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6" name="Rectangle 255">
          <a:extLst>
            <a:ext uri="{FF2B5EF4-FFF2-40B4-BE49-F238E27FC236}">
              <a16:creationId xmlns:a16="http://schemas.microsoft.com/office/drawing/2014/main" id="{3AE0D517-D5C2-443A-8FE8-426E0CF6D55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7" name="Rectangle 257">
          <a:extLst>
            <a:ext uri="{FF2B5EF4-FFF2-40B4-BE49-F238E27FC236}">
              <a16:creationId xmlns:a16="http://schemas.microsoft.com/office/drawing/2014/main" id="{495069FA-E19B-487B-8A4F-3506B7A9E13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8" name="Rectangle 258">
          <a:extLst>
            <a:ext uri="{FF2B5EF4-FFF2-40B4-BE49-F238E27FC236}">
              <a16:creationId xmlns:a16="http://schemas.microsoft.com/office/drawing/2014/main" id="{CABC5B5B-6ED8-409D-8E7E-BD09D81C69E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19" name="Rectangle 259">
          <a:extLst>
            <a:ext uri="{FF2B5EF4-FFF2-40B4-BE49-F238E27FC236}">
              <a16:creationId xmlns:a16="http://schemas.microsoft.com/office/drawing/2014/main" id="{1B29685E-E351-4CDA-B114-D817F5189E2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0" name="Rectangle 260">
          <a:extLst>
            <a:ext uri="{FF2B5EF4-FFF2-40B4-BE49-F238E27FC236}">
              <a16:creationId xmlns:a16="http://schemas.microsoft.com/office/drawing/2014/main" id="{3968653C-0A92-41EA-8FCD-FE877C716787}"/>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1" name="Rectangle 261">
          <a:extLst>
            <a:ext uri="{FF2B5EF4-FFF2-40B4-BE49-F238E27FC236}">
              <a16:creationId xmlns:a16="http://schemas.microsoft.com/office/drawing/2014/main" id="{DD74DB61-EA10-4CEB-AB2C-9B71CCDEF9F6}"/>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2" name="Rectangle 262">
          <a:extLst>
            <a:ext uri="{FF2B5EF4-FFF2-40B4-BE49-F238E27FC236}">
              <a16:creationId xmlns:a16="http://schemas.microsoft.com/office/drawing/2014/main" id="{842C8756-5DCA-4268-9E27-464F0728774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3" name="Rectangle 263">
          <a:extLst>
            <a:ext uri="{FF2B5EF4-FFF2-40B4-BE49-F238E27FC236}">
              <a16:creationId xmlns:a16="http://schemas.microsoft.com/office/drawing/2014/main" id="{6394F912-001C-4877-8248-55EFC1B663FA}"/>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4" name="Rectangle 264">
          <a:extLst>
            <a:ext uri="{FF2B5EF4-FFF2-40B4-BE49-F238E27FC236}">
              <a16:creationId xmlns:a16="http://schemas.microsoft.com/office/drawing/2014/main" id="{3B08F997-0E4E-4099-AC28-85D8203D617A}"/>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5" name="Rectangle 265">
          <a:extLst>
            <a:ext uri="{FF2B5EF4-FFF2-40B4-BE49-F238E27FC236}">
              <a16:creationId xmlns:a16="http://schemas.microsoft.com/office/drawing/2014/main" id="{379C7A55-1FC2-417B-8DC6-098A07AE794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6" name="Rectangle 266">
          <a:extLst>
            <a:ext uri="{FF2B5EF4-FFF2-40B4-BE49-F238E27FC236}">
              <a16:creationId xmlns:a16="http://schemas.microsoft.com/office/drawing/2014/main" id="{3A5B46E9-84B3-4605-9E3F-B05A544D16FB}"/>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7" name="Rectangle 267">
          <a:extLst>
            <a:ext uri="{FF2B5EF4-FFF2-40B4-BE49-F238E27FC236}">
              <a16:creationId xmlns:a16="http://schemas.microsoft.com/office/drawing/2014/main" id="{CF8556FC-8D8B-4803-8A2E-5531DBF28AA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8" name="Rectangle 268">
          <a:extLst>
            <a:ext uri="{FF2B5EF4-FFF2-40B4-BE49-F238E27FC236}">
              <a16:creationId xmlns:a16="http://schemas.microsoft.com/office/drawing/2014/main" id="{B268C069-B7A8-469C-9B93-BABDDB5C74FE}"/>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29" name="Rectangle 269">
          <a:extLst>
            <a:ext uri="{FF2B5EF4-FFF2-40B4-BE49-F238E27FC236}">
              <a16:creationId xmlns:a16="http://schemas.microsoft.com/office/drawing/2014/main" id="{4DEA281C-886F-45A2-BBB2-015684617C6A}"/>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0" name="Rectangle 238">
          <a:extLst>
            <a:ext uri="{FF2B5EF4-FFF2-40B4-BE49-F238E27FC236}">
              <a16:creationId xmlns:a16="http://schemas.microsoft.com/office/drawing/2014/main" id="{2C6D7948-B785-48A2-8909-763AF5A0E4B8}"/>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1" name="Rectangle 249">
          <a:extLst>
            <a:ext uri="{FF2B5EF4-FFF2-40B4-BE49-F238E27FC236}">
              <a16:creationId xmlns:a16="http://schemas.microsoft.com/office/drawing/2014/main" id="{E80392D4-33A2-4A1E-8D11-AB9163F0B003}"/>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2" name="Rectangle 251">
          <a:extLst>
            <a:ext uri="{FF2B5EF4-FFF2-40B4-BE49-F238E27FC236}">
              <a16:creationId xmlns:a16="http://schemas.microsoft.com/office/drawing/2014/main" id="{B8D95F8D-50D4-44A9-9912-D71F56436DE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3" name="Rectangle 253">
          <a:extLst>
            <a:ext uri="{FF2B5EF4-FFF2-40B4-BE49-F238E27FC236}">
              <a16:creationId xmlns:a16="http://schemas.microsoft.com/office/drawing/2014/main" id="{ADCFD4D4-8BE9-4BD7-811B-009C0264D23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4" name="Rectangle 254">
          <a:extLst>
            <a:ext uri="{FF2B5EF4-FFF2-40B4-BE49-F238E27FC236}">
              <a16:creationId xmlns:a16="http://schemas.microsoft.com/office/drawing/2014/main" id="{E901E43D-14E3-4A3A-A211-C64476383994}"/>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5" name="Rectangle 255">
          <a:extLst>
            <a:ext uri="{FF2B5EF4-FFF2-40B4-BE49-F238E27FC236}">
              <a16:creationId xmlns:a16="http://schemas.microsoft.com/office/drawing/2014/main" id="{8C2E041F-1926-4495-95FE-2AA46EBACBC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6" name="Rectangle 257">
          <a:extLst>
            <a:ext uri="{FF2B5EF4-FFF2-40B4-BE49-F238E27FC236}">
              <a16:creationId xmlns:a16="http://schemas.microsoft.com/office/drawing/2014/main" id="{FB27051E-8E23-47ED-BF59-D72FB2B5E23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7" name="Rectangle 258">
          <a:extLst>
            <a:ext uri="{FF2B5EF4-FFF2-40B4-BE49-F238E27FC236}">
              <a16:creationId xmlns:a16="http://schemas.microsoft.com/office/drawing/2014/main" id="{C70402B2-79FA-4854-ADE3-BF1EC59E84B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8" name="Rectangle 259">
          <a:extLst>
            <a:ext uri="{FF2B5EF4-FFF2-40B4-BE49-F238E27FC236}">
              <a16:creationId xmlns:a16="http://schemas.microsoft.com/office/drawing/2014/main" id="{167088C4-5163-4A27-B92B-392E3B3DB0C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39" name="Rectangle 260">
          <a:extLst>
            <a:ext uri="{FF2B5EF4-FFF2-40B4-BE49-F238E27FC236}">
              <a16:creationId xmlns:a16="http://schemas.microsoft.com/office/drawing/2014/main" id="{E201E656-7338-44D5-8BF7-7DB783B3C86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0" name="Rectangle 261">
          <a:extLst>
            <a:ext uri="{FF2B5EF4-FFF2-40B4-BE49-F238E27FC236}">
              <a16:creationId xmlns:a16="http://schemas.microsoft.com/office/drawing/2014/main" id="{BAB2ED22-A248-4BE9-AF38-0C693773854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1" name="Rectangle 262">
          <a:extLst>
            <a:ext uri="{FF2B5EF4-FFF2-40B4-BE49-F238E27FC236}">
              <a16:creationId xmlns:a16="http://schemas.microsoft.com/office/drawing/2014/main" id="{D79B65A1-EE95-436F-9713-EF52B32659B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2" name="Rectangle 263">
          <a:extLst>
            <a:ext uri="{FF2B5EF4-FFF2-40B4-BE49-F238E27FC236}">
              <a16:creationId xmlns:a16="http://schemas.microsoft.com/office/drawing/2014/main" id="{9BE66A38-6AE9-4CA8-B12F-0B254CFC8101}"/>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3" name="Rectangle 264">
          <a:extLst>
            <a:ext uri="{FF2B5EF4-FFF2-40B4-BE49-F238E27FC236}">
              <a16:creationId xmlns:a16="http://schemas.microsoft.com/office/drawing/2014/main" id="{83243B2E-CD36-45E9-9005-9ED4FE20F300}"/>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4" name="Rectangle 265">
          <a:extLst>
            <a:ext uri="{FF2B5EF4-FFF2-40B4-BE49-F238E27FC236}">
              <a16:creationId xmlns:a16="http://schemas.microsoft.com/office/drawing/2014/main" id="{EF2D2C41-E8C1-4737-B56D-24E94D277905}"/>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5" name="Rectangle 266">
          <a:extLst>
            <a:ext uri="{FF2B5EF4-FFF2-40B4-BE49-F238E27FC236}">
              <a16:creationId xmlns:a16="http://schemas.microsoft.com/office/drawing/2014/main" id="{FF7E66C1-DF27-4014-8DBB-8DB609290E5D}"/>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6" name="Rectangle 267">
          <a:extLst>
            <a:ext uri="{FF2B5EF4-FFF2-40B4-BE49-F238E27FC236}">
              <a16:creationId xmlns:a16="http://schemas.microsoft.com/office/drawing/2014/main" id="{E9186BCB-4AEE-4FF3-A463-82EEA68D23FF}"/>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7" name="Rectangle 268">
          <a:extLst>
            <a:ext uri="{FF2B5EF4-FFF2-40B4-BE49-F238E27FC236}">
              <a16:creationId xmlns:a16="http://schemas.microsoft.com/office/drawing/2014/main" id="{17BD1ABD-0273-435E-BB6E-494487DBA139}"/>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240</xdr:row>
      <xdr:rowOff>0</xdr:rowOff>
    </xdr:from>
    <xdr:ext cx="28854" cy="132665"/>
    <xdr:sp macro="" textlink="">
      <xdr:nvSpPr>
        <xdr:cNvPr id="948" name="Rectangle 269">
          <a:extLst>
            <a:ext uri="{FF2B5EF4-FFF2-40B4-BE49-F238E27FC236}">
              <a16:creationId xmlns:a16="http://schemas.microsoft.com/office/drawing/2014/main" id="{FB6B856B-6AFD-424A-A142-21A8104A0FD2}"/>
            </a:ext>
          </a:extLst>
        </xdr:cNvPr>
        <xdr:cNvSpPr>
          <a:spLocks noChangeArrowheads="1"/>
        </xdr:cNvSpPr>
      </xdr:nvSpPr>
      <xdr:spPr bwMode="auto">
        <a:xfrm>
          <a:off x="723900" y="758380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49" name="Rectangle 238">
          <a:extLst>
            <a:ext uri="{FF2B5EF4-FFF2-40B4-BE49-F238E27FC236}">
              <a16:creationId xmlns:a16="http://schemas.microsoft.com/office/drawing/2014/main" id="{2993CA2A-EA52-42DA-8A1D-E7DC4DEE4517}"/>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0" name="Rectangle 249">
          <a:extLst>
            <a:ext uri="{FF2B5EF4-FFF2-40B4-BE49-F238E27FC236}">
              <a16:creationId xmlns:a16="http://schemas.microsoft.com/office/drawing/2014/main" id="{508D31E4-95F6-4CE5-AA9B-F2CE68170473}"/>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1" name="Rectangle 251">
          <a:extLst>
            <a:ext uri="{FF2B5EF4-FFF2-40B4-BE49-F238E27FC236}">
              <a16:creationId xmlns:a16="http://schemas.microsoft.com/office/drawing/2014/main" id="{D9D9D4F9-9880-477B-9EB2-F833EFD53939}"/>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2" name="Rectangle 253">
          <a:extLst>
            <a:ext uri="{FF2B5EF4-FFF2-40B4-BE49-F238E27FC236}">
              <a16:creationId xmlns:a16="http://schemas.microsoft.com/office/drawing/2014/main" id="{31CB3650-4E95-4C09-BC20-54755B777D85}"/>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3" name="Rectangle 254">
          <a:extLst>
            <a:ext uri="{FF2B5EF4-FFF2-40B4-BE49-F238E27FC236}">
              <a16:creationId xmlns:a16="http://schemas.microsoft.com/office/drawing/2014/main" id="{0D6EB6CC-4F9C-47EA-8F41-B3F54E20F04A}"/>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4" name="Rectangle 255">
          <a:extLst>
            <a:ext uri="{FF2B5EF4-FFF2-40B4-BE49-F238E27FC236}">
              <a16:creationId xmlns:a16="http://schemas.microsoft.com/office/drawing/2014/main" id="{AC04F804-BE8C-46B7-8C9A-15AD2051959B}"/>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5" name="Rectangle 257">
          <a:extLst>
            <a:ext uri="{FF2B5EF4-FFF2-40B4-BE49-F238E27FC236}">
              <a16:creationId xmlns:a16="http://schemas.microsoft.com/office/drawing/2014/main" id="{C8B19FE0-5B84-432B-A762-180C6F6B4481}"/>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6" name="Rectangle 258">
          <a:extLst>
            <a:ext uri="{FF2B5EF4-FFF2-40B4-BE49-F238E27FC236}">
              <a16:creationId xmlns:a16="http://schemas.microsoft.com/office/drawing/2014/main" id="{3E0DAB1F-7AE6-4C01-96A5-71BDF8D3783F}"/>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7" name="Rectangle 259">
          <a:extLst>
            <a:ext uri="{FF2B5EF4-FFF2-40B4-BE49-F238E27FC236}">
              <a16:creationId xmlns:a16="http://schemas.microsoft.com/office/drawing/2014/main" id="{DAB84FD4-5258-4818-879E-965A732C4F35}"/>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8" name="Rectangle 260">
          <a:extLst>
            <a:ext uri="{FF2B5EF4-FFF2-40B4-BE49-F238E27FC236}">
              <a16:creationId xmlns:a16="http://schemas.microsoft.com/office/drawing/2014/main" id="{EF34EE5D-CC35-497C-B920-1A4EC22B9F46}"/>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59" name="Rectangle 261">
          <a:extLst>
            <a:ext uri="{FF2B5EF4-FFF2-40B4-BE49-F238E27FC236}">
              <a16:creationId xmlns:a16="http://schemas.microsoft.com/office/drawing/2014/main" id="{3BAEB8BB-E9E8-47E9-A99D-BA2F445A38AB}"/>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60" name="Rectangle 262">
          <a:extLst>
            <a:ext uri="{FF2B5EF4-FFF2-40B4-BE49-F238E27FC236}">
              <a16:creationId xmlns:a16="http://schemas.microsoft.com/office/drawing/2014/main" id="{0517ACA0-CC17-4764-B41C-FABE81D4CD41}"/>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61" name="Rectangle 263">
          <a:extLst>
            <a:ext uri="{FF2B5EF4-FFF2-40B4-BE49-F238E27FC236}">
              <a16:creationId xmlns:a16="http://schemas.microsoft.com/office/drawing/2014/main" id="{864C7229-1ADA-4519-923C-82DF536D5FC0}"/>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62" name="Rectangle 264">
          <a:extLst>
            <a:ext uri="{FF2B5EF4-FFF2-40B4-BE49-F238E27FC236}">
              <a16:creationId xmlns:a16="http://schemas.microsoft.com/office/drawing/2014/main" id="{0738E71E-45A9-4426-98A2-E1768653E9C7}"/>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63" name="Rectangle 265">
          <a:extLst>
            <a:ext uri="{FF2B5EF4-FFF2-40B4-BE49-F238E27FC236}">
              <a16:creationId xmlns:a16="http://schemas.microsoft.com/office/drawing/2014/main" id="{220911B6-88A4-4629-9CF7-0B8CE318606E}"/>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64" name="Rectangle 266">
          <a:extLst>
            <a:ext uri="{FF2B5EF4-FFF2-40B4-BE49-F238E27FC236}">
              <a16:creationId xmlns:a16="http://schemas.microsoft.com/office/drawing/2014/main" id="{C2A51FC5-83AC-4E79-ADAC-A4F025800FC0}"/>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65" name="Rectangle 267">
          <a:extLst>
            <a:ext uri="{FF2B5EF4-FFF2-40B4-BE49-F238E27FC236}">
              <a16:creationId xmlns:a16="http://schemas.microsoft.com/office/drawing/2014/main" id="{175C58C6-89C6-43BF-804D-3F80101D988F}"/>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66" name="Rectangle 268">
          <a:extLst>
            <a:ext uri="{FF2B5EF4-FFF2-40B4-BE49-F238E27FC236}">
              <a16:creationId xmlns:a16="http://schemas.microsoft.com/office/drawing/2014/main" id="{B7322B00-7056-47DC-9FF2-0861FC6220EF}"/>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28</xdr:row>
      <xdr:rowOff>0</xdr:rowOff>
    </xdr:from>
    <xdr:ext cx="28854" cy="132665"/>
    <xdr:sp macro="" textlink="">
      <xdr:nvSpPr>
        <xdr:cNvPr id="967" name="Rectangle 269">
          <a:extLst>
            <a:ext uri="{FF2B5EF4-FFF2-40B4-BE49-F238E27FC236}">
              <a16:creationId xmlns:a16="http://schemas.microsoft.com/office/drawing/2014/main" id="{EEF81F9E-FD08-414F-AA76-8B689A79D63C}"/>
            </a:ext>
          </a:extLst>
        </xdr:cNvPr>
        <xdr:cNvSpPr>
          <a:spLocks noChangeArrowheads="1"/>
        </xdr:cNvSpPr>
      </xdr:nvSpPr>
      <xdr:spPr bwMode="auto">
        <a:xfrm>
          <a:off x="723900" y="80867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68" name="Rectangle 238">
          <a:extLst>
            <a:ext uri="{FF2B5EF4-FFF2-40B4-BE49-F238E27FC236}">
              <a16:creationId xmlns:a16="http://schemas.microsoft.com/office/drawing/2014/main" id="{4208A024-F2C1-4A35-9835-5B0F10F8EF40}"/>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69" name="Rectangle 249">
          <a:extLst>
            <a:ext uri="{FF2B5EF4-FFF2-40B4-BE49-F238E27FC236}">
              <a16:creationId xmlns:a16="http://schemas.microsoft.com/office/drawing/2014/main" id="{D7E61FC7-3B31-41A3-AD55-A18B84DAABBF}"/>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0" name="Rectangle 251">
          <a:extLst>
            <a:ext uri="{FF2B5EF4-FFF2-40B4-BE49-F238E27FC236}">
              <a16:creationId xmlns:a16="http://schemas.microsoft.com/office/drawing/2014/main" id="{4459652C-C787-4CCF-88AC-4D253760F0C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1" name="Rectangle 253">
          <a:extLst>
            <a:ext uri="{FF2B5EF4-FFF2-40B4-BE49-F238E27FC236}">
              <a16:creationId xmlns:a16="http://schemas.microsoft.com/office/drawing/2014/main" id="{01DBAF75-312E-4D65-B00C-CB7E37DBEC7C}"/>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2" name="Rectangle 254">
          <a:extLst>
            <a:ext uri="{FF2B5EF4-FFF2-40B4-BE49-F238E27FC236}">
              <a16:creationId xmlns:a16="http://schemas.microsoft.com/office/drawing/2014/main" id="{3C53325E-112F-4DF5-A55A-BE94ADCE789A}"/>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3" name="Rectangle 255">
          <a:extLst>
            <a:ext uri="{FF2B5EF4-FFF2-40B4-BE49-F238E27FC236}">
              <a16:creationId xmlns:a16="http://schemas.microsoft.com/office/drawing/2014/main" id="{7D7BA4CD-43A6-4D4F-A320-F60B589514B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4" name="Rectangle 257">
          <a:extLst>
            <a:ext uri="{FF2B5EF4-FFF2-40B4-BE49-F238E27FC236}">
              <a16:creationId xmlns:a16="http://schemas.microsoft.com/office/drawing/2014/main" id="{B84EF49A-70A2-45A2-8407-0629EC0B3000}"/>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5" name="Rectangle 258">
          <a:extLst>
            <a:ext uri="{FF2B5EF4-FFF2-40B4-BE49-F238E27FC236}">
              <a16:creationId xmlns:a16="http://schemas.microsoft.com/office/drawing/2014/main" id="{EFD3C5C1-60E5-4494-833B-2B99C35376C5}"/>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6" name="Rectangle 259">
          <a:extLst>
            <a:ext uri="{FF2B5EF4-FFF2-40B4-BE49-F238E27FC236}">
              <a16:creationId xmlns:a16="http://schemas.microsoft.com/office/drawing/2014/main" id="{383EBAFA-FFFB-44EA-B48A-4252B582F209}"/>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7" name="Rectangle 260">
          <a:extLst>
            <a:ext uri="{FF2B5EF4-FFF2-40B4-BE49-F238E27FC236}">
              <a16:creationId xmlns:a16="http://schemas.microsoft.com/office/drawing/2014/main" id="{B06B207E-C782-4B71-92C6-33EBBDDEF662}"/>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8" name="Rectangle 261">
          <a:extLst>
            <a:ext uri="{FF2B5EF4-FFF2-40B4-BE49-F238E27FC236}">
              <a16:creationId xmlns:a16="http://schemas.microsoft.com/office/drawing/2014/main" id="{1E388125-233E-4D04-A275-9EC65B5543A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79" name="Rectangle 262">
          <a:extLst>
            <a:ext uri="{FF2B5EF4-FFF2-40B4-BE49-F238E27FC236}">
              <a16:creationId xmlns:a16="http://schemas.microsoft.com/office/drawing/2014/main" id="{3084125A-64FC-494A-AD85-7083E531AAB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0" name="Rectangle 263">
          <a:extLst>
            <a:ext uri="{FF2B5EF4-FFF2-40B4-BE49-F238E27FC236}">
              <a16:creationId xmlns:a16="http://schemas.microsoft.com/office/drawing/2014/main" id="{715076D4-ADA1-4B9B-BE58-C888374E4E74}"/>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1" name="Rectangle 264">
          <a:extLst>
            <a:ext uri="{FF2B5EF4-FFF2-40B4-BE49-F238E27FC236}">
              <a16:creationId xmlns:a16="http://schemas.microsoft.com/office/drawing/2014/main" id="{4E8DC332-7E42-48CD-9E0D-10DD71F140A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2" name="Rectangle 265">
          <a:extLst>
            <a:ext uri="{FF2B5EF4-FFF2-40B4-BE49-F238E27FC236}">
              <a16:creationId xmlns:a16="http://schemas.microsoft.com/office/drawing/2014/main" id="{D90A3957-21FE-4C95-9D25-36B2E55F977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3" name="Rectangle 266">
          <a:extLst>
            <a:ext uri="{FF2B5EF4-FFF2-40B4-BE49-F238E27FC236}">
              <a16:creationId xmlns:a16="http://schemas.microsoft.com/office/drawing/2014/main" id="{2D6DEA69-9509-42D6-954E-7F4C0D90AFF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4" name="Rectangle 267">
          <a:extLst>
            <a:ext uri="{FF2B5EF4-FFF2-40B4-BE49-F238E27FC236}">
              <a16:creationId xmlns:a16="http://schemas.microsoft.com/office/drawing/2014/main" id="{5FFA7C44-DA72-4600-B4B7-FE538F6CF26F}"/>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5" name="Rectangle 268">
          <a:extLst>
            <a:ext uri="{FF2B5EF4-FFF2-40B4-BE49-F238E27FC236}">
              <a16:creationId xmlns:a16="http://schemas.microsoft.com/office/drawing/2014/main" id="{29DE3BD6-E5AA-4E52-B33C-A168332A84A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6" name="Rectangle 269">
          <a:extLst>
            <a:ext uri="{FF2B5EF4-FFF2-40B4-BE49-F238E27FC236}">
              <a16:creationId xmlns:a16="http://schemas.microsoft.com/office/drawing/2014/main" id="{7C242924-5B94-41F0-8A6C-DA5A35EF39AA}"/>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7" name="Rectangle 238">
          <a:extLst>
            <a:ext uri="{FF2B5EF4-FFF2-40B4-BE49-F238E27FC236}">
              <a16:creationId xmlns:a16="http://schemas.microsoft.com/office/drawing/2014/main" id="{21A94990-BC1A-4AFC-ACC4-44B3A896614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8" name="Rectangle 249">
          <a:extLst>
            <a:ext uri="{FF2B5EF4-FFF2-40B4-BE49-F238E27FC236}">
              <a16:creationId xmlns:a16="http://schemas.microsoft.com/office/drawing/2014/main" id="{3CF5FD33-6D92-4731-9CFB-1064F4F766E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89" name="Rectangle 251">
          <a:extLst>
            <a:ext uri="{FF2B5EF4-FFF2-40B4-BE49-F238E27FC236}">
              <a16:creationId xmlns:a16="http://schemas.microsoft.com/office/drawing/2014/main" id="{5A7D364D-5A61-43A0-BC8E-B33F9B5E0922}"/>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0" name="Rectangle 253">
          <a:extLst>
            <a:ext uri="{FF2B5EF4-FFF2-40B4-BE49-F238E27FC236}">
              <a16:creationId xmlns:a16="http://schemas.microsoft.com/office/drawing/2014/main" id="{179740D4-59C8-4C31-BEF9-A64B050FAB79}"/>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1" name="Rectangle 254">
          <a:extLst>
            <a:ext uri="{FF2B5EF4-FFF2-40B4-BE49-F238E27FC236}">
              <a16:creationId xmlns:a16="http://schemas.microsoft.com/office/drawing/2014/main" id="{1433ABD4-605D-4829-9D6D-E3252F109345}"/>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2" name="Rectangle 255">
          <a:extLst>
            <a:ext uri="{FF2B5EF4-FFF2-40B4-BE49-F238E27FC236}">
              <a16:creationId xmlns:a16="http://schemas.microsoft.com/office/drawing/2014/main" id="{5A519FF4-24AA-4B07-BEB5-352886949C10}"/>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3" name="Rectangle 257">
          <a:extLst>
            <a:ext uri="{FF2B5EF4-FFF2-40B4-BE49-F238E27FC236}">
              <a16:creationId xmlns:a16="http://schemas.microsoft.com/office/drawing/2014/main" id="{0F7622EB-BFCD-4908-8666-8EA5755390D1}"/>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4" name="Rectangle 258">
          <a:extLst>
            <a:ext uri="{FF2B5EF4-FFF2-40B4-BE49-F238E27FC236}">
              <a16:creationId xmlns:a16="http://schemas.microsoft.com/office/drawing/2014/main" id="{CD02B8A5-537A-40EC-9ECD-8211C42FA16D}"/>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5" name="Rectangle 259">
          <a:extLst>
            <a:ext uri="{FF2B5EF4-FFF2-40B4-BE49-F238E27FC236}">
              <a16:creationId xmlns:a16="http://schemas.microsoft.com/office/drawing/2014/main" id="{D9B782C4-E12B-450E-B09B-7B36F46A859C}"/>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6" name="Rectangle 260">
          <a:extLst>
            <a:ext uri="{FF2B5EF4-FFF2-40B4-BE49-F238E27FC236}">
              <a16:creationId xmlns:a16="http://schemas.microsoft.com/office/drawing/2014/main" id="{EFFF72DE-651E-4B1E-8F33-CC0FAB9E08EA}"/>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7" name="Rectangle 261">
          <a:extLst>
            <a:ext uri="{FF2B5EF4-FFF2-40B4-BE49-F238E27FC236}">
              <a16:creationId xmlns:a16="http://schemas.microsoft.com/office/drawing/2014/main" id="{8AC52036-B517-4350-A4E5-6BD3DFAE9710}"/>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8" name="Rectangle 262">
          <a:extLst>
            <a:ext uri="{FF2B5EF4-FFF2-40B4-BE49-F238E27FC236}">
              <a16:creationId xmlns:a16="http://schemas.microsoft.com/office/drawing/2014/main" id="{4E6AF0AC-7050-4045-8B02-3BD14343BC84}"/>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999" name="Rectangle 263">
          <a:extLst>
            <a:ext uri="{FF2B5EF4-FFF2-40B4-BE49-F238E27FC236}">
              <a16:creationId xmlns:a16="http://schemas.microsoft.com/office/drawing/2014/main" id="{B2669D83-831C-41FD-AF65-04C55F48577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0" name="Rectangle 264">
          <a:extLst>
            <a:ext uri="{FF2B5EF4-FFF2-40B4-BE49-F238E27FC236}">
              <a16:creationId xmlns:a16="http://schemas.microsoft.com/office/drawing/2014/main" id="{E474E252-4401-4C20-B88E-189014D5CF8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1" name="Rectangle 265">
          <a:extLst>
            <a:ext uri="{FF2B5EF4-FFF2-40B4-BE49-F238E27FC236}">
              <a16:creationId xmlns:a16="http://schemas.microsoft.com/office/drawing/2014/main" id="{6AD005E8-4CCD-4693-A35D-59B21A4C6055}"/>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2" name="Rectangle 266">
          <a:extLst>
            <a:ext uri="{FF2B5EF4-FFF2-40B4-BE49-F238E27FC236}">
              <a16:creationId xmlns:a16="http://schemas.microsoft.com/office/drawing/2014/main" id="{D0768F6E-4043-4D9B-9B02-8A88B8956C16}"/>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3" name="Rectangle 267">
          <a:extLst>
            <a:ext uri="{FF2B5EF4-FFF2-40B4-BE49-F238E27FC236}">
              <a16:creationId xmlns:a16="http://schemas.microsoft.com/office/drawing/2014/main" id="{E84A41C2-3C11-43CD-BAC4-E3F83F8FEB7F}"/>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4" name="Rectangle 268">
          <a:extLst>
            <a:ext uri="{FF2B5EF4-FFF2-40B4-BE49-F238E27FC236}">
              <a16:creationId xmlns:a16="http://schemas.microsoft.com/office/drawing/2014/main" id="{BE72BC2A-DF4D-47FE-B45C-92527B4A2DC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5" name="Rectangle 269">
          <a:extLst>
            <a:ext uri="{FF2B5EF4-FFF2-40B4-BE49-F238E27FC236}">
              <a16:creationId xmlns:a16="http://schemas.microsoft.com/office/drawing/2014/main" id="{44BEE83F-30E9-4EE5-A7C7-F5ED959A390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6" name="Rectangle 238">
          <a:extLst>
            <a:ext uri="{FF2B5EF4-FFF2-40B4-BE49-F238E27FC236}">
              <a16:creationId xmlns:a16="http://schemas.microsoft.com/office/drawing/2014/main" id="{FA982F39-CD5A-43F9-B0EC-5D5799B1BB86}"/>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7" name="Rectangle 249">
          <a:extLst>
            <a:ext uri="{FF2B5EF4-FFF2-40B4-BE49-F238E27FC236}">
              <a16:creationId xmlns:a16="http://schemas.microsoft.com/office/drawing/2014/main" id="{C0223BE8-EDF0-472A-859B-8211BA2FF33A}"/>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8" name="Rectangle 251">
          <a:extLst>
            <a:ext uri="{FF2B5EF4-FFF2-40B4-BE49-F238E27FC236}">
              <a16:creationId xmlns:a16="http://schemas.microsoft.com/office/drawing/2014/main" id="{AD6B9703-0F04-49A8-8ADC-D8F49CD007F9}"/>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09" name="Rectangle 253">
          <a:extLst>
            <a:ext uri="{FF2B5EF4-FFF2-40B4-BE49-F238E27FC236}">
              <a16:creationId xmlns:a16="http://schemas.microsoft.com/office/drawing/2014/main" id="{A5EE2D8D-B6A6-415E-9345-08AADFECF4F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0" name="Rectangle 254">
          <a:extLst>
            <a:ext uri="{FF2B5EF4-FFF2-40B4-BE49-F238E27FC236}">
              <a16:creationId xmlns:a16="http://schemas.microsoft.com/office/drawing/2014/main" id="{3D896D9D-4C8F-4891-827F-57649FAD3380}"/>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1" name="Rectangle 255">
          <a:extLst>
            <a:ext uri="{FF2B5EF4-FFF2-40B4-BE49-F238E27FC236}">
              <a16:creationId xmlns:a16="http://schemas.microsoft.com/office/drawing/2014/main" id="{BC2C33A7-64CB-4B36-A38A-CA5C757B90FD}"/>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2" name="Rectangle 257">
          <a:extLst>
            <a:ext uri="{FF2B5EF4-FFF2-40B4-BE49-F238E27FC236}">
              <a16:creationId xmlns:a16="http://schemas.microsoft.com/office/drawing/2014/main" id="{E11BF04B-DF29-4981-B24E-1B40231AD118}"/>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3" name="Rectangle 258">
          <a:extLst>
            <a:ext uri="{FF2B5EF4-FFF2-40B4-BE49-F238E27FC236}">
              <a16:creationId xmlns:a16="http://schemas.microsoft.com/office/drawing/2014/main" id="{37C628EA-888E-4057-8078-231D6113CE25}"/>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4" name="Rectangle 259">
          <a:extLst>
            <a:ext uri="{FF2B5EF4-FFF2-40B4-BE49-F238E27FC236}">
              <a16:creationId xmlns:a16="http://schemas.microsoft.com/office/drawing/2014/main" id="{474CA47A-70D6-444E-B7C1-BC1722FB8541}"/>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5" name="Rectangle 260">
          <a:extLst>
            <a:ext uri="{FF2B5EF4-FFF2-40B4-BE49-F238E27FC236}">
              <a16:creationId xmlns:a16="http://schemas.microsoft.com/office/drawing/2014/main" id="{A266D054-4981-4572-ABD8-D07A3AEDAFC4}"/>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6" name="Rectangle 261">
          <a:extLst>
            <a:ext uri="{FF2B5EF4-FFF2-40B4-BE49-F238E27FC236}">
              <a16:creationId xmlns:a16="http://schemas.microsoft.com/office/drawing/2014/main" id="{9F10F29F-8EEF-4342-B50C-ECB20A9A5C2F}"/>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7" name="Rectangle 262">
          <a:extLst>
            <a:ext uri="{FF2B5EF4-FFF2-40B4-BE49-F238E27FC236}">
              <a16:creationId xmlns:a16="http://schemas.microsoft.com/office/drawing/2014/main" id="{C39B6B68-1E2F-404F-AE55-AA7A242F17F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8" name="Rectangle 263">
          <a:extLst>
            <a:ext uri="{FF2B5EF4-FFF2-40B4-BE49-F238E27FC236}">
              <a16:creationId xmlns:a16="http://schemas.microsoft.com/office/drawing/2014/main" id="{05C464E5-8A44-4236-BED3-A2850B1A1CD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19" name="Rectangle 264">
          <a:extLst>
            <a:ext uri="{FF2B5EF4-FFF2-40B4-BE49-F238E27FC236}">
              <a16:creationId xmlns:a16="http://schemas.microsoft.com/office/drawing/2014/main" id="{65422DAF-90D1-452D-99A1-073ECAE4971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0" name="Rectangle 265">
          <a:extLst>
            <a:ext uri="{FF2B5EF4-FFF2-40B4-BE49-F238E27FC236}">
              <a16:creationId xmlns:a16="http://schemas.microsoft.com/office/drawing/2014/main" id="{73C66FDD-9D04-41BC-9468-9BC40C16F9EC}"/>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1" name="Rectangle 266">
          <a:extLst>
            <a:ext uri="{FF2B5EF4-FFF2-40B4-BE49-F238E27FC236}">
              <a16:creationId xmlns:a16="http://schemas.microsoft.com/office/drawing/2014/main" id="{4DFBA085-DE94-4970-88C1-3B948DDA9DB1}"/>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2" name="Rectangle 267">
          <a:extLst>
            <a:ext uri="{FF2B5EF4-FFF2-40B4-BE49-F238E27FC236}">
              <a16:creationId xmlns:a16="http://schemas.microsoft.com/office/drawing/2014/main" id="{376C8BA8-7CDA-4320-8A92-66A6BE64BF6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3" name="Rectangle 268">
          <a:extLst>
            <a:ext uri="{FF2B5EF4-FFF2-40B4-BE49-F238E27FC236}">
              <a16:creationId xmlns:a16="http://schemas.microsoft.com/office/drawing/2014/main" id="{6FB09E4D-DC67-4C5D-9663-79B632FAC62F}"/>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4" name="Rectangle 269">
          <a:extLst>
            <a:ext uri="{FF2B5EF4-FFF2-40B4-BE49-F238E27FC236}">
              <a16:creationId xmlns:a16="http://schemas.microsoft.com/office/drawing/2014/main" id="{2539E55A-021C-43E8-A240-F6A52AC9DA7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5" name="Rectangle 238">
          <a:extLst>
            <a:ext uri="{FF2B5EF4-FFF2-40B4-BE49-F238E27FC236}">
              <a16:creationId xmlns:a16="http://schemas.microsoft.com/office/drawing/2014/main" id="{145021C7-80B7-4D6B-B88C-4DE54EDA3362}"/>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6" name="Rectangle 249">
          <a:extLst>
            <a:ext uri="{FF2B5EF4-FFF2-40B4-BE49-F238E27FC236}">
              <a16:creationId xmlns:a16="http://schemas.microsoft.com/office/drawing/2014/main" id="{784C810A-8EF7-4F1A-98A5-8899B4DB86D0}"/>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7" name="Rectangle 251">
          <a:extLst>
            <a:ext uri="{FF2B5EF4-FFF2-40B4-BE49-F238E27FC236}">
              <a16:creationId xmlns:a16="http://schemas.microsoft.com/office/drawing/2014/main" id="{E2146CD7-5E40-423C-83A9-F16C158117E9}"/>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8" name="Rectangle 253">
          <a:extLst>
            <a:ext uri="{FF2B5EF4-FFF2-40B4-BE49-F238E27FC236}">
              <a16:creationId xmlns:a16="http://schemas.microsoft.com/office/drawing/2014/main" id="{FE5C6956-4129-4222-A6FE-E5400BEEAFE0}"/>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29" name="Rectangle 254">
          <a:extLst>
            <a:ext uri="{FF2B5EF4-FFF2-40B4-BE49-F238E27FC236}">
              <a16:creationId xmlns:a16="http://schemas.microsoft.com/office/drawing/2014/main" id="{F11F76E9-3EF6-494E-B4BE-87FEB05C37E8}"/>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0" name="Rectangle 255">
          <a:extLst>
            <a:ext uri="{FF2B5EF4-FFF2-40B4-BE49-F238E27FC236}">
              <a16:creationId xmlns:a16="http://schemas.microsoft.com/office/drawing/2014/main" id="{10F6A7E8-9F17-416D-B8D9-3B20F184913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1" name="Rectangle 257">
          <a:extLst>
            <a:ext uri="{FF2B5EF4-FFF2-40B4-BE49-F238E27FC236}">
              <a16:creationId xmlns:a16="http://schemas.microsoft.com/office/drawing/2014/main" id="{ED5EBD96-B8C3-408B-8D86-DD982D9E1AA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2" name="Rectangle 258">
          <a:extLst>
            <a:ext uri="{FF2B5EF4-FFF2-40B4-BE49-F238E27FC236}">
              <a16:creationId xmlns:a16="http://schemas.microsoft.com/office/drawing/2014/main" id="{F53DB3E8-CA8A-4A15-B10B-060C11C55E9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3" name="Rectangle 259">
          <a:extLst>
            <a:ext uri="{FF2B5EF4-FFF2-40B4-BE49-F238E27FC236}">
              <a16:creationId xmlns:a16="http://schemas.microsoft.com/office/drawing/2014/main" id="{1E8A2155-57D9-4C34-92F8-15F03FFD2930}"/>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4" name="Rectangle 260">
          <a:extLst>
            <a:ext uri="{FF2B5EF4-FFF2-40B4-BE49-F238E27FC236}">
              <a16:creationId xmlns:a16="http://schemas.microsoft.com/office/drawing/2014/main" id="{1AF70FF0-2B8B-45E9-83A7-E6560190131F}"/>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5" name="Rectangle 261">
          <a:extLst>
            <a:ext uri="{FF2B5EF4-FFF2-40B4-BE49-F238E27FC236}">
              <a16:creationId xmlns:a16="http://schemas.microsoft.com/office/drawing/2014/main" id="{7CBB9BDF-1ECB-4BA6-8578-A85C07D66566}"/>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6" name="Rectangle 262">
          <a:extLst>
            <a:ext uri="{FF2B5EF4-FFF2-40B4-BE49-F238E27FC236}">
              <a16:creationId xmlns:a16="http://schemas.microsoft.com/office/drawing/2014/main" id="{2607C4E8-4279-47DA-8F09-1E0979288798}"/>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7" name="Rectangle 263">
          <a:extLst>
            <a:ext uri="{FF2B5EF4-FFF2-40B4-BE49-F238E27FC236}">
              <a16:creationId xmlns:a16="http://schemas.microsoft.com/office/drawing/2014/main" id="{A0348C5A-59C6-469F-A4E9-8B53CF063FB1}"/>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8" name="Rectangle 264">
          <a:extLst>
            <a:ext uri="{FF2B5EF4-FFF2-40B4-BE49-F238E27FC236}">
              <a16:creationId xmlns:a16="http://schemas.microsoft.com/office/drawing/2014/main" id="{47BA54AA-B722-4E5E-9E5B-E54620F8BDBF}"/>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39" name="Rectangle 265">
          <a:extLst>
            <a:ext uri="{FF2B5EF4-FFF2-40B4-BE49-F238E27FC236}">
              <a16:creationId xmlns:a16="http://schemas.microsoft.com/office/drawing/2014/main" id="{A07F3601-9FFD-40F9-B5B4-7B752FD0DAF4}"/>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0" name="Rectangle 266">
          <a:extLst>
            <a:ext uri="{FF2B5EF4-FFF2-40B4-BE49-F238E27FC236}">
              <a16:creationId xmlns:a16="http://schemas.microsoft.com/office/drawing/2014/main" id="{EE3B0060-EEDE-4432-A200-80713D010FB2}"/>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1" name="Rectangle 267">
          <a:extLst>
            <a:ext uri="{FF2B5EF4-FFF2-40B4-BE49-F238E27FC236}">
              <a16:creationId xmlns:a16="http://schemas.microsoft.com/office/drawing/2014/main" id="{265DC4C8-E830-4A71-A2A3-1A737973DC63}"/>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2" name="Rectangle 268">
          <a:extLst>
            <a:ext uri="{FF2B5EF4-FFF2-40B4-BE49-F238E27FC236}">
              <a16:creationId xmlns:a16="http://schemas.microsoft.com/office/drawing/2014/main" id="{A9E121A1-5080-44BE-9EC1-68BCB270C324}"/>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3" name="Rectangle 269">
          <a:extLst>
            <a:ext uri="{FF2B5EF4-FFF2-40B4-BE49-F238E27FC236}">
              <a16:creationId xmlns:a16="http://schemas.microsoft.com/office/drawing/2014/main" id="{D297CD7D-9E47-4E1A-92CA-DB2D2BB0F5A6}"/>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4" name="Rectangle 238">
          <a:extLst>
            <a:ext uri="{FF2B5EF4-FFF2-40B4-BE49-F238E27FC236}">
              <a16:creationId xmlns:a16="http://schemas.microsoft.com/office/drawing/2014/main" id="{8A294D0D-7952-4EC2-B52D-9744ABB511E5}"/>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5" name="Rectangle 249">
          <a:extLst>
            <a:ext uri="{FF2B5EF4-FFF2-40B4-BE49-F238E27FC236}">
              <a16:creationId xmlns:a16="http://schemas.microsoft.com/office/drawing/2014/main" id="{4E6B3FF5-6B53-49B3-95EC-F6BD69C64978}"/>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6" name="Rectangle 251">
          <a:extLst>
            <a:ext uri="{FF2B5EF4-FFF2-40B4-BE49-F238E27FC236}">
              <a16:creationId xmlns:a16="http://schemas.microsoft.com/office/drawing/2014/main" id="{4588CB38-1588-4CFB-B43D-479805E7F58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7" name="Rectangle 253">
          <a:extLst>
            <a:ext uri="{FF2B5EF4-FFF2-40B4-BE49-F238E27FC236}">
              <a16:creationId xmlns:a16="http://schemas.microsoft.com/office/drawing/2014/main" id="{B6D04F5F-69F1-46A7-8714-25E9147AA24C}"/>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8" name="Rectangle 254">
          <a:extLst>
            <a:ext uri="{FF2B5EF4-FFF2-40B4-BE49-F238E27FC236}">
              <a16:creationId xmlns:a16="http://schemas.microsoft.com/office/drawing/2014/main" id="{2CC626F8-1EF4-4DC0-9995-188C14AEC0E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49" name="Rectangle 255">
          <a:extLst>
            <a:ext uri="{FF2B5EF4-FFF2-40B4-BE49-F238E27FC236}">
              <a16:creationId xmlns:a16="http://schemas.microsoft.com/office/drawing/2014/main" id="{17CBDC32-C6A6-4803-BAA8-3BD184F17264}"/>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0" name="Rectangle 257">
          <a:extLst>
            <a:ext uri="{FF2B5EF4-FFF2-40B4-BE49-F238E27FC236}">
              <a16:creationId xmlns:a16="http://schemas.microsoft.com/office/drawing/2014/main" id="{5C4A715A-C41D-475C-9C36-D862F132AC81}"/>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1" name="Rectangle 258">
          <a:extLst>
            <a:ext uri="{FF2B5EF4-FFF2-40B4-BE49-F238E27FC236}">
              <a16:creationId xmlns:a16="http://schemas.microsoft.com/office/drawing/2014/main" id="{9129C626-BEC0-4D9E-AAE6-1FC512D4422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2" name="Rectangle 259">
          <a:extLst>
            <a:ext uri="{FF2B5EF4-FFF2-40B4-BE49-F238E27FC236}">
              <a16:creationId xmlns:a16="http://schemas.microsoft.com/office/drawing/2014/main" id="{C38CEDE9-17AC-4D62-876A-C77C0F91855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3" name="Rectangle 260">
          <a:extLst>
            <a:ext uri="{FF2B5EF4-FFF2-40B4-BE49-F238E27FC236}">
              <a16:creationId xmlns:a16="http://schemas.microsoft.com/office/drawing/2014/main" id="{C349852C-455F-447E-B322-61A3131F10A6}"/>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4" name="Rectangle 261">
          <a:extLst>
            <a:ext uri="{FF2B5EF4-FFF2-40B4-BE49-F238E27FC236}">
              <a16:creationId xmlns:a16="http://schemas.microsoft.com/office/drawing/2014/main" id="{623E520D-C462-40A8-A31D-A9339FFA043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5" name="Rectangle 262">
          <a:extLst>
            <a:ext uri="{FF2B5EF4-FFF2-40B4-BE49-F238E27FC236}">
              <a16:creationId xmlns:a16="http://schemas.microsoft.com/office/drawing/2014/main" id="{7E05717C-F578-457E-868B-C7587B8A581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6" name="Rectangle 263">
          <a:extLst>
            <a:ext uri="{FF2B5EF4-FFF2-40B4-BE49-F238E27FC236}">
              <a16:creationId xmlns:a16="http://schemas.microsoft.com/office/drawing/2014/main" id="{C06CEE70-8079-4C72-9BA8-008C4764EC2C}"/>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7" name="Rectangle 264">
          <a:extLst>
            <a:ext uri="{FF2B5EF4-FFF2-40B4-BE49-F238E27FC236}">
              <a16:creationId xmlns:a16="http://schemas.microsoft.com/office/drawing/2014/main" id="{693E21BC-3A2B-4DBC-946E-7FF13DD8FE3E}"/>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8" name="Rectangle 265">
          <a:extLst>
            <a:ext uri="{FF2B5EF4-FFF2-40B4-BE49-F238E27FC236}">
              <a16:creationId xmlns:a16="http://schemas.microsoft.com/office/drawing/2014/main" id="{93641474-D6A7-4373-B25D-964FBFDD606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59" name="Rectangle 266">
          <a:extLst>
            <a:ext uri="{FF2B5EF4-FFF2-40B4-BE49-F238E27FC236}">
              <a16:creationId xmlns:a16="http://schemas.microsoft.com/office/drawing/2014/main" id="{2E438489-E730-4FDD-B43F-B6ECDBF3E6FB}"/>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60" name="Rectangle 267">
          <a:extLst>
            <a:ext uri="{FF2B5EF4-FFF2-40B4-BE49-F238E27FC236}">
              <a16:creationId xmlns:a16="http://schemas.microsoft.com/office/drawing/2014/main" id="{143602A0-9C09-49DC-B773-FE64A410FB12}"/>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61" name="Rectangle 268">
          <a:extLst>
            <a:ext uri="{FF2B5EF4-FFF2-40B4-BE49-F238E27FC236}">
              <a16:creationId xmlns:a16="http://schemas.microsoft.com/office/drawing/2014/main" id="{2D4E65EE-AC11-4FC6-803D-0213AC1CF867}"/>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833</xdr:row>
      <xdr:rowOff>0</xdr:rowOff>
    </xdr:from>
    <xdr:ext cx="28854" cy="132665"/>
    <xdr:sp macro="" textlink="">
      <xdr:nvSpPr>
        <xdr:cNvPr id="1062" name="Rectangle 269">
          <a:extLst>
            <a:ext uri="{FF2B5EF4-FFF2-40B4-BE49-F238E27FC236}">
              <a16:creationId xmlns:a16="http://schemas.microsoft.com/office/drawing/2014/main" id="{6961A913-1E8E-47D8-B017-F83C254E9DF4}"/>
            </a:ext>
          </a:extLst>
        </xdr:cNvPr>
        <xdr:cNvSpPr>
          <a:spLocks noChangeArrowheads="1"/>
        </xdr:cNvSpPr>
      </xdr:nvSpPr>
      <xdr:spPr bwMode="auto">
        <a:xfrm>
          <a:off x="723900" y="2344578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63" name="Rectangle 238">
          <a:extLst>
            <a:ext uri="{FF2B5EF4-FFF2-40B4-BE49-F238E27FC236}">
              <a16:creationId xmlns:a16="http://schemas.microsoft.com/office/drawing/2014/main" id="{CD896A2B-C849-40BD-887A-ABCED846E354}"/>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64" name="Rectangle 249">
          <a:extLst>
            <a:ext uri="{FF2B5EF4-FFF2-40B4-BE49-F238E27FC236}">
              <a16:creationId xmlns:a16="http://schemas.microsoft.com/office/drawing/2014/main" id="{618B720F-DF03-44AD-9A38-9E93908272ED}"/>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65" name="Rectangle 251">
          <a:extLst>
            <a:ext uri="{FF2B5EF4-FFF2-40B4-BE49-F238E27FC236}">
              <a16:creationId xmlns:a16="http://schemas.microsoft.com/office/drawing/2014/main" id="{4E4F8228-828F-465A-B119-419E3A5C6DCA}"/>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66" name="Rectangle 253">
          <a:extLst>
            <a:ext uri="{FF2B5EF4-FFF2-40B4-BE49-F238E27FC236}">
              <a16:creationId xmlns:a16="http://schemas.microsoft.com/office/drawing/2014/main" id="{E814C8EC-FB43-4549-9DDC-41B90F752720}"/>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67" name="Rectangle 254">
          <a:extLst>
            <a:ext uri="{FF2B5EF4-FFF2-40B4-BE49-F238E27FC236}">
              <a16:creationId xmlns:a16="http://schemas.microsoft.com/office/drawing/2014/main" id="{F3E175B8-3575-4287-8B75-D7A4D22870CF}"/>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68" name="Rectangle 255">
          <a:extLst>
            <a:ext uri="{FF2B5EF4-FFF2-40B4-BE49-F238E27FC236}">
              <a16:creationId xmlns:a16="http://schemas.microsoft.com/office/drawing/2014/main" id="{E7F9C6F9-C1D3-4AB2-8DD4-9E4F0F777D80}"/>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69" name="Rectangle 257">
          <a:extLst>
            <a:ext uri="{FF2B5EF4-FFF2-40B4-BE49-F238E27FC236}">
              <a16:creationId xmlns:a16="http://schemas.microsoft.com/office/drawing/2014/main" id="{15F21914-EB63-400C-8AEF-2906E7D24E4D}"/>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0" name="Rectangle 258">
          <a:extLst>
            <a:ext uri="{FF2B5EF4-FFF2-40B4-BE49-F238E27FC236}">
              <a16:creationId xmlns:a16="http://schemas.microsoft.com/office/drawing/2014/main" id="{D084C86E-34E5-454D-B473-B18FDB5E15E1}"/>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1" name="Rectangle 259">
          <a:extLst>
            <a:ext uri="{FF2B5EF4-FFF2-40B4-BE49-F238E27FC236}">
              <a16:creationId xmlns:a16="http://schemas.microsoft.com/office/drawing/2014/main" id="{FBA6F5B6-A60A-4F9B-AAAC-F4C9D6BB158E}"/>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2" name="Rectangle 260">
          <a:extLst>
            <a:ext uri="{FF2B5EF4-FFF2-40B4-BE49-F238E27FC236}">
              <a16:creationId xmlns:a16="http://schemas.microsoft.com/office/drawing/2014/main" id="{BC250CB5-B032-4762-8A90-3308F38A663C}"/>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3" name="Rectangle 261">
          <a:extLst>
            <a:ext uri="{FF2B5EF4-FFF2-40B4-BE49-F238E27FC236}">
              <a16:creationId xmlns:a16="http://schemas.microsoft.com/office/drawing/2014/main" id="{A6257747-2296-4093-B831-D3D2361E3F9C}"/>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4" name="Rectangle 262">
          <a:extLst>
            <a:ext uri="{FF2B5EF4-FFF2-40B4-BE49-F238E27FC236}">
              <a16:creationId xmlns:a16="http://schemas.microsoft.com/office/drawing/2014/main" id="{F081F499-195F-4E9F-9E24-69454EF178CD}"/>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5" name="Rectangle 263">
          <a:extLst>
            <a:ext uri="{FF2B5EF4-FFF2-40B4-BE49-F238E27FC236}">
              <a16:creationId xmlns:a16="http://schemas.microsoft.com/office/drawing/2014/main" id="{72B2CE52-AB3B-4989-90AB-CFB54F9E0973}"/>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6" name="Rectangle 264">
          <a:extLst>
            <a:ext uri="{FF2B5EF4-FFF2-40B4-BE49-F238E27FC236}">
              <a16:creationId xmlns:a16="http://schemas.microsoft.com/office/drawing/2014/main" id="{A8FB6FD0-4D8C-4F42-8B27-4B4FF9FFF3BE}"/>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7" name="Rectangle 265">
          <a:extLst>
            <a:ext uri="{FF2B5EF4-FFF2-40B4-BE49-F238E27FC236}">
              <a16:creationId xmlns:a16="http://schemas.microsoft.com/office/drawing/2014/main" id="{6E0A1CFE-461D-47C3-A3A9-0E47B47DF057}"/>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8" name="Rectangle 266">
          <a:extLst>
            <a:ext uri="{FF2B5EF4-FFF2-40B4-BE49-F238E27FC236}">
              <a16:creationId xmlns:a16="http://schemas.microsoft.com/office/drawing/2014/main" id="{0A06CC38-AC91-445B-9FDF-0851E57BA60C}"/>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79" name="Rectangle 267">
          <a:extLst>
            <a:ext uri="{FF2B5EF4-FFF2-40B4-BE49-F238E27FC236}">
              <a16:creationId xmlns:a16="http://schemas.microsoft.com/office/drawing/2014/main" id="{4B41A081-23E3-4222-8281-B89DEE3D5D5F}"/>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0" name="Rectangle 268">
          <a:extLst>
            <a:ext uri="{FF2B5EF4-FFF2-40B4-BE49-F238E27FC236}">
              <a16:creationId xmlns:a16="http://schemas.microsoft.com/office/drawing/2014/main" id="{A749C962-33D2-4B72-8967-B669F1EB4EA1}"/>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1" name="Rectangle 269">
          <a:extLst>
            <a:ext uri="{FF2B5EF4-FFF2-40B4-BE49-F238E27FC236}">
              <a16:creationId xmlns:a16="http://schemas.microsoft.com/office/drawing/2014/main" id="{D37403D1-E5A1-4DC0-9FD2-0A2468647D2F}"/>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2" name="Rectangle 238">
          <a:extLst>
            <a:ext uri="{FF2B5EF4-FFF2-40B4-BE49-F238E27FC236}">
              <a16:creationId xmlns:a16="http://schemas.microsoft.com/office/drawing/2014/main" id="{711A7BF5-147E-4E11-9F16-6EE9645283D4}"/>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3" name="Rectangle 249">
          <a:extLst>
            <a:ext uri="{FF2B5EF4-FFF2-40B4-BE49-F238E27FC236}">
              <a16:creationId xmlns:a16="http://schemas.microsoft.com/office/drawing/2014/main" id="{E4E50AA2-D33F-42C0-A206-53084E959C30}"/>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4" name="Rectangle 251">
          <a:extLst>
            <a:ext uri="{FF2B5EF4-FFF2-40B4-BE49-F238E27FC236}">
              <a16:creationId xmlns:a16="http://schemas.microsoft.com/office/drawing/2014/main" id="{02F0F259-9FA4-4398-94FA-4E5D2B4AEDF0}"/>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5" name="Rectangle 253">
          <a:extLst>
            <a:ext uri="{FF2B5EF4-FFF2-40B4-BE49-F238E27FC236}">
              <a16:creationId xmlns:a16="http://schemas.microsoft.com/office/drawing/2014/main" id="{E6C8A50A-4312-4065-A8C8-D5BDB37D709B}"/>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6" name="Rectangle 254">
          <a:extLst>
            <a:ext uri="{FF2B5EF4-FFF2-40B4-BE49-F238E27FC236}">
              <a16:creationId xmlns:a16="http://schemas.microsoft.com/office/drawing/2014/main" id="{AF4E7AF4-04A2-4616-AD89-6B1661EBEF8F}"/>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7" name="Rectangle 255">
          <a:extLst>
            <a:ext uri="{FF2B5EF4-FFF2-40B4-BE49-F238E27FC236}">
              <a16:creationId xmlns:a16="http://schemas.microsoft.com/office/drawing/2014/main" id="{C5FEBD1B-352D-464B-9794-97AA119A8248}"/>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8" name="Rectangle 257">
          <a:extLst>
            <a:ext uri="{FF2B5EF4-FFF2-40B4-BE49-F238E27FC236}">
              <a16:creationId xmlns:a16="http://schemas.microsoft.com/office/drawing/2014/main" id="{ED9CA06F-1493-4DDC-9CBD-311BB5A768C9}"/>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89" name="Rectangle 258">
          <a:extLst>
            <a:ext uri="{FF2B5EF4-FFF2-40B4-BE49-F238E27FC236}">
              <a16:creationId xmlns:a16="http://schemas.microsoft.com/office/drawing/2014/main" id="{54977952-3D89-4FA8-B4A9-F57E5277FA4C}"/>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0" name="Rectangle 259">
          <a:extLst>
            <a:ext uri="{FF2B5EF4-FFF2-40B4-BE49-F238E27FC236}">
              <a16:creationId xmlns:a16="http://schemas.microsoft.com/office/drawing/2014/main" id="{B8E7B816-6D7E-4390-899B-EBC8077F5ED8}"/>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1" name="Rectangle 260">
          <a:extLst>
            <a:ext uri="{FF2B5EF4-FFF2-40B4-BE49-F238E27FC236}">
              <a16:creationId xmlns:a16="http://schemas.microsoft.com/office/drawing/2014/main" id="{87AB6068-3180-4BE9-8A48-B79B0E96B123}"/>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2" name="Rectangle 261">
          <a:extLst>
            <a:ext uri="{FF2B5EF4-FFF2-40B4-BE49-F238E27FC236}">
              <a16:creationId xmlns:a16="http://schemas.microsoft.com/office/drawing/2014/main" id="{47BC2A57-43C8-414E-A6A1-FEA4F3B0FA7C}"/>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3" name="Rectangle 262">
          <a:extLst>
            <a:ext uri="{FF2B5EF4-FFF2-40B4-BE49-F238E27FC236}">
              <a16:creationId xmlns:a16="http://schemas.microsoft.com/office/drawing/2014/main" id="{F9055486-6AFB-4EAD-AA9F-598209E5C4D2}"/>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4" name="Rectangle 263">
          <a:extLst>
            <a:ext uri="{FF2B5EF4-FFF2-40B4-BE49-F238E27FC236}">
              <a16:creationId xmlns:a16="http://schemas.microsoft.com/office/drawing/2014/main" id="{C566F4F7-4C0F-4FF1-BBB4-70482EFE7513}"/>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5" name="Rectangle 264">
          <a:extLst>
            <a:ext uri="{FF2B5EF4-FFF2-40B4-BE49-F238E27FC236}">
              <a16:creationId xmlns:a16="http://schemas.microsoft.com/office/drawing/2014/main" id="{4DF02F14-5BF9-4191-AC41-5361B4C08C55}"/>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6" name="Rectangle 265">
          <a:extLst>
            <a:ext uri="{FF2B5EF4-FFF2-40B4-BE49-F238E27FC236}">
              <a16:creationId xmlns:a16="http://schemas.microsoft.com/office/drawing/2014/main" id="{16B36EC8-5AD7-4B5B-891B-E07564B61F86}"/>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7" name="Rectangle 266">
          <a:extLst>
            <a:ext uri="{FF2B5EF4-FFF2-40B4-BE49-F238E27FC236}">
              <a16:creationId xmlns:a16="http://schemas.microsoft.com/office/drawing/2014/main" id="{D9865160-A56C-414F-A78A-A0694F74CDF3}"/>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8" name="Rectangle 267">
          <a:extLst>
            <a:ext uri="{FF2B5EF4-FFF2-40B4-BE49-F238E27FC236}">
              <a16:creationId xmlns:a16="http://schemas.microsoft.com/office/drawing/2014/main" id="{18CD008B-22DE-415D-AB24-A8494E048045}"/>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099" name="Rectangle 268">
          <a:extLst>
            <a:ext uri="{FF2B5EF4-FFF2-40B4-BE49-F238E27FC236}">
              <a16:creationId xmlns:a16="http://schemas.microsoft.com/office/drawing/2014/main" id="{214F914B-B3EE-4997-9359-ED9BEDF681F9}"/>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0" name="Rectangle 269">
          <a:extLst>
            <a:ext uri="{FF2B5EF4-FFF2-40B4-BE49-F238E27FC236}">
              <a16:creationId xmlns:a16="http://schemas.microsoft.com/office/drawing/2014/main" id="{4ECC8EB3-3F2E-400F-9DD5-808CB6A55E51}"/>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1" name="Rectangle 238">
          <a:extLst>
            <a:ext uri="{FF2B5EF4-FFF2-40B4-BE49-F238E27FC236}">
              <a16:creationId xmlns:a16="http://schemas.microsoft.com/office/drawing/2014/main" id="{0F87D052-3DC8-45FC-BBB1-9F89CC23809C}"/>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2" name="Rectangle 249">
          <a:extLst>
            <a:ext uri="{FF2B5EF4-FFF2-40B4-BE49-F238E27FC236}">
              <a16:creationId xmlns:a16="http://schemas.microsoft.com/office/drawing/2014/main" id="{34DE5C1A-1AA0-46B9-9950-9CE44060FAF4}"/>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3" name="Rectangle 251">
          <a:extLst>
            <a:ext uri="{FF2B5EF4-FFF2-40B4-BE49-F238E27FC236}">
              <a16:creationId xmlns:a16="http://schemas.microsoft.com/office/drawing/2014/main" id="{D9414FDA-1393-4256-A830-F217CFEE1D2B}"/>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4" name="Rectangle 253">
          <a:extLst>
            <a:ext uri="{FF2B5EF4-FFF2-40B4-BE49-F238E27FC236}">
              <a16:creationId xmlns:a16="http://schemas.microsoft.com/office/drawing/2014/main" id="{1B41C743-7EB5-43FC-95C9-5CDA933BBE54}"/>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5" name="Rectangle 254">
          <a:extLst>
            <a:ext uri="{FF2B5EF4-FFF2-40B4-BE49-F238E27FC236}">
              <a16:creationId xmlns:a16="http://schemas.microsoft.com/office/drawing/2014/main" id="{00DB845C-D22F-4521-AEC4-2AE7EC658CA0}"/>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6" name="Rectangle 255">
          <a:extLst>
            <a:ext uri="{FF2B5EF4-FFF2-40B4-BE49-F238E27FC236}">
              <a16:creationId xmlns:a16="http://schemas.microsoft.com/office/drawing/2014/main" id="{20169C7B-5984-4663-A8DF-8A691C0E3E12}"/>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7" name="Rectangle 257">
          <a:extLst>
            <a:ext uri="{FF2B5EF4-FFF2-40B4-BE49-F238E27FC236}">
              <a16:creationId xmlns:a16="http://schemas.microsoft.com/office/drawing/2014/main" id="{04B2B233-E979-41C0-8498-1591F4DDBEC9}"/>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8" name="Rectangle 258">
          <a:extLst>
            <a:ext uri="{FF2B5EF4-FFF2-40B4-BE49-F238E27FC236}">
              <a16:creationId xmlns:a16="http://schemas.microsoft.com/office/drawing/2014/main" id="{A039C81B-A431-4D07-BA05-368330DFFB3E}"/>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09" name="Rectangle 259">
          <a:extLst>
            <a:ext uri="{FF2B5EF4-FFF2-40B4-BE49-F238E27FC236}">
              <a16:creationId xmlns:a16="http://schemas.microsoft.com/office/drawing/2014/main" id="{922EE968-0B62-47E0-BB21-0E6C7A76242D}"/>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0" name="Rectangle 260">
          <a:extLst>
            <a:ext uri="{FF2B5EF4-FFF2-40B4-BE49-F238E27FC236}">
              <a16:creationId xmlns:a16="http://schemas.microsoft.com/office/drawing/2014/main" id="{BE8B6423-0908-4BAD-8219-A1EE5EF6CDB6}"/>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1" name="Rectangle 261">
          <a:extLst>
            <a:ext uri="{FF2B5EF4-FFF2-40B4-BE49-F238E27FC236}">
              <a16:creationId xmlns:a16="http://schemas.microsoft.com/office/drawing/2014/main" id="{25D2A6B0-8BEA-4D3B-9B96-A993A2F3BC98}"/>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2" name="Rectangle 262">
          <a:extLst>
            <a:ext uri="{FF2B5EF4-FFF2-40B4-BE49-F238E27FC236}">
              <a16:creationId xmlns:a16="http://schemas.microsoft.com/office/drawing/2014/main" id="{96010FFA-0BDB-403C-9B46-6173FF8B0890}"/>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3" name="Rectangle 263">
          <a:extLst>
            <a:ext uri="{FF2B5EF4-FFF2-40B4-BE49-F238E27FC236}">
              <a16:creationId xmlns:a16="http://schemas.microsoft.com/office/drawing/2014/main" id="{4CF19571-E93B-4018-BDC2-1C06F911A8F4}"/>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4" name="Rectangle 264">
          <a:extLst>
            <a:ext uri="{FF2B5EF4-FFF2-40B4-BE49-F238E27FC236}">
              <a16:creationId xmlns:a16="http://schemas.microsoft.com/office/drawing/2014/main" id="{C407BEA7-2E63-480C-9607-12F14BCA2EAA}"/>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5" name="Rectangle 265">
          <a:extLst>
            <a:ext uri="{FF2B5EF4-FFF2-40B4-BE49-F238E27FC236}">
              <a16:creationId xmlns:a16="http://schemas.microsoft.com/office/drawing/2014/main" id="{C4B19096-3DDD-4498-8DBE-B5AB0224B4C6}"/>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6" name="Rectangle 266">
          <a:extLst>
            <a:ext uri="{FF2B5EF4-FFF2-40B4-BE49-F238E27FC236}">
              <a16:creationId xmlns:a16="http://schemas.microsoft.com/office/drawing/2014/main" id="{50819263-D6CE-4074-9B26-ADF23D4617DF}"/>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7" name="Rectangle 267">
          <a:extLst>
            <a:ext uri="{FF2B5EF4-FFF2-40B4-BE49-F238E27FC236}">
              <a16:creationId xmlns:a16="http://schemas.microsoft.com/office/drawing/2014/main" id="{C38CE179-3EBB-4201-B53C-11D367578B3E}"/>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8" name="Rectangle 268">
          <a:extLst>
            <a:ext uri="{FF2B5EF4-FFF2-40B4-BE49-F238E27FC236}">
              <a16:creationId xmlns:a16="http://schemas.microsoft.com/office/drawing/2014/main" id="{29073732-85DE-4C8E-90BE-046F68303488}"/>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19" name="Rectangle 269">
          <a:extLst>
            <a:ext uri="{FF2B5EF4-FFF2-40B4-BE49-F238E27FC236}">
              <a16:creationId xmlns:a16="http://schemas.microsoft.com/office/drawing/2014/main" id="{B884E8CB-BD0D-4BE2-8550-78BBC49F8E6E}"/>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0" name="Rectangle 238">
          <a:extLst>
            <a:ext uri="{FF2B5EF4-FFF2-40B4-BE49-F238E27FC236}">
              <a16:creationId xmlns:a16="http://schemas.microsoft.com/office/drawing/2014/main" id="{BF8E20D6-EBA6-4D2C-A336-77EA982EE63D}"/>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1" name="Rectangle 249">
          <a:extLst>
            <a:ext uri="{FF2B5EF4-FFF2-40B4-BE49-F238E27FC236}">
              <a16:creationId xmlns:a16="http://schemas.microsoft.com/office/drawing/2014/main" id="{8616361C-5B21-4CA5-84F2-7DA9D9AD2823}"/>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2" name="Rectangle 251">
          <a:extLst>
            <a:ext uri="{FF2B5EF4-FFF2-40B4-BE49-F238E27FC236}">
              <a16:creationId xmlns:a16="http://schemas.microsoft.com/office/drawing/2014/main" id="{6A4F12CA-0822-4844-AC21-8C75E45654A7}"/>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3" name="Rectangle 253">
          <a:extLst>
            <a:ext uri="{FF2B5EF4-FFF2-40B4-BE49-F238E27FC236}">
              <a16:creationId xmlns:a16="http://schemas.microsoft.com/office/drawing/2014/main" id="{41FCCAA6-5492-473A-9CAC-9719127108F4}"/>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4" name="Rectangle 254">
          <a:extLst>
            <a:ext uri="{FF2B5EF4-FFF2-40B4-BE49-F238E27FC236}">
              <a16:creationId xmlns:a16="http://schemas.microsoft.com/office/drawing/2014/main" id="{92CD74FF-B15E-488B-939B-E466C07ACC17}"/>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5" name="Rectangle 255">
          <a:extLst>
            <a:ext uri="{FF2B5EF4-FFF2-40B4-BE49-F238E27FC236}">
              <a16:creationId xmlns:a16="http://schemas.microsoft.com/office/drawing/2014/main" id="{173F644C-26A1-4677-A524-48A803378D1A}"/>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6" name="Rectangle 257">
          <a:extLst>
            <a:ext uri="{FF2B5EF4-FFF2-40B4-BE49-F238E27FC236}">
              <a16:creationId xmlns:a16="http://schemas.microsoft.com/office/drawing/2014/main" id="{CD22FFF2-0626-4FC4-8772-EC8E582D0AB7}"/>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7" name="Rectangle 258">
          <a:extLst>
            <a:ext uri="{FF2B5EF4-FFF2-40B4-BE49-F238E27FC236}">
              <a16:creationId xmlns:a16="http://schemas.microsoft.com/office/drawing/2014/main" id="{8BF785BE-724A-482F-90D4-389AE907F615}"/>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8" name="Rectangle 259">
          <a:extLst>
            <a:ext uri="{FF2B5EF4-FFF2-40B4-BE49-F238E27FC236}">
              <a16:creationId xmlns:a16="http://schemas.microsoft.com/office/drawing/2014/main" id="{8A357614-0F12-4C66-A394-B016E8F561FB}"/>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29" name="Rectangle 260">
          <a:extLst>
            <a:ext uri="{FF2B5EF4-FFF2-40B4-BE49-F238E27FC236}">
              <a16:creationId xmlns:a16="http://schemas.microsoft.com/office/drawing/2014/main" id="{4CDA367A-F3B3-49F1-822E-94E2CD632B77}"/>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0" name="Rectangle 261">
          <a:extLst>
            <a:ext uri="{FF2B5EF4-FFF2-40B4-BE49-F238E27FC236}">
              <a16:creationId xmlns:a16="http://schemas.microsoft.com/office/drawing/2014/main" id="{A271048B-B827-42CE-99DF-81BE7867FA2B}"/>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1" name="Rectangle 262">
          <a:extLst>
            <a:ext uri="{FF2B5EF4-FFF2-40B4-BE49-F238E27FC236}">
              <a16:creationId xmlns:a16="http://schemas.microsoft.com/office/drawing/2014/main" id="{F0EC12FF-78E4-45AD-8810-0581674CDE08}"/>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2" name="Rectangle 263">
          <a:extLst>
            <a:ext uri="{FF2B5EF4-FFF2-40B4-BE49-F238E27FC236}">
              <a16:creationId xmlns:a16="http://schemas.microsoft.com/office/drawing/2014/main" id="{BCDF6D31-5D1F-40B9-9098-EDC72E6F2F7B}"/>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3" name="Rectangle 264">
          <a:extLst>
            <a:ext uri="{FF2B5EF4-FFF2-40B4-BE49-F238E27FC236}">
              <a16:creationId xmlns:a16="http://schemas.microsoft.com/office/drawing/2014/main" id="{C48C83E9-77AC-46CF-BF29-018E86E5F595}"/>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4" name="Rectangle 265">
          <a:extLst>
            <a:ext uri="{FF2B5EF4-FFF2-40B4-BE49-F238E27FC236}">
              <a16:creationId xmlns:a16="http://schemas.microsoft.com/office/drawing/2014/main" id="{5C6843E1-45A0-42EB-B95E-F2E31E690264}"/>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5" name="Rectangle 266">
          <a:extLst>
            <a:ext uri="{FF2B5EF4-FFF2-40B4-BE49-F238E27FC236}">
              <a16:creationId xmlns:a16="http://schemas.microsoft.com/office/drawing/2014/main" id="{5085CC2F-738A-4A34-9902-F5C82872974E}"/>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6" name="Rectangle 267">
          <a:extLst>
            <a:ext uri="{FF2B5EF4-FFF2-40B4-BE49-F238E27FC236}">
              <a16:creationId xmlns:a16="http://schemas.microsoft.com/office/drawing/2014/main" id="{544CCB03-44EE-4291-A5F5-F13BD7A7C21A}"/>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7" name="Rectangle 268">
          <a:extLst>
            <a:ext uri="{FF2B5EF4-FFF2-40B4-BE49-F238E27FC236}">
              <a16:creationId xmlns:a16="http://schemas.microsoft.com/office/drawing/2014/main" id="{9D545130-3B0D-43B4-9F61-8119282BC4D6}"/>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8" name="Rectangle 269">
          <a:extLst>
            <a:ext uri="{FF2B5EF4-FFF2-40B4-BE49-F238E27FC236}">
              <a16:creationId xmlns:a16="http://schemas.microsoft.com/office/drawing/2014/main" id="{027BF356-9DB1-423D-9F3A-28C80D136DF6}"/>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39" name="Rectangle 238">
          <a:extLst>
            <a:ext uri="{FF2B5EF4-FFF2-40B4-BE49-F238E27FC236}">
              <a16:creationId xmlns:a16="http://schemas.microsoft.com/office/drawing/2014/main" id="{1E473CA0-CE4C-4E2E-BC4A-76280F3E1ED9}"/>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0" name="Rectangle 249">
          <a:extLst>
            <a:ext uri="{FF2B5EF4-FFF2-40B4-BE49-F238E27FC236}">
              <a16:creationId xmlns:a16="http://schemas.microsoft.com/office/drawing/2014/main" id="{C6055552-4260-448F-9CF5-7E82AACAD8B6}"/>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1" name="Rectangle 251">
          <a:extLst>
            <a:ext uri="{FF2B5EF4-FFF2-40B4-BE49-F238E27FC236}">
              <a16:creationId xmlns:a16="http://schemas.microsoft.com/office/drawing/2014/main" id="{797851D9-4D21-4374-BAF8-514F23CA495A}"/>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2" name="Rectangle 253">
          <a:extLst>
            <a:ext uri="{FF2B5EF4-FFF2-40B4-BE49-F238E27FC236}">
              <a16:creationId xmlns:a16="http://schemas.microsoft.com/office/drawing/2014/main" id="{29A621A5-9067-4FC5-AA79-4EDA70D394DD}"/>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3" name="Rectangle 254">
          <a:extLst>
            <a:ext uri="{FF2B5EF4-FFF2-40B4-BE49-F238E27FC236}">
              <a16:creationId xmlns:a16="http://schemas.microsoft.com/office/drawing/2014/main" id="{90208364-CA6B-4087-A33E-58B3BFC07509}"/>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4" name="Rectangle 255">
          <a:extLst>
            <a:ext uri="{FF2B5EF4-FFF2-40B4-BE49-F238E27FC236}">
              <a16:creationId xmlns:a16="http://schemas.microsoft.com/office/drawing/2014/main" id="{12E2ED10-6A1B-4BC5-90DD-A437D658CCBC}"/>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5" name="Rectangle 257">
          <a:extLst>
            <a:ext uri="{FF2B5EF4-FFF2-40B4-BE49-F238E27FC236}">
              <a16:creationId xmlns:a16="http://schemas.microsoft.com/office/drawing/2014/main" id="{71D54706-C259-45FA-BA71-DB204160E2FB}"/>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6" name="Rectangle 258">
          <a:extLst>
            <a:ext uri="{FF2B5EF4-FFF2-40B4-BE49-F238E27FC236}">
              <a16:creationId xmlns:a16="http://schemas.microsoft.com/office/drawing/2014/main" id="{0FAEBC4C-8345-413F-87B0-C27BBF925591}"/>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7" name="Rectangle 259">
          <a:extLst>
            <a:ext uri="{FF2B5EF4-FFF2-40B4-BE49-F238E27FC236}">
              <a16:creationId xmlns:a16="http://schemas.microsoft.com/office/drawing/2014/main" id="{E5E2ACEA-3DA8-44DA-9E4F-2B3C4E32AAAC}"/>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8" name="Rectangle 260">
          <a:extLst>
            <a:ext uri="{FF2B5EF4-FFF2-40B4-BE49-F238E27FC236}">
              <a16:creationId xmlns:a16="http://schemas.microsoft.com/office/drawing/2014/main" id="{597520EE-4FF2-45F0-B9F8-154474760DDD}"/>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49" name="Rectangle 261">
          <a:extLst>
            <a:ext uri="{FF2B5EF4-FFF2-40B4-BE49-F238E27FC236}">
              <a16:creationId xmlns:a16="http://schemas.microsoft.com/office/drawing/2014/main" id="{1940D5C8-74A1-48A7-976A-8A73044C93BB}"/>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50" name="Rectangle 262">
          <a:extLst>
            <a:ext uri="{FF2B5EF4-FFF2-40B4-BE49-F238E27FC236}">
              <a16:creationId xmlns:a16="http://schemas.microsoft.com/office/drawing/2014/main" id="{11161F40-56AA-4085-9ED3-148B5F102136}"/>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51" name="Rectangle 263">
          <a:extLst>
            <a:ext uri="{FF2B5EF4-FFF2-40B4-BE49-F238E27FC236}">
              <a16:creationId xmlns:a16="http://schemas.microsoft.com/office/drawing/2014/main" id="{AA52CCED-6847-4F4E-9822-E6E05F1B88D7}"/>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52" name="Rectangle 264">
          <a:extLst>
            <a:ext uri="{FF2B5EF4-FFF2-40B4-BE49-F238E27FC236}">
              <a16:creationId xmlns:a16="http://schemas.microsoft.com/office/drawing/2014/main" id="{A526B3BA-83B9-49EB-9A46-84AA5F1F2B12}"/>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53" name="Rectangle 265">
          <a:extLst>
            <a:ext uri="{FF2B5EF4-FFF2-40B4-BE49-F238E27FC236}">
              <a16:creationId xmlns:a16="http://schemas.microsoft.com/office/drawing/2014/main" id="{4E8F6389-1DEA-40BA-B954-437DA8080350}"/>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54" name="Rectangle 266">
          <a:extLst>
            <a:ext uri="{FF2B5EF4-FFF2-40B4-BE49-F238E27FC236}">
              <a16:creationId xmlns:a16="http://schemas.microsoft.com/office/drawing/2014/main" id="{A812E05B-C950-4A87-AC5C-84C61E3C6624}"/>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55" name="Rectangle 267">
          <a:extLst>
            <a:ext uri="{FF2B5EF4-FFF2-40B4-BE49-F238E27FC236}">
              <a16:creationId xmlns:a16="http://schemas.microsoft.com/office/drawing/2014/main" id="{BCB84827-E2C5-461C-AE8E-E5F340ECAC0A}"/>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56" name="Rectangle 268">
          <a:extLst>
            <a:ext uri="{FF2B5EF4-FFF2-40B4-BE49-F238E27FC236}">
              <a16:creationId xmlns:a16="http://schemas.microsoft.com/office/drawing/2014/main" id="{F6CFEDDC-CA4E-4204-BE16-DBF616C1B11B}"/>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848</xdr:row>
      <xdr:rowOff>0</xdr:rowOff>
    </xdr:from>
    <xdr:ext cx="28854" cy="132665"/>
    <xdr:sp macro="" textlink="">
      <xdr:nvSpPr>
        <xdr:cNvPr id="1157" name="Rectangle 269">
          <a:extLst>
            <a:ext uri="{FF2B5EF4-FFF2-40B4-BE49-F238E27FC236}">
              <a16:creationId xmlns:a16="http://schemas.microsoft.com/office/drawing/2014/main" id="{C6106197-E54C-4249-A36A-A8DB42C8A6CF}"/>
            </a:ext>
          </a:extLst>
        </xdr:cNvPr>
        <xdr:cNvSpPr>
          <a:spLocks noChangeArrowheads="1"/>
        </xdr:cNvSpPr>
      </xdr:nvSpPr>
      <xdr:spPr bwMode="auto">
        <a:xfrm>
          <a:off x="723900" y="2370105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58" name="Rectangle 238">
          <a:extLst>
            <a:ext uri="{FF2B5EF4-FFF2-40B4-BE49-F238E27FC236}">
              <a16:creationId xmlns:a16="http://schemas.microsoft.com/office/drawing/2014/main" id="{D86B254F-DB0B-4364-9E0A-36343605B603}"/>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59" name="Rectangle 249">
          <a:extLst>
            <a:ext uri="{FF2B5EF4-FFF2-40B4-BE49-F238E27FC236}">
              <a16:creationId xmlns:a16="http://schemas.microsoft.com/office/drawing/2014/main" id="{5F3B69FB-19AF-49BA-AE28-AE987D2389E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0" name="Rectangle 251">
          <a:extLst>
            <a:ext uri="{FF2B5EF4-FFF2-40B4-BE49-F238E27FC236}">
              <a16:creationId xmlns:a16="http://schemas.microsoft.com/office/drawing/2014/main" id="{32FF3E59-8AF2-40BB-B088-11F7AE166E54}"/>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1" name="Rectangle 253">
          <a:extLst>
            <a:ext uri="{FF2B5EF4-FFF2-40B4-BE49-F238E27FC236}">
              <a16:creationId xmlns:a16="http://schemas.microsoft.com/office/drawing/2014/main" id="{40DACA47-4330-4612-9BA1-4598FECA3F8E}"/>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2" name="Rectangle 254">
          <a:extLst>
            <a:ext uri="{FF2B5EF4-FFF2-40B4-BE49-F238E27FC236}">
              <a16:creationId xmlns:a16="http://schemas.microsoft.com/office/drawing/2014/main" id="{592D045A-4EC8-476A-8494-C5FE3D0B72FA}"/>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3" name="Rectangle 255">
          <a:extLst>
            <a:ext uri="{FF2B5EF4-FFF2-40B4-BE49-F238E27FC236}">
              <a16:creationId xmlns:a16="http://schemas.microsoft.com/office/drawing/2014/main" id="{6D04E0E2-158B-41D3-B59C-87D8C47FE366}"/>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4" name="Rectangle 257">
          <a:extLst>
            <a:ext uri="{FF2B5EF4-FFF2-40B4-BE49-F238E27FC236}">
              <a16:creationId xmlns:a16="http://schemas.microsoft.com/office/drawing/2014/main" id="{08AA029C-7270-4C78-90CA-AF82ECF45EFA}"/>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5" name="Rectangle 258">
          <a:extLst>
            <a:ext uri="{FF2B5EF4-FFF2-40B4-BE49-F238E27FC236}">
              <a16:creationId xmlns:a16="http://schemas.microsoft.com/office/drawing/2014/main" id="{5EB5F823-4B7E-4815-99FB-61F81690803F}"/>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6" name="Rectangle 259">
          <a:extLst>
            <a:ext uri="{FF2B5EF4-FFF2-40B4-BE49-F238E27FC236}">
              <a16:creationId xmlns:a16="http://schemas.microsoft.com/office/drawing/2014/main" id="{59307ABF-7391-46B3-B798-E7B9B40D09EE}"/>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7" name="Rectangle 260">
          <a:extLst>
            <a:ext uri="{FF2B5EF4-FFF2-40B4-BE49-F238E27FC236}">
              <a16:creationId xmlns:a16="http://schemas.microsoft.com/office/drawing/2014/main" id="{D451241E-181A-4D4C-9069-80A9CB69B9B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8" name="Rectangle 261">
          <a:extLst>
            <a:ext uri="{FF2B5EF4-FFF2-40B4-BE49-F238E27FC236}">
              <a16:creationId xmlns:a16="http://schemas.microsoft.com/office/drawing/2014/main" id="{FFDCCD3C-8924-45E2-876F-75734F78A25E}"/>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69" name="Rectangle 262">
          <a:extLst>
            <a:ext uri="{FF2B5EF4-FFF2-40B4-BE49-F238E27FC236}">
              <a16:creationId xmlns:a16="http://schemas.microsoft.com/office/drawing/2014/main" id="{BF28E5D9-98CA-4399-BBA7-DD732721047B}"/>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0" name="Rectangle 263">
          <a:extLst>
            <a:ext uri="{FF2B5EF4-FFF2-40B4-BE49-F238E27FC236}">
              <a16:creationId xmlns:a16="http://schemas.microsoft.com/office/drawing/2014/main" id="{517896F8-8FF2-4456-A0CA-2D6D038C1C6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1" name="Rectangle 264">
          <a:extLst>
            <a:ext uri="{FF2B5EF4-FFF2-40B4-BE49-F238E27FC236}">
              <a16:creationId xmlns:a16="http://schemas.microsoft.com/office/drawing/2014/main" id="{E0B3AAC0-17A5-4C75-A86F-03EE8C45C990}"/>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2" name="Rectangle 265">
          <a:extLst>
            <a:ext uri="{FF2B5EF4-FFF2-40B4-BE49-F238E27FC236}">
              <a16:creationId xmlns:a16="http://schemas.microsoft.com/office/drawing/2014/main" id="{4E1E8358-231F-4F3C-B5E2-404843FCBD5F}"/>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3" name="Rectangle 266">
          <a:extLst>
            <a:ext uri="{FF2B5EF4-FFF2-40B4-BE49-F238E27FC236}">
              <a16:creationId xmlns:a16="http://schemas.microsoft.com/office/drawing/2014/main" id="{EB3AE5A7-87E6-4806-9F94-D3EC7A2978CB}"/>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4" name="Rectangle 267">
          <a:extLst>
            <a:ext uri="{FF2B5EF4-FFF2-40B4-BE49-F238E27FC236}">
              <a16:creationId xmlns:a16="http://schemas.microsoft.com/office/drawing/2014/main" id="{D087B4D0-59D7-45C2-A4D4-BF7AA49962D2}"/>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5" name="Rectangle 268">
          <a:extLst>
            <a:ext uri="{FF2B5EF4-FFF2-40B4-BE49-F238E27FC236}">
              <a16:creationId xmlns:a16="http://schemas.microsoft.com/office/drawing/2014/main" id="{7279D54A-1DAE-4A07-B5BD-20FB945A752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6" name="Rectangle 269">
          <a:extLst>
            <a:ext uri="{FF2B5EF4-FFF2-40B4-BE49-F238E27FC236}">
              <a16:creationId xmlns:a16="http://schemas.microsoft.com/office/drawing/2014/main" id="{BF3E5D26-B4A7-48AF-BE95-7F06BA6D83F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7" name="Rectangle 238">
          <a:extLst>
            <a:ext uri="{FF2B5EF4-FFF2-40B4-BE49-F238E27FC236}">
              <a16:creationId xmlns:a16="http://schemas.microsoft.com/office/drawing/2014/main" id="{B6805705-2B44-4DC0-B26E-AE31B888A1E4}"/>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8" name="Rectangle 249">
          <a:extLst>
            <a:ext uri="{FF2B5EF4-FFF2-40B4-BE49-F238E27FC236}">
              <a16:creationId xmlns:a16="http://schemas.microsoft.com/office/drawing/2014/main" id="{2D31F8C8-F728-40D3-A0B4-BACC1414B8CB}"/>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79" name="Rectangle 251">
          <a:extLst>
            <a:ext uri="{FF2B5EF4-FFF2-40B4-BE49-F238E27FC236}">
              <a16:creationId xmlns:a16="http://schemas.microsoft.com/office/drawing/2014/main" id="{70B5914B-9A88-447F-97FF-725460C6ED12}"/>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0" name="Rectangle 253">
          <a:extLst>
            <a:ext uri="{FF2B5EF4-FFF2-40B4-BE49-F238E27FC236}">
              <a16:creationId xmlns:a16="http://schemas.microsoft.com/office/drawing/2014/main" id="{C4071634-F0F7-4820-919E-499207171663}"/>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1" name="Rectangle 254">
          <a:extLst>
            <a:ext uri="{FF2B5EF4-FFF2-40B4-BE49-F238E27FC236}">
              <a16:creationId xmlns:a16="http://schemas.microsoft.com/office/drawing/2014/main" id="{854BC442-7B66-450E-BD58-41F2C0A3B09C}"/>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2" name="Rectangle 255">
          <a:extLst>
            <a:ext uri="{FF2B5EF4-FFF2-40B4-BE49-F238E27FC236}">
              <a16:creationId xmlns:a16="http://schemas.microsoft.com/office/drawing/2014/main" id="{BB3771F1-10F6-437B-AB81-E63376C7637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3" name="Rectangle 257">
          <a:extLst>
            <a:ext uri="{FF2B5EF4-FFF2-40B4-BE49-F238E27FC236}">
              <a16:creationId xmlns:a16="http://schemas.microsoft.com/office/drawing/2014/main" id="{4E82D6DA-4A6E-4FC3-B823-BE52AC23D73E}"/>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4" name="Rectangle 258">
          <a:extLst>
            <a:ext uri="{FF2B5EF4-FFF2-40B4-BE49-F238E27FC236}">
              <a16:creationId xmlns:a16="http://schemas.microsoft.com/office/drawing/2014/main" id="{013D06F0-5A85-4543-AB9B-13EE7082737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5" name="Rectangle 259">
          <a:extLst>
            <a:ext uri="{FF2B5EF4-FFF2-40B4-BE49-F238E27FC236}">
              <a16:creationId xmlns:a16="http://schemas.microsoft.com/office/drawing/2014/main" id="{9F8908DA-CBF6-4A3A-B250-9940F0768812}"/>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6" name="Rectangle 260">
          <a:extLst>
            <a:ext uri="{FF2B5EF4-FFF2-40B4-BE49-F238E27FC236}">
              <a16:creationId xmlns:a16="http://schemas.microsoft.com/office/drawing/2014/main" id="{A816BF01-85FE-4212-B0A3-29AC6E7454D3}"/>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7" name="Rectangle 261">
          <a:extLst>
            <a:ext uri="{FF2B5EF4-FFF2-40B4-BE49-F238E27FC236}">
              <a16:creationId xmlns:a16="http://schemas.microsoft.com/office/drawing/2014/main" id="{FBA210D5-2E38-459F-8E44-7D8446B6D743}"/>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8" name="Rectangle 262">
          <a:extLst>
            <a:ext uri="{FF2B5EF4-FFF2-40B4-BE49-F238E27FC236}">
              <a16:creationId xmlns:a16="http://schemas.microsoft.com/office/drawing/2014/main" id="{4DF075CA-5389-4710-953F-B281D3C3B51A}"/>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89" name="Rectangle 263">
          <a:extLst>
            <a:ext uri="{FF2B5EF4-FFF2-40B4-BE49-F238E27FC236}">
              <a16:creationId xmlns:a16="http://schemas.microsoft.com/office/drawing/2014/main" id="{02165014-84CB-488C-A7AE-D9E4512A9E4C}"/>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0" name="Rectangle 264">
          <a:extLst>
            <a:ext uri="{FF2B5EF4-FFF2-40B4-BE49-F238E27FC236}">
              <a16:creationId xmlns:a16="http://schemas.microsoft.com/office/drawing/2014/main" id="{A68E9441-4F14-4122-8F1B-61F3A2354423}"/>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1" name="Rectangle 265">
          <a:extLst>
            <a:ext uri="{FF2B5EF4-FFF2-40B4-BE49-F238E27FC236}">
              <a16:creationId xmlns:a16="http://schemas.microsoft.com/office/drawing/2014/main" id="{D2A0AA3C-2134-489C-80C2-C955B342C96A}"/>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2" name="Rectangle 266">
          <a:extLst>
            <a:ext uri="{FF2B5EF4-FFF2-40B4-BE49-F238E27FC236}">
              <a16:creationId xmlns:a16="http://schemas.microsoft.com/office/drawing/2014/main" id="{9ED0F8D9-0250-4A50-BB0C-1C63073A65E3}"/>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3" name="Rectangle 267">
          <a:extLst>
            <a:ext uri="{FF2B5EF4-FFF2-40B4-BE49-F238E27FC236}">
              <a16:creationId xmlns:a16="http://schemas.microsoft.com/office/drawing/2014/main" id="{697A2787-A038-4163-8FAF-32B3FEF0DD00}"/>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4" name="Rectangle 268">
          <a:extLst>
            <a:ext uri="{FF2B5EF4-FFF2-40B4-BE49-F238E27FC236}">
              <a16:creationId xmlns:a16="http://schemas.microsoft.com/office/drawing/2014/main" id="{DD5C46F3-03A6-44DD-8EF0-FBB02A87EF42}"/>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5" name="Rectangle 269">
          <a:extLst>
            <a:ext uri="{FF2B5EF4-FFF2-40B4-BE49-F238E27FC236}">
              <a16:creationId xmlns:a16="http://schemas.microsoft.com/office/drawing/2014/main" id="{192BD472-0904-43FD-AB2D-520C8761DBA3}"/>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6" name="Rectangle 238">
          <a:extLst>
            <a:ext uri="{FF2B5EF4-FFF2-40B4-BE49-F238E27FC236}">
              <a16:creationId xmlns:a16="http://schemas.microsoft.com/office/drawing/2014/main" id="{4B38ECC5-B2D2-43C9-84A5-CB8483BD0834}"/>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7" name="Rectangle 249">
          <a:extLst>
            <a:ext uri="{FF2B5EF4-FFF2-40B4-BE49-F238E27FC236}">
              <a16:creationId xmlns:a16="http://schemas.microsoft.com/office/drawing/2014/main" id="{EEC17520-44B0-4CA1-BD32-65A42AF9C3C0}"/>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8" name="Rectangle 251">
          <a:extLst>
            <a:ext uri="{FF2B5EF4-FFF2-40B4-BE49-F238E27FC236}">
              <a16:creationId xmlns:a16="http://schemas.microsoft.com/office/drawing/2014/main" id="{BDE41EF5-0E0D-429F-9D49-CC7DDBA2F10E}"/>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199" name="Rectangle 253">
          <a:extLst>
            <a:ext uri="{FF2B5EF4-FFF2-40B4-BE49-F238E27FC236}">
              <a16:creationId xmlns:a16="http://schemas.microsoft.com/office/drawing/2014/main" id="{F729DBCA-319D-4421-9193-3D45D92374E7}"/>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0" name="Rectangle 254">
          <a:extLst>
            <a:ext uri="{FF2B5EF4-FFF2-40B4-BE49-F238E27FC236}">
              <a16:creationId xmlns:a16="http://schemas.microsoft.com/office/drawing/2014/main" id="{E64B6852-2DFA-4047-AD86-A1CC3ED501B7}"/>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1" name="Rectangle 255">
          <a:extLst>
            <a:ext uri="{FF2B5EF4-FFF2-40B4-BE49-F238E27FC236}">
              <a16:creationId xmlns:a16="http://schemas.microsoft.com/office/drawing/2014/main" id="{9212B42C-E0A1-400E-AC91-4082F50D849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2" name="Rectangle 257">
          <a:extLst>
            <a:ext uri="{FF2B5EF4-FFF2-40B4-BE49-F238E27FC236}">
              <a16:creationId xmlns:a16="http://schemas.microsoft.com/office/drawing/2014/main" id="{F7938EA6-EF7E-449F-9916-81B93459E79F}"/>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3" name="Rectangle 258">
          <a:extLst>
            <a:ext uri="{FF2B5EF4-FFF2-40B4-BE49-F238E27FC236}">
              <a16:creationId xmlns:a16="http://schemas.microsoft.com/office/drawing/2014/main" id="{992DD636-1752-4CFD-A08F-8EB1969B2786}"/>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4" name="Rectangle 259">
          <a:extLst>
            <a:ext uri="{FF2B5EF4-FFF2-40B4-BE49-F238E27FC236}">
              <a16:creationId xmlns:a16="http://schemas.microsoft.com/office/drawing/2014/main" id="{EF21E501-BF74-4A97-8701-CE5B5D7412F7}"/>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5" name="Rectangle 260">
          <a:extLst>
            <a:ext uri="{FF2B5EF4-FFF2-40B4-BE49-F238E27FC236}">
              <a16:creationId xmlns:a16="http://schemas.microsoft.com/office/drawing/2014/main" id="{EE66DC6C-75DE-45CD-9168-F1AD47406AC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6" name="Rectangle 261">
          <a:extLst>
            <a:ext uri="{FF2B5EF4-FFF2-40B4-BE49-F238E27FC236}">
              <a16:creationId xmlns:a16="http://schemas.microsoft.com/office/drawing/2014/main" id="{6970BCA7-42E6-4994-B3F7-11F44B1E8D06}"/>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7" name="Rectangle 262">
          <a:extLst>
            <a:ext uri="{FF2B5EF4-FFF2-40B4-BE49-F238E27FC236}">
              <a16:creationId xmlns:a16="http://schemas.microsoft.com/office/drawing/2014/main" id="{0D5953A9-C62B-44C0-B920-D9A19C02AAF4}"/>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8" name="Rectangle 263">
          <a:extLst>
            <a:ext uri="{FF2B5EF4-FFF2-40B4-BE49-F238E27FC236}">
              <a16:creationId xmlns:a16="http://schemas.microsoft.com/office/drawing/2014/main" id="{179E9D8D-526F-4745-B442-305B5C71502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09" name="Rectangle 264">
          <a:extLst>
            <a:ext uri="{FF2B5EF4-FFF2-40B4-BE49-F238E27FC236}">
              <a16:creationId xmlns:a16="http://schemas.microsoft.com/office/drawing/2014/main" id="{903C105F-43FB-4DAC-988D-5EB299B675D8}"/>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0" name="Rectangle 265">
          <a:extLst>
            <a:ext uri="{FF2B5EF4-FFF2-40B4-BE49-F238E27FC236}">
              <a16:creationId xmlns:a16="http://schemas.microsoft.com/office/drawing/2014/main" id="{15ACE426-2231-4459-9D9E-79D7288150AA}"/>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1" name="Rectangle 266">
          <a:extLst>
            <a:ext uri="{FF2B5EF4-FFF2-40B4-BE49-F238E27FC236}">
              <a16:creationId xmlns:a16="http://schemas.microsoft.com/office/drawing/2014/main" id="{F9790FA8-FAEB-4A6E-80AF-8DF7606BE60F}"/>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2" name="Rectangle 267">
          <a:extLst>
            <a:ext uri="{FF2B5EF4-FFF2-40B4-BE49-F238E27FC236}">
              <a16:creationId xmlns:a16="http://schemas.microsoft.com/office/drawing/2014/main" id="{F2142319-19DB-40A7-ADD9-59C7A8322F22}"/>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3" name="Rectangle 268">
          <a:extLst>
            <a:ext uri="{FF2B5EF4-FFF2-40B4-BE49-F238E27FC236}">
              <a16:creationId xmlns:a16="http://schemas.microsoft.com/office/drawing/2014/main" id="{176E0DCE-266E-4BB1-ADCF-2336E25C73D4}"/>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4" name="Rectangle 269">
          <a:extLst>
            <a:ext uri="{FF2B5EF4-FFF2-40B4-BE49-F238E27FC236}">
              <a16:creationId xmlns:a16="http://schemas.microsoft.com/office/drawing/2014/main" id="{DE637596-FF6D-461D-84D6-62287F02E168}"/>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5" name="Rectangle 238">
          <a:extLst>
            <a:ext uri="{FF2B5EF4-FFF2-40B4-BE49-F238E27FC236}">
              <a16:creationId xmlns:a16="http://schemas.microsoft.com/office/drawing/2014/main" id="{CBD230B1-FD19-4EDE-AA84-4DCEF235BCE2}"/>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6" name="Rectangle 249">
          <a:extLst>
            <a:ext uri="{FF2B5EF4-FFF2-40B4-BE49-F238E27FC236}">
              <a16:creationId xmlns:a16="http://schemas.microsoft.com/office/drawing/2014/main" id="{25B4F836-F607-4442-B85E-D56671F2AFC4}"/>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7" name="Rectangle 251">
          <a:extLst>
            <a:ext uri="{FF2B5EF4-FFF2-40B4-BE49-F238E27FC236}">
              <a16:creationId xmlns:a16="http://schemas.microsoft.com/office/drawing/2014/main" id="{AC9274DC-8414-4273-BDAC-A6AC62F32967}"/>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8" name="Rectangle 253">
          <a:extLst>
            <a:ext uri="{FF2B5EF4-FFF2-40B4-BE49-F238E27FC236}">
              <a16:creationId xmlns:a16="http://schemas.microsoft.com/office/drawing/2014/main" id="{3D9F6612-9C55-43E1-A3FE-3F698B95AD66}"/>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19" name="Rectangle 254">
          <a:extLst>
            <a:ext uri="{FF2B5EF4-FFF2-40B4-BE49-F238E27FC236}">
              <a16:creationId xmlns:a16="http://schemas.microsoft.com/office/drawing/2014/main" id="{BF1061B8-1DD4-4EE0-AAB4-1B46466F401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0" name="Rectangle 255">
          <a:extLst>
            <a:ext uri="{FF2B5EF4-FFF2-40B4-BE49-F238E27FC236}">
              <a16:creationId xmlns:a16="http://schemas.microsoft.com/office/drawing/2014/main" id="{2C93A64E-9357-475C-813E-4DFA78FE6550}"/>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1" name="Rectangle 257">
          <a:extLst>
            <a:ext uri="{FF2B5EF4-FFF2-40B4-BE49-F238E27FC236}">
              <a16:creationId xmlns:a16="http://schemas.microsoft.com/office/drawing/2014/main" id="{5AF66428-3653-4CF2-893E-77D245C8B308}"/>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2" name="Rectangle 258">
          <a:extLst>
            <a:ext uri="{FF2B5EF4-FFF2-40B4-BE49-F238E27FC236}">
              <a16:creationId xmlns:a16="http://schemas.microsoft.com/office/drawing/2014/main" id="{F6419488-5C47-480D-A747-91B6B77B9741}"/>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3" name="Rectangle 259">
          <a:extLst>
            <a:ext uri="{FF2B5EF4-FFF2-40B4-BE49-F238E27FC236}">
              <a16:creationId xmlns:a16="http://schemas.microsoft.com/office/drawing/2014/main" id="{38B25118-5084-4769-BC70-601CEE8EF9DC}"/>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4" name="Rectangle 260">
          <a:extLst>
            <a:ext uri="{FF2B5EF4-FFF2-40B4-BE49-F238E27FC236}">
              <a16:creationId xmlns:a16="http://schemas.microsoft.com/office/drawing/2014/main" id="{AD08B625-751E-410D-9FA7-3FA2EFCCBBE0}"/>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5" name="Rectangle 261">
          <a:extLst>
            <a:ext uri="{FF2B5EF4-FFF2-40B4-BE49-F238E27FC236}">
              <a16:creationId xmlns:a16="http://schemas.microsoft.com/office/drawing/2014/main" id="{1654DDBE-0E08-4D96-A36A-4FFA3329E561}"/>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6" name="Rectangle 262">
          <a:extLst>
            <a:ext uri="{FF2B5EF4-FFF2-40B4-BE49-F238E27FC236}">
              <a16:creationId xmlns:a16="http://schemas.microsoft.com/office/drawing/2014/main" id="{2B095693-7AED-46A3-9EBB-B391A39463D2}"/>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7" name="Rectangle 263">
          <a:extLst>
            <a:ext uri="{FF2B5EF4-FFF2-40B4-BE49-F238E27FC236}">
              <a16:creationId xmlns:a16="http://schemas.microsoft.com/office/drawing/2014/main" id="{E6DCD0A5-23D8-4D7B-AAD0-B309EAE1FF4B}"/>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8" name="Rectangle 264">
          <a:extLst>
            <a:ext uri="{FF2B5EF4-FFF2-40B4-BE49-F238E27FC236}">
              <a16:creationId xmlns:a16="http://schemas.microsoft.com/office/drawing/2014/main" id="{EC4565C8-99DC-4C8A-8FF4-127D9EE0D5DE}"/>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29" name="Rectangle 265">
          <a:extLst>
            <a:ext uri="{FF2B5EF4-FFF2-40B4-BE49-F238E27FC236}">
              <a16:creationId xmlns:a16="http://schemas.microsoft.com/office/drawing/2014/main" id="{0F4C9EB3-92E5-4339-BEC4-610BF3CA97BC}"/>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0" name="Rectangle 266">
          <a:extLst>
            <a:ext uri="{FF2B5EF4-FFF2-40B4-BE49-F238E27FC236}">
              <a16:creationId xmlns:a16="http://schemas.microsoft.com/office/drawing/2014/main" id="{42535BAA-1988-4AF2-8628-7C95B1256F61}"/>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1" name="Rectangle 267">
          <a:extLst>
            <a:ext uri="{FF2B5EF4-FFF2-40B4-BE49-F238E27FC236}">
              <a16:creationId xmlns:a16="http://schemas.microsoft.com/office/drawing/2014/main" id="{C7D8FF00-990C-4265-A16F-B2FF0EAB817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2" name="Rectangle 268">
          <a:extLst>
            <a:ext uri="{FF2B5EF4-FFF2-40B4-BE49-F238E27FC236}">
              <a16:creationId xmlns:a16="http://schemas.microsoft.com/office/drawing/2014/main" id="{34881E5F-4F27-4F1D-9283-EC28EBD6EE36}"/>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3" name="Rectangle 269">
          <a:extLst>
            <a:ext uri="{FF2B5EF4-FFF2-40B4-BE49-F238E27FC236}">
              <a16:creationId xmlns:a16="http://schemas.microsoft.com/office/drawing/2014/main" id="{23458BE5-8C4E-4C4A-BFC8-C567043DBC9B}"/>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4" name="Rectangle 238">
          <a:extLst>
            <a:ext uri="{FF2B5EF4-FFF2-40B4-BE49-F238E27FC236}">
              <a16:creationId xmlns:a16="http://schemas.microsoft.com/office/drawing/2014/main" id="{63B094ED-A2D9-415F-A3F6-51E572640C57}"/>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5" name="Rectangle 249">
          <a:extLst>
            <a:ext uri="{FF2B5EF4-FFF2-40B4-BE49-F238E27FC236}">
              <a16:creationId xmlns:a16="http://schemas.microsoft.com/office/drawing/2014/main" id="{9395B4DA-9CC1-4D53-9816-8B4F1DA46BF6}"/>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6" name="Rectangle 251">
          <a:extLst>
            <a:ext uri="{FF2B5EF4-FFF2-40B4-BE49-F238E27FC236}">
              <a16:creationId xmlns:a16="http://schemas.microsoft.com/office/drawing/2014/main" id="{10BC2677-3707-408D-A17C-6A2247F694A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7" name="Rectangle 253">
          <a:extLst>
            <a:ext uri="{FF2B5EF4-FFF2-40B4-BE49-F238E27FC236}">
              <a16:creationId xmlns:a16="http://schemas.microsoft.com/office/drawing/2014/main" id="{6BF34C26-CF0D-4DBA-9EF9-868D4C8FC3E5}"/>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8" name="Rectangle 254">
          <a:extLst>
            <a:ext uri="{FF2B5EF4-FFF2-40B4-BE49-F238E27FC236}">
              <a16:creationId xmlns:a16="http://schemas.microsoft.com/office/drawing/2014/main" id="{591D3E21-DBEE-4AA9-84E4-1C4FF2FD7941}"/>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39" name="Rectangle 255">
          <a:extLst>
            <a:ext uri="{FF2B5EF4-FFF2-40B4-BE49-F238E27FC236}">
              <a16:creationId xmlns:a16="http://schemas.microsoft.com/office/drawing/2014/main" id="{1D1303C4-6718-4150-B339-4AE09FE72B95}"/>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0" name="Rectangle 257">
          <a:extLst>
            <a:ext uri="{FF2B5EF4-FFF2-40B4-BE49-F238E27FC236}">
              <a16:creationId xmlns:a16="http://schemas.microsoft.com/office/drawing/2014/main" id="{DC35B565-A258-498C-809A-A5ABCA27CFB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1" name="Rectangle 258">
          <a:extLst>
            <a:ext uri="{FF2B5EF4-FFF2-40B4-BE49-F238E27FC236}">
              <a16:creationId xmlns:a16="http://schemas.microsoft.com/office/drawing/2014/main" id="{793F6292-D7CA-43B4-BBAE-3839E80007F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2" name="Rectangle 259">
          <a:extLst>
            <a:ext uri="{FF2B5EF4-FFF2-40B4-BE49-F238E27FC236}">
              <a16:creationId xmlns:a16="http://schemas.microsoft.com/office/drawing/2014/main" id="{F5F84A88-D8DE-4C0B-8CC0-AD89DDAE77A0}"/>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3" name="Rectangle 260">
          <a:extLst>
            <a:ext uri="{FF2B5EF4-FFF2-40B4-BE49-F238E27FC236}">
              <a16:creationId xmlns:a16="http://schemas.microsoft.com/office/drawing/2014/main" id="{C445192E-1512-4C31-84E1-0C2254A9158F}"/>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4" name="Rectangle 261">
          <a:extLst>
            <a:ext uri="{FF2B5EF4-FFF2-40B4-BE49-F238E27FC236}">
              <a16:creationId xmlns:a16="http://schemas.microsoft.com/office/drawing/2014/main" id="{213F8465-2035-42A5-A9DF-70F5B230E5E4}"/>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5" name="Rectangle 262">
          <a:extLst>
            <a:ext uri="{FF2B5EF4-FFF2-40B4-BE49-F238E27FC236}">
              <a16:creationId xmlns:a16="http://schemas.microsoft.com/office/drawing/2014/main" id="{FEB7C085-B9D4-4418-B7AC-88D856466669}"/>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6" name="Rectangle 263">
          <a:extLst>
            <a:ext uri="{FF2B5EF4-FFF2-40B4-BE49-F238E27FC236}">
              <a16:creationId xmlns:a16="http://schemas.microsoft.com/office/drawing/2014/main" id="{6719A7C9-F65C-46DD-93BE-EBF1674C2D2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7" name="Rectangle 264">
          <a:extLst>
            <a:ext uri="{FF2B5EF4-FFF2-40B4-BE49-F238E27FC236}">
              <a16:creationId xmlns:a16="http://schemas.microsoft.com/office/drawing/2014/main" id="{AA562F52-247C-4EC5-99F7-75607CEE975E}"/>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8" name="Rectangle 265">
          <a:extLst>
            <a:ext uri="{FF2B5EF4-FFF2-40B4-BE49-F238E27FC236}">
              <a16:creationId xmlns:a16="http://schemas.microsoft.com/office/drawing/2014/main" id="{C4041B9D-4F61-4A8D-BBA8-A2E16D6B2B6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49" name="Rectangle 266">
          <a:extLst>
            <a:ext uri="{FF2B5EF4-FFF2-40B4-BE49-F238E27FC236}">
              <a16:creationId xmlns:a16="http://schemas.microsoft.com/office/drawing/2014/main" id="{9A621FAB-9636-41B4-9CD4-96F84FF359B0}"/>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50" name="Rectangle 267">
          <a:extLst>
            <a:ext uri="{FF2B5EF4-FFF2-40B4-BE49-F238E27FC236}">
              <a16:creationId xmlns:a16="http://schemas.microsoft.com/office/drawing/2014/main" id="{CEB7B2C6-0E8D-464E-B691-68F02FD9D443}"/>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51" name="Rectangle 268">
          <a:extLst>
            <a:ext uri="{FF2B5EF4-FFF2-40B4-BE49-F238E27FC236}">
              <a16:creationId xmlns:a16="http://schemas.microsoft.com/office/drawing/2014/main" id="{CDD5A554-68F5-4726-99A5-5F6A4D77F05A}"/>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846</xdr:row>
      <xdr:rowOff>0</xdr:rowOff>
    </xdr:from>
    <xdr:ext cx="28854" cy="132665"/>
    <xdr:sp macro="" textlink="">
      <xdr:nvSpPr>
        <xdr:cNvPr id="1252" name="Rectangle 269">
          <a:extLst>
            <a:ext uri="{FF2B5EF4-FFF2-40B4-BE49-F238E27FC236}">
              <a16:creationId xmlns:a16="http://schemas.microsoft.com/office/drawing/2014/main" id="{12D5B9DF-D33E-4A86-A1D3-DBD94050FACD}"/>
            </a:ext>
          </a:extLst>
        </xdr:cNvPr>
        <xdr:cNvSpPr>
          <a:spLocks noChangeArrowheads="1"/>
        </xdr:cNvSpPr>
      </xdr:nvSpPr>
      <xdr:spPr bwMode="auto">
        <a:xfrm>
          <a:off x="723900" y="23667720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53" name="Rectangle 238">
          <a:extLst>
            <a:ext uri="{FF2B5EF4-FFF2-40B4-BE49-F238E27FC236}">
              <a16:creationId xmlns:a16="http://schemas.microsoft.com/office/drawing/2014/main" id="{8E6D16F3-E240-43A2-AB7D-42A77C2326D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54" name="Rectangle 249">
          <a:extLst>
            <a:ext uri="{FF2B5EF4-FFF2-40B4-BE49-F238E27FC236}">
              <a16:creationId xmlns:a16="http://schemas.microsoft.com/office/drawing/2014/main" id="{967E158A-C213-4471-9A7B-F3B6BC03AF85}"/>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55" name="Rectangle 251">
          <a:extLst>
            <a:ext uri="{FF2B5EF4-FFF2-40B4-BE49-F238E27FC236}">
              <a16:creationId xmlns:a16="http://schemas.microsoft.com/office/drawing/2014/main" id="{973CD103-3BA7-45A9-9A54-BB7B2EE8E07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56" name="Rectangle 253">
          <a:extLst>
            <a:ext uri="{FF2B5EF4-FFF2-40B4-BE49-F238E27FC236}">
              <a16:creationId xmlns:a16="http://schemas.microsoft.com/office/drawing/2014/main" id="{328A9C96-D082-42F8-B0C9-CA17C7F6BB93}"/>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57" name="Rectangle 254">
          <a:extLst>
            <a:ext uri="{FF2B5EF4-FFF2-40B4-BE49-F238E27FC236}">
              <a16:creationId xmlns:a16="http://schemas.microsoft.com/office/drawing/2014/main" id="{35B2A38B-3835-4459-93A7-9172AFCC2A4D}"/>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58" name="Rectangle 255">
          <a:extLst>
            <a:ext uri="{FF2B5EF4-FFF2-40B4-BE49-F238E27FC236}">
              <a16:creationId xmlns:a16="http://schemas.microsoft.com/office/drawing/2014/main" id="{361E75A7-B67C-43C6-BEC9-1D3D79CDCEC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59" name="Rectangle 257">
          <a:extLst>
            <a:ext uri="{FF2B5EF4-FFF2-40B4-BE49-F238E27FC236}">
              <a16:creationId xmlns:a16="http://schemas.microsoft.com/office/drawing/2014/main" id="{523E33A5-9946-4906-877E-F5490ABB1BC3}"/>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0" name="Rectangle 258">
          <a:extLst>
            <a:ext uri="{FF2B5EF4-FFF2-40B4-BE49-F238E27FC236}">
              <a16:creationId xmlns:a16="http://schemas.microsoft.com/office/drawing/2014/main" id="{3307D9C8-0F97-4440-A57E-D0FB0EAA129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1" name="Rectangle 259">
          <a:extLst>
            <a:ext uri="{FF2B5EF4-FFF2-40B4-BE49-F238E27FC236}">
              <a16:creationId xmlns:a16="http://schemas.microsoft.com/office/drawing/2014/main" id="{223BE9F1-5AA0-4035-9E9A-DDC2891C7FB8}"/>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2" name="Rectangle 260">
          <a:extLst>
            <a:ext uri="{FF2B5EF4-FFF2-40B4-BE49-F238E27FC236}">
              <a16:creationId xmlns:a16="http://schemas.microsoft.com/office/drawing/2014/main" id="{8DA07FA3-B89D-4390-9C3C-09DBC657B40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3" name="Rectangle 261">
          <a:extLst>
            <a:ext uri="{FF2B5EF4-FFF2-40B4-BE49-F238E27FC236}">
              <a16:creationId xmlns:a16="http://schemas.microsoft.com/office/drawing/2014/main" id="{B76AEE69-AB6B-4EF6-910E-4C88B28F2CD2}"/>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4" name="Rectangle 262">
          <a:extLst>
            <a:ext uri="{FF2B5EF4-FFF2-40B4-BE49-F238E27FC236}">
              <a16:creationId xmlns:a16="http://schemas.microsoft.com/office/drawing/2014/main" id="{9A1AD0D7-D006-4F7E-8CB0-D9EBFD41CB55}"/>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5" name="Rectangle 263">
          <a:extLst>
            <a:ext uri="{FF2B5EF4-FFF2-40B4-BE49-F238E27FC236}">
              <a16:creationId xmlns:a16="http://schemas.microsoft.com/office/drawing/2014/main" id="{6A133B6F-E8B3-4AB5-93B9-98725A3F900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6" name="Rectangle 264">
          <a:extLst>
            <a:ext uri="{FF2B5EF4-FFF2-40B4-BE49-F238E27FC236}">
              <a16:creationId xmlns:a16="http://schemas.microsoft.com/office/drawing/2014/main" id="{32BE669B-B509-4F93-B012-2A8A87DC8F9D}"/>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7" name="Rectangle 265">
          <a:extLst>
            <a:ext uri="{FF2B5EF4-FFF2-40B4-BE49-F238E27FC236}">
              <a16:creationId xmlns:a16="http://schemas.microsoft.com/office/drawing/2014/main" id="{569A3488-EF7E-487D-ADA9-18F39EC215A5}"/>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8" name="Rectangle 266">
          <a:extLst>
            <a:ext uri="{FF2B5EF4-FFF2-40B4-BE49-F238E27FC236}">
              <a16:creationId xmlns:a16="http://schemas.microsoft.com/office/drawing/2014/main" id="{F64E8994-41E4-4838-9CDF-C940AC68C044}"/>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69" name="Rectangle 267">
          <a:extLst>
            <a:ext uri="{FF2B5EF4-FFF2-40B4-BE49-F238E27FC236}">
              <a16:creationId xmlns:a16="http://schemas.microsoft.com/office/drawing/2014/main" id="{D5E1895F-D4F5-4EF4-BBAC-291F3B3F7251}"/>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0" name="Rectangle 268">
          <a:extLst>
            <a:ext uri="{FF2B5EF4-FFF2-40B4-BE49-F238E27FC236}">
              <a16:creationId xmlns:a16="http://schemas.microsoft.com/office/drawing/2014/main" id="{93054E03-2427-411A-B6C3-354AE511176D}"/>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1" name="Rectangle 269">
          <a:extLst>
            <a:ext uri="{FF2B5EF4-FFF2-40B4-BE49-F238E27FC236}">
              <a16:creationId xmlns:a16="http://schemas.microsoft.com/office/drawing/2014/main" id="{7A1B41E1-8948-4944-8A8B-3D67EE7EE0F3}"/>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2" name="Rectangle 238">
          <a:extLst>
            <a:ext uri="{FF2B5EF4-FFF2-40B4-BE49-F238E27FC236}">
              <a16:creationId xmlns:a16="http://schemas.microsoft.com/office/drawing/2014/main" id="{BEF89D32-4FE1-4FDA-9F9C-201B335A5AB0}"/>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3" name="Rectangle 249">
          <a:extLst>
            <a:ext uri="{FF2B5EF4-FFF2-40B4-BE49-F238E27FC236}">
              <a16:creationId xmlns:a16="http://schemas.microsoft.com/office/drawing/2014/main" id="{9245AA45-1756-4601-9FE6-D1910899E92B}"/>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4" name="Rectangle 251">
          <a:extLst>
            <a:ext uri="{FF2B5EF4-FFF2-40B4-BE49-F238E27FC236}">
              <a16:creationId xmlns:a16="http://schemas.microsoft.com/office/drawing/2014/main" id="{6E175DDA-48C2-421B-9403-F77DC25A50D6}"/>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5" name="Rectangle 253">
          <a:extLst>
            <a:ext uri="{FF2B5EF4-FFF2-40B4-BE49-F238E27FC236}">
              <a16:creationId xmlns:a16="http://schemas.microsoft.com/office/drawing/2014/main" id="{4A9012CC-1C4A-4525-B585-D8E496143A07}"/>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6" name="Rectangle 254">
          <a:extLst>
            <a:ext uri="{FF2B5EF4-FFF2-40B4-BE49-F238E27FC236}">
              <a16:creationId xmlns:a16="http://schemas.microsoft.com/office/drawing/2014/main" id="{60DDFB17-AA19-48FB-B19D-D82A1C9D1FC6}"/>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7" name="Rectangle 255">
          <a:extLst>
            <a:ext uri="{FF2B5EF4-FFF2-40B4-BE49-F238E27FC236}">
              <a16:creationId xmlns:a16="http://schemas.microsoft.com/office/drawing/2014/main" id="{A1A8F26C-F8B5-4F9B-B513-2F19C068651E}"/>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8" name="Rectangle 257">
          <a:extLst>
            <a:ext uri="{FF2B5EF4-FFF2-40B4-BE49-F238E27FC236}">
              <a16:creationId xmlns:a16="http://schemas.microsoft.com/office/drawing/2014/main" id="{97F96849-74D9-4632-B7F4-06C7EA20F8C8}"/>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79" name="Rectangle 258">
          <a:extLst>
            <a:ext uri="{FF2B5EF4-FFF2-40B4-BE49-F238E27FC236}">
              <a16:creationId xmlns:a16="http://schemas.microsoft.com/office/drawing/2014/main" id="{D4B5E1E8-4212-4492-805E-E4AC2EC9C2E6}"/>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0" name="Rectangle 259">
          <a:extLst>
            <a:ext uri="{FF2B5EF4-FFF2-40B4-BE49-F238E27FC236}">
              <a16:creationId xmlns:a16="http://schemas.microsoft.com/office/drawing/2014/main" id="{AD66C5B6-ECD1-4F12-A061-921E57B35207}"/>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1" name="Rectangle 260">
          <a:extLst>
            <a:ext uri="{FF2B5EF4-FFF2-40B4-BE49-F238E27FC236}">
              <a16:creationId xmlns:a16="http://schemas.microsoft.com/office/drawing/2014/main" id="{128B015E-2DD6-4668-B4D1-703385662FD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2" name="Rectangle 261">
          <a:extLst>
            <a:ext uri="{FF2B5EF4-FFF2-40B4-BE49-F238E27FC236}">
              <a16:creationId xmlns:a16="http://schemas.microsoft.com/office/drawing/2014/main" id="{97791BA8-CCEC-484D-A6CF-9231A7776AE0}"/>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3" name="Rectangle 262">
          <a:extLst>
            <a:ext uri="{FF2B5EF4-FFF2-40B4-BE49-F238E27FC236}">
              <a16:creationId xmlns:a16="http://schemas.microsoft.com/office/drawing/2014/main" id="{A59AA742-86BF-447A-B4F4-EB9420F6FDE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4" name="Rectangle 263">
          <a:extLst>
            <a:ext uri="{FF2B5EF4-FFF2-40B4-BE49-F238E27FC236}">
              <a16:creationId xmlns:a16="http://schemas.microsoft.com/office/drawing/2014/main" id="{36A204C3-6F55-4D63-8236-BC3B457C17E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5" name="Rectangle 264">
          <a:extLst>
            <a:ext uri="{FF2B5EF4-FFF2-40B4-BE49-F238E27FC236}">
              <a16:creationId xmlns:a16="http://schemas.microsoft.com/office/drawing/2014/main" id="{616C10D0-ED7A-4F17-A20A-D68429817123}"/>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6" name="Rectangle 265">
          <a:extLst>
            <a:ext uri="{FF2B5EF4-FFF2-40B4-BE49-F238E27FC236}">
              <a16:creationId xmlns:a16="http://schemas.microsoft.com/office/drawing/2014/main" id="{B95CEF19-19A8-40CB-97B5-7D1CE5438EB4}"/>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7" name="Rectangle 266">
          <a:extLst>
            <a:ext uri="{FF2B5EF4-FFF2-40B4-BE49-F238E27FC236}">
              <a16:creationId xmlns:a16="http://schemas.microsoft.com/office/drawing/2014/main" id="{93769230-00DB-4BAA-9888-D0A8E8962938}"/>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8" name="Rectangle 267">
          <a:extLst>
            <a:ext uri="{FF2B5EF4-FFF2-40B4-BE49-F238E27FC236}">
              <a16:creationId xmlns:a16="http://schemas.microsoft.com/office/drawing/2014/main" id="{AA81A6AC-7850-475E-8A8E-B65E2E0CBF09}"/>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89" name="Rectangle 268">
          <a:extLst>
            <a:ext uri="{FF2B5EF4-FFF2-40B4-BE49-F238E27FC236}">
              <a16:creationId xmlns:a16="http://schemas.microsoft.com/office/drawing/2014/main" id="{DFF9AB04-BBC4-4D91-8925-51F05E560C6D}"/>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0" name="Rectangle 269">
          <a:extLst>
            <a:ext uri="{FF2B5EF4-FFF2-40B4-BE49-F238E27FC236}">
              <a16:creationId xmlns:a16="http://schemas.microsoft.com/office/drawing/2014/main" id="{04E1F966-5DE5-41EC-82ED-5A841C5ED46B}"/>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1" name="Rectangle 238">
          <a:extLst>
            <a:ext uri="{FF2B5EF4-FFF2-40B4-BE49-F238E27FC236}">
              <a16:creationId xmlns:a16="http://schemas.microsoft.com/office/drawing/2014/main" id="{97910913-EFC0-411F-9FFF-4C13392194C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2" name="Rectangle 249">
          <a:extLst>
            <a:ext uri="{FF2B5EF4-FFF2-40B4-BE49-F238E27FC236}">
              <a16:creationId xmlns:a16="http://schemas.microsoft.com/office/drawing/2014/main" id="{768FA44C-0268-4A2B-ADC1-3B31A24A5FEA}"/>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3" name="Rectangle 251">
          <a:extLst>
            <a:ext uri="{FF2B5EF4-FFF2-40B4-BE49-F238E27FC236}">
              <a16:creationId xmlns:a16="http://schemas.microsoft.com/office/drawing/2014/main" id="{44CFB243-5D50-4DF0-81D1-A5C963A0FD03}"/>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4" name="Rectangle 253">
          <a:extLst>
            <a:ext uri="{FF2B5EF4-FFF2-40B4-BE49-F238E27FC236}">
              <a16:creationId xmlns:a16="http://schemas.microsoft.com/office/drawing/2014/main" id="{AC388C4F-972D-4B77-9AA0-CCDEF785A7F7}"/>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5" name="Rectangle 254">
          <a:extLst>
            <a:ext uri="{FF2B5EF4-FFF2-40B4-BE49-F238E27FC236}">
              <a16:creationId xmlns:a16="http://schemas.microsoft.com/office/drawing/2014/main" id="{37802E96-C4C0-466C-ACAC-21E46F1EDBAE}"/>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6" name="Rectangle 255">
          <a:extLst>
            <a:ext uri="{FF2B5EF4-FFF2-40B4-BE49-F238E27FC236}">
              <a16:creationId xmlns:a16="http://schemas.microsoft.com/office/drawing/2014/main" id="{3D72F6A9-9AC5-4203-B35B-DA8296C39026}"/>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7" name="Rectangle 257">
          <a:extLst>
            <a:ext uri="{FF2B5EF4-FFF2-40B4-BE49-F238E27FC236}">
              <a16:creationId xmlns:a16="http://schemas.microsoft.com/office/drawing/2014/main" id="{24762A1E-ED26-4692-AD21-3A5BBCBE1E1E}"/>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8" name="Rectangle 258">
          <a:extLst>
            <a:ext uri="{FF2B5EF4-FFF2-40B4-BE49-F238E27FC236}">
              <a16:creationId xmlns:a16="http://schemas.microsoft.com/office/drawing/2014/main" id="{3EAD08D7-F617-4A54-B2AA-3371B1444D86}"/>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299" name="Rectangle 259">
          <a:extLst>
            <a:ext uri="{FF2B5EF4-FFF2-40B4-BE49-F238E27FC236}">
              <a16:creationId xmlns:a16="http://schemas.microsoft.com/office/drawing/2014/main" id="{66B63DE5-D7D4-48C8-9E0A-32A59B729140}"/>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0" name="Rectangle 260">
          <a:extLst>
            <a:ext uri="{FF2B5EF4-FFF2-40B4-BE49-F238E27FC236}">
              <a16:creationId xmlns:a16="http://schemas.microsoft.com/office/drawing/2014/main" id="{8B377C7E-FA18-480E-9632-27C1097A1C9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1" name="Rectangle 261">
          <a:extLst>
            <a:ext uri="{FF2B5EF4-FFF2-40B4-BE49-F238E27FC236}">
              <a16:creationId xmlns:a16="http://schemas.microsoft.com/office/drawing/2014/main" id="{308EC9F6-3911-49DE-84FC-E49A0813E333}"/>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2" name="Rectangle 262">
          <a:extLst>
            <a:ext uri="{FF2B5EF4-FFF2-40B4-BE49-F238E27FC236}">
              <a16:creationId xmlns:a16="http://schemas.microsoft.com/office/drawing/2014/main" id="{7F1AF4D6-2D59-4AB7-B954-55F21C5A8042}"/>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3" name="Rectangle 263">
          <a:extLst>
            <a:ext uri="{FF2B5EF4-FFF2-40B4-BE49-F238E27FC236}">
              <a16:creationId xmlns:a16="http://schemas.microsoft.com/office/drawing/2014/main" id="{CF96A9BE-C8B1-4059-B07A-F3D6A5804BB2}"/>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4" name="Rectangle 264">
          <a:extLst>
            <a:ext uri="{FF2B5EF4-FFF2-40B4-BE49-F238E27FC236}">
              <a16:creationId xmlns:a16="http://schemas.microsoft.com/office/drawing/2014/main" id="{0112FB29-5FE0-40E0-BE40-18287DAA1B28}"/>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5" name="Rectangle 265">
          <a:extLst>
            <a:ext uri="{FF2B5EF4-FFF2-40B4-BE49-F238E27FC236}">
              <a16:creationId xmlns:a16="http://schemas.microsoft.com/office/drawing/2014/main" id="{AD93605B-FA64-4202-A23E-EDDC6EF74996}"/>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6" name="Rectangle 266">
          <a:extLst>
            <a:ext uri="{FF2B5EF4-FFF2-40B4-BE49-F238E27FC236}">
              <a16:creationId xmlns:a16="http://schemas.microsoft.com/office/drawing/2014/main" id="{07333FD4-0A0E-4F2C-8D10-DD58026439CB}"/>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7" name="Rectangle 267">
          <a:extLst>
            <a:ext uri="{FF2B5EF4-FFF2-40B4-BE49-F238E27FC236}">
              <a16:creationId xmlns:a16="http://schemas.microsoft.com/office/drawing/2014/main" id="{24CC8916-BC4D-43E3-8310-63B0C4AD0AD4}"/>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8" name="Rectangle 268">
          <a:extLst>
            <a:ext uri="{FF2B5EF4-FFF2-40B4-BE49-F238E27FC236}">
              <a16:creationId xmlns:a16="http://schemas.microsoft.com/office/drawing/2014/main" id="{BA972E59-2AB6-4D4A-A347-CD5D0EF2A61B}"/>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09" name="Rectangle 269">
          <a:extLst>
            <a:ext uri="{FF2B5EF4-FFF2-40B4-BE49-F238E27FC236}">
              <a16:creationId xmlns:a16="http://schemas.microsoft.com/office/drawing/2014/main" id="{48E7A383-D4E8-4488-BC23-8AB949C6825E}"/>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0" name="Rectangle 238">
          <a:extLst>
            <a:ext uri="{FF2B5EF4-FFF2-40B4-BE49-F238E27FC236}">
              <a16:creationId xmlns:a16="http://schemas.microsoft.com/office/drawing/2014/main" id="{98CF2CA7-D8F0-4C94-AFCC-7A6402B0D63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1" name="Rectangle 249">
          <a:extLst>
            <a:ext uri="{FF2B5EF4-FFF2-40B4-BE49-F238E27FC236}">
              <a16:creationId xmlns:a16="http://schemas.microsoft.com/office/drawing/2014/main" id="{C5297FAF-15CD-4BB9-B4BC-8F07E23C5AFE}"/>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2" name="Rectangle 251">
          <a:extLst>
            <a:ext uri="{FF2B5EF4-FFF2-40B4-BE49-F238E27FC236}">
              <a16:creationId xmlns:a16="http://schemas.microsoft.com/office/drawing/2014/main" id="{823A592A-4B09-4FB7-9668-5AB8E3F66DB0}"/>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3" name="Rectangle 253">
          <a:extLst>
            <a:ext uri="{FF2B5EF4-FFF2-40B4-BE49-F238E27FC236}">
              <a16:creationId xmlns:a16="http://schemas.microsoft.com/office/drawing/2014/main" id="{84EA43D0-A15C-44C5-92DA-A707FCEE50A1}"/>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4" name="Rectangle 254">
          <a:extLst>
            <a:ext uri="{FF2B5EF4-FFF2-40B4-BE49-F238E27FC236}">
              <a16:creationId xmlns:a16="http://schemas.microsoft.com/office/drawing/2014/main" id="{0956B32B-2C4D-436E-AF53-B1FA040E3297}"/>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5" name="Rectangle 255">
          <a:extLst>
            <a:ext uri="{FF2B5EF4-FFF2-40B4-BE49-F238E27FC236}">
              <a16:creationId xmlns:a16="http://schemas.microsoft.com/office/drawing/2014/main" id="{2C24CCD9-DF81-428B-80B0-A03F43DB0B0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6" name="Rectangle 257">
          <a:extLst>
            <a:ext uri="{FF2B5EF4-FFF2-40B4-BE49-F238E27FC236}">
              <a16:creationId xmlns:a16="http://schemas.microsoft.com/office/drawing/2014/main" id="{FE67A9CB-AE3A-41BE-B6FB-464F8041DE6E}"/>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7" name="Rectangle 258">
          <a:extLst>
            <a:ext uri="{FF2B5EF4-FFF2-40B4-BE49-F238E27FC236}">
              <a16:creationId xmlns:a16="http://schemas.microsoft.com/office/drawing/2014/main" id="{6852B3FD-4203-45B4-9CD0-79B7284B545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8" name="Rectangle 259">
          <a:extLst>
            <a:ext uri="{FF2B5EF4-FFF2-40B4-BE49-F238E27FC236}">
              <a16:creationId xmlns:a16="http://schemas.microsoft.com/office/drawing/2014/main" id="{F7B60DA0-429E-4FF7-B047-1425592F2CA6}"/>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19" name="Rectangle 260">
          <a:extLst>
            <a:ext uri="{FF2B5EF4-FFF2-40B4-BE49-F238E27FC236}">
              <a16:creationId xmlns:a16="http://schemas.microsoft.com/office/drawing/2014/main" id="{20080BDA-CCB2-4508-ACD8-6A2D7E9F19D7}"/>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0" name="Rectangle 261">
          <a:extLst>
            <a:ext uri="{FF2B5EF4-FFF2-40B4-BE49-F238E27FC236}">
              <a16:creationId xmlns:a16="http://schemas.microsoft.com/office/drawing/2014/main" id="{40D21FDA-1A9C-4C81-85A7-CF6197E3BD69}"/>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1" name="Rectangle 262">
          <a:extLst>
            <a:ext uri="{FF2B5EF4-FFF2-40B4-BE49-F238E27FC236}">
              <a16:creationId xmlns:a16="http://schemas.microsoft.com/office/drawing/2014/main" id="{F292736E-9477-4BE1-B543-DB1A397AC84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2" name="Rectangle 263">
          <a:extLst>
            <a:ext uri="{FF2B5EF4-FFF2-40B4-BE49-F238E27FC236}">
              <a16:creationId xmlns:a16="http://schemas.microsoft.com/office/drawing/2014/main" id="{3FCA2F58-E8B7-435C-BB2D-2F1217EFFCCA}"/>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3" name="Rectangle 264">
          <a:extLst>
            <a:ext uri="{FF2B5EF4-FFF2-40B4-BE49-F238E27FC236}">
              <a16:creationId xmlns:a16="http://schemas.microsoft.com/office/drawing/2014/main" id="{36B2991F-4C95-403F-A08E-361AF589C19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4" name="Rectangle 265">
          <a:extLst>
            <a:ext uri="{FF2B5EF4-FFF2-40B4-BE49-F238E27FC236}">
              <a16:creationId xmlns:a16="http://schemas.microsoft.com/office/drawing/2014/main" id="{4C5780B7-CB70-473D-B03A-ED1D8767B03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5" name="Rectangle 266">
          <a:extLst>
            <a:ext uri="{FF2B5EF4-FFF2-40B4-BE49-F238E27FC236}">
              <a16:creationId xmlns:a16="http://schemas.microsoft.com/office/drawing/2014/main" id="{698A0512-ECC4-4378-B2AC-B7B028C23682}"/>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6" name="Rectangle 267">
          <a:extLst>
            <a:ext uri="{FF2B5EF4-FFF2-40B4-BE49-F238E27FC236}">
              <a16:creationId xmlns:a16="http://schemas.microsoft.com/office/drawing/2014/main" id="{234BDD89-473D-42DB-B7BB-C1BBAE777921}"/>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7" name="Rectangle 268">
          <a:extLst>
            <a:ext uri="{FF2B5EF4-FFF2-40B4-BE49-F238E27FC236}">
              <a16:creationId xmlns:a16="http://schemas.microsoft.com/office/drawing/2014/main" id="{E22A75CC-0DCD-4987-A771-149CF24212F0}"/>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8" name="Rectangle 269">
          <a:extLst>
            <a:ext uri="{FF2B5EF4-FFF2-40B4-BE49-F238E27FC236}">
              <a16:creationId xmlns:a16="http://schemas.microsoft.com/office/drawing/2014/main" id="{8F4E2053-347B-4976-8938-37142CF227F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29" name="Rectangle 238">
          <a:extLst>
            <a:ext uri="{FF2B5EF4-FFF2-40B4-BE49-F238E27FC236}">
              <a16:creationId xmlns:a16="http://schemas.microsoft.com/office/drawing/2014/main" id="{DFBF1BD3-1A6D-4453-971F-10F1AF4F2A9C}"/>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0" name="Rectangle 249">
          <a:extLst>
            <a:ext uri="{FF2B5EF4-FFF2-40B4-BE49-F238E27FC236}">
              <a16:creationId xmlns:a16="http://schemas.microsoft.com/office/drawing/2014/main" id="{4BDCAEF0-887D-4762-A350-817BA704D2A4}"/>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1" name="Rectangle 251">
          <a:extLst>
            <a:ext uri="{FF2B5EF4-FFF2-40B4-BE49-F238E27FC236}">
              <a16:creationId xmlns:a16="http://schemas.microsoft.com/office/drawing/2014/main" id="{C6463DA3-BCFA-4503-8C6F-582D3208EBA1}"/>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2" name="Rectangle 253">
          <a:extLst>
            <a:ext uri="{FF2B5EF4-FFF2-40B4-BE49-F238E27FC236}">
              <a16:creationId xmlns:a16="http://schemas.microsoft.com/office/drawing/2014/main" id="{31AA1DF6-2CD9-4880-9D1A-71FE047DE6EF}"/>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3" name="Rectangle 254">
          <a:extLst>
            <a:ext uri="{FF2B5EF4-FFF2-40B4-BE49-F238E27FC236}">
              <a16:creationId xmlns:a16="http://schemas.microsoft.com/office/drawing/2014/main" id="{9CFD993B-0DD6-41E7-A18C-8E4CC5F6540D}"/>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4" name="Rectangle 255">
          <a:extLst>
            <a:ext uri="{FF2B5EF4-FFF2-40B4-BE49-F238E27FC236}">
              <a16:creationId xmlns:a16="http://schemas.microsoft.com/office/drawing/2014/main" id="{CCE427A7-B78C-4C57-BECD-475BF9DB8BC1}"/>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5" name="Rectangle 257">
          <a:extLst>
            <a:ext uri="{FF2B5EF4-FFF2-40B4-BE49-F238E27FC236}">
              <a16:creationId xmlns:a16="http://schemas.microsoft.com/office/drawing/2014/main" id="{A6B95758-A5CD-4227-9E29-74A76F86B219}"/>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6" name="Rectangle 258">
          <a:extLst>
            <a:ext uri="{FF2B5EF4-FFF2-40B4-BE49-F238E27FC236}">
              <a16:creationId xmlns:a16="http://schemas.microsoft.com/office/drawing/2014/main" id="{E0D9CA80-1B49-499B-9BB0-043A1EC3B8F4}"/>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7" name="Rectangle 259">
          <a:extLst>
            <a:ext uri="{FF2B5EF4-FFF2-40B4-BE49-F238E27FC236}">
              <a16:creationId xmlns:a16="http://schemas.microsoft.com/office/drawing/2014/main" id="{B4D6FE46-F724-4DE7-B948-2C388C173BCD}"/>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8" name="Rectangle 260">
          <a:extLst>
            <a:ext uri="{FF2B5EF4-FFF2-40B4-BE49-F238E27FC236}">
              <a16:creationId xmlns:a16="http://schemas.microsoft.com/office/drawing/2014/main" id="{BE7123C0-CB67-4E45-B360-4C1AF53672A3}"/>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39" name="Rectangle 261">
          <a:extLst>
            <a:ext uri="{FF2B5EF4-FFF2-40B4-BE49-F238E27FC236}">
              <a16:creationId xmlns:a16="http://schemas.microsoft.com/office/drawing/2014/main" id="{EE5A3B23-5997-4961-8CBD-993145D0D9C2}"/>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0" name="Rectangle 262">
          <a:extLst>
            <a:ext uri="{FF2B5EF4-FFF2-40B4-BE49-F238E27FC236}">
              <a16:creationId xmlns:a16="http://schemas.microsoft.com/office/drawing/2014/main" id="{096ADCDF-9DAE-4841-BF8F-EDC540553A89}"/>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1" name="Rectangle 263">
          <a:extLst>
            <a:ext uri="{FF2B5EF4-FFF2-40B4-BE49-F238E27FC236}">
              <a16:creationId xmlns:a16="http://schemas.microsoft.com/office/drawing/2014/main" id="{618495A5-CE92-47C4-B2AF-B541565B5EEA}"/>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2" name="Rectangle 264">
          <a:extLst>
            <a:ext uri="{FF2B5EF4-FFF2-40B4-BE49-F238E27FC236}">
              <a16:creationId xmlns:a16="http://schemas.microsoft.com/office/drawing/2014/main" id="{73C1FF96-83BD-412C-9BE3-EFFEF4CC0689}"/>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3" name="Rectangle 265">
          <a:extLst>
            <a:ext uri="{FF2B5EF4-FFF2-40B4-BE49-F238E27FC236}">
              <a16:creationId xmlns:a16="http://schemas.microsoft.com/office/drawing/2014/main" id="{01768109-2B6C-430B-A8F6-5DDC69B53C11}"/>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4" name="Rectangle 266">
          <a:extLst>
            <a:ext uri="{FF2B5EF4-FFF2-40B4-BE49-F238E27FC236}">
              <a16:creationId xmlns:a16="http://schemas.microsoft.com/office/drawing/2014/main" id="{5E22AC9C-A31D-4C68-8D6B-340E81B017C8}"/>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5" name="Rectangle 267">
          <a:extLst>
            <a:ext uri="{FF2B5EF4-FFF2-40B4-BE49-F238E27FC236}">
              <a16:creationId xmlns:a16="http://schemas.microsoft.com/office/drawing/2014/main" id="{FE7FCE8A-9801-4AD1-9C8B-76AC58A4CE61}"/>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6" name="Rectangle 268">
          <a:extLst>
            <a:ext uri="{FF2B5EF4-FFF2-40B4-BE49-F238E27FC236}">
              <a16:creationId xmlns:a16="http://schemas.microsoft.com/office/drawing/2014/main" id="{3AE38180-1860-484C-9517-BE9E77F14D99}"/>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7" name="Rectangle 269">
          <a:extLst>
            <a:ext uri="{FF2B5EF4-FFF2-40B4-BE49-F238E27FC236}">
              <a16:creationId xmlns:a16="http://schemas.microsoft.com/office/drawing/2014/main" id="{BCD73B68-D0F1-4C3B-96C6-06303D72D386}"/>
            </a:ext>
          </a:extLst>
        </xdr:cNvPr>
        <xdr:cNvSpPr>
          <a:spLocks noChangeArrowheads="1"/>
        </xdr:cNvSpPr>
      </xdr:nvSpPr>
      <xdr:spPr bwMode="auto">
        <a:xfrm>
          <a:off x="723900" y="2381345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8" name="Rectangle 238">
          <a:extLst>
            <a:ext uri="{FF2B5EF4-FFF2-40B4-BE49-F238E27FC236}">
              <a16:creationId xmlns:a16="http://schemas.microsoft.com/office/drawing/2014/main" id="{F2C5CDF3-2DBF-41F4-8FD0-A7DA14AF690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49" name="Rectangle 249">
          <a:extLst>
            <a:ext uri="{FF2B5EF4-FFF2-40B4-BE49-F238E27FC236}">
              <a16:creationId xmlns:a16="http://schemas.microsoft.com/office/drawing/2014/main" id="{A4FBEB70-81BB-4629-B04B-4C48DA5A8AB2}"/>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0" name="Rectangle 251">
          <a:extLst>
            <a:ext uri="{FF2B5EF4-FFF2-40B4-BE49-F238E27FC236}">
              <a16:creationId xmlns:a16="http://schemas.microsoft.com/office/drawing/2014/main" id="{7FBF400B-51C8-4C08-9547-B0E3C54BD6DF}"/>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1" name="Rectangle 253">
          <a:extLst>
            <a:ext uri="{FF2B5EF4-FFF2-40B4-BE49-F238E27FC236}">
              <a16:creationId xmlns:a16="http://schemas.microsoft.com/office/drawing/2014/main" id="{D050B091-9770-45E3-B22E-D744113B5F82}"/>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2" name="Rectangle 254">
          <a:extLst>
            <a:ext uri="{FF2B5EF4-FFF2-40B4-BE49-F238E27FC236}">
              <a16:creationId xmlns:a16="http://schemas.microsoft.com/office/drawing/2014/main" id="{5B3AEDAD-0DAE-4C1D-ACFB-B1B6598A90C8}"/>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3" name="Rectangle 255">
          <a:extLst>
            <a:ext uri="{FF2B5EF4-FFF2-40B4-BE49-F238E27FC236}">
              <a16:creationId xmlns:a16="http://schemas.microsoft.com/office/drawing/2014/main" id="{503CB05C-C198-4546-81EC-A829E38A020C}"/>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4" name="Rectangle 257">
          <a:extLst>
            <a:ext uri="{FF2B5EF4-FFF2-40B4-BE49-F238E27FC236}">
              <a16:creationId xmlns:a16="http://schemas.microsoft.com/office/drawing/2014/main" id="{82D78453-2B2D-4D20-A19B-41D0DE2C82AF}"/>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5" name="Rectangle 258">
          <a:extLst>
            <a:ext uri="{FF2B5EF4-FFF2-40B4-BE49-F238E27FC236}">
              <a16:creationId xmlns:a16="http://schemas.microsoft.com/office/drawing/2014/main" id="{5B928BDA-0950-4881-B16B-B348A4CD2DC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6" name="Rectangle 259">
          <a:extLst>
            <a:ext uri="{FF2B5EF4-FFF2-40B4-BE49-F238E27FC236}">
              <a16:creationId xmlns:a16="http://schemas.microsoft.com/office/drawing/2014/main" id="{BCFCF3EF-BE66-45F2-92DA-85B7BCCD6050}"/>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7" name="Rectangle 260">
          <a:extLst>
            <a:ext uri="{FF2B5EF4-FFF2-40B4-BE49-F238E27FC236}">
              <a16:creationId xmlns:a16="http://schemas.microsoft.com/office/drawing/2014/main" id="{52D05AF3-EB32-4FFE-A849-7BE27A3C53CA}"/>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8" name="Rectangle 261">
          <a:extLst>
            <a:ext uri="{FF2B5EF4-FFF2-40B4-BE49-F238E27FC236}">
              <a16:creationId xmlns:a16="http://schemas.microsoft.com/office/drawing/2014/main" id="{76E78A9B-86F5-4FB5-85C3-8EDFCA44F019}"/>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59" name="Rectangle 262">
          <a:extLst>
            <a:ext uri="{FF2B5EF4-FFF2-40B4-BE49-F238E27FC236}">
              <a16:creationId xmlns:a16="http://schemas.microsoft.com/office/drawing/2014/main" id="{C36957D7-3904-4DFD-9CB2-9FC2B48075BC}"/>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0" name="Rectangle 263">
          <a:extLst>
            <a:ext uri="{FF2B5EF4-FFF2-40B4-BE49-F238E27FC236}">
              <a16:creationId xmlns:a16="http://schemas.microsoft.com/office/drawing/2014/main" id="{4E545D98-1E50-45D2-9203-E92685F81AFB}"/>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1" name="Rectangle 264">
          <a:extLst>
            <a:ext uri="{FF2B5EF4-FFF2-40B4-BE49-F238E27FC236}">
              <a16:creationId xmlns:a16="http://schemas.microsoft.com/office/drawing/2014/main" id="{C26520DD-BE5A-4D0E-8B62-00BD616AAF95}"/>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2" name="Rectangle 265">
          <a:extLst>
            <a:ext uri="{FF2B5EF4-FFF2-40B4-BE49-F238E27FC236}">
              <a16:creationId xmlns:a16="http://schemas.microsoft.com/office/drawing/2014/main" id="{0D80E5FA-5CE3-4F20-AE65-52859788C88B}"/>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3" name="Rectangle 266">
          <a:extLst>
            <a:ext uri="{FF2B5EF4-FFF2-40B4-BE49-F238E27FC236}">
              <a16:creationId xmlns:a16="http://schemas.microsoft.com/office/drawing/2014/main" id="{5337956E-B8F1-4B6F-A676-3EE2CCDD5589}"/>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4" name="Rectangle 267">
          <a:extLst>
            <a:ext uri="{FF2B5EF4-FFF2-40B4-BE49-F238E27FC236}">
              <a16:creationId xmlns:a16="http://schemas.microsoft.com/office/drawing/2014/main" id="{B1BD1A37-CAB7-4758-A6AF-073C7ABDB90D}"/>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5" name="Rectangle 268">
          <a:extLst>
            <a:ext uri="{FF2B5EF4-FFF2-40B4-BE49-F238E27FC236}">
              <a16:creationId xmlns:a16="http://schemas.microsoft.com/office/drawing/2014/main" id="{CDA6A111-7B6E-4E7E-999C-A400BC7CB36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6" name="Rectangle 269">
          <a:extLst>
            <a:ext uri="{FF2B5EF4-FFF2-40B4-BE49-F238E27FC236}">
              <a16:creationId xmlns:a16="http://schemas.microsoft.com/office/drawing/2014/main" id="{8E6824BF-4F64-4A2B-ADED-D78CBA5949FC}"/>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7" name="Rectangle 238">
          <a:extLst>
            <a:ext uri="{FF2B5EF4-FFF2-40B4-BE49-F238E27FC236}">
              <a16:creationId xmlns:a16="http://schemas.microsoft.com/office/drawing/2014/main" id="{084A1BDF-2F64-4C85-A12D-A6666B90207A}"/>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8" name="Rectangle 249">
          <a:extLst>
            <a:ext uri="{FF2B5EF4-FFF2-40B4-BE49-F238E27FC236}">
              <a16:creationId xmlns:a16="http://schemas.microsoft.com/office/drawing/2014/main" id="{7C1ACEB4-A3EB-42FA-9F35-4536B51C963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69" name="Rectangle 251">
          <a:extLst>
            <a:ext uri="{FF2B5EF4-FFF2-40B4-BE49-F238E27FC236}">
              <a16:creationId xmlns:a16="http://schemas.microsoft.com/office/drawing/2014/main" id="{DE00568B-D357-4082-B2E1-6AB3300B7DC8}"/>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0" name="Rectangle 253">
          <a:extLst>
            <a:ext uri="{FF2B5EF4-FFF2-40B4-BE49-F238E27FC236}">
              <a16:creationId xmlns:a16="http://schemas.microsoft.com/office/drawing/2014/main" id="{A9FA164F-9FEF-414F-9235-4366D2DFD5C5}"/>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1" name="Rectangle 254">
          <a:extLst>
            <a:ext uri="{FF2B5EF4-FFF2-40B4-BE49-F238E27FC236}">
              <a16:creationId xmlns:a16="http://schemas.microsoft.com/office/drawing/2014/main" id="{C1C29C0B-A2D8-4D4E-A570-4883FAF3BEA7}"/>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2" name="Rectangle 255">
          <a:extLst>
            <a:ext uri="{FF2B5EF4-FFF2-40B4-BE49-F238E27FC236}">
              <a16:creationId xmlns:a16="http://schemas.microsoft.com/office/drawing/2014/main" id="{B312F1B3-805D-4C29-92A9-A322254C21C0}"/>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3" name="Rectangle 257">
          <a:extLst>
            <a:ext uri="{FF2B5EF4-FFF2-40B4-BE49-F238E27FC236}">
              <a16:creationId xmlns:a16="http://schemas.microsoft.com/office/drawing/2014/main" id="{F058F96D-0A30-4492-9948-D3ACDA79872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4" name="Rectangle 258">
          <a:extLst>
            <a:ext uri="{FF2B5EF4-FFF2-40B4-BE49-F238E27FC236}">
              <a16:creationId xmlns:a16="http://schemas.microsoft.com/office/drawing/2014/main" id="{01DD0DAF-DBD6-46BA-B637-7A41BF551E87}"/>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5" name="Rectangle 259">
          <a:extLst>
            <a:ext uri="{FF2B5EF4-FFF2-40B4-BE49-F238E27FC236}">
              <a16:creationId xmlns:a16="http://schemas.microsoft.com/office/drawing/2014/main" id="{FA4AEF11-4799-4E5F-96F6-F27D3A2CA437}"/>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6" name="Rectangle 260">
          <a:extLst>
            <a:ext uri="{FF2B5EF4-FFF2-40B4-BE49-F238E27FC236}">
              <a16:creationId xmlns:a16="http://schemas.microsoft.com/office/drawing/2014/main" id="{275EC938-A131-415B-957A-3D56171BE9F3}"/>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7" name="Rectangle 261">
          <a:extLst>
            <a:ext uri="{FF2B5EF4-FFF2-40B4-BE49-F238E27FC236}">
              <a16:creationId xmlns:a16="http://schemas.microsoft.com/office/drawing/2014/main" id="{887F4036-8E70-4C96-B47B-577AF38F5C7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8" name="Rectangle 262">
          <a:extLst>
            <a:ext uri="{FF2B5EF4-FFF2-40B4-BE49-F238E27FC236}">
              <a16:creationId xmlns:a16="http://schemas.microsoft.com/office/drawing/2014/main" id="{2866DC2F-5361-4F80-A063-95499307D276}"/>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79" name="Rectangle 263">
          <a:extLst>
            <a:ext uri="{FF2B5EF4-FFF2-40B4-BE49-F238E27FC236}">
              <a16:creationId xmlns:a16="http://schemas.microsoft.com/office/drawing/2014/main" id="{E49F4786-C7B6-4ED9-A052-E05BECA6A28A}"/>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0" name="Rectangle 264">
          <a:extLst>
            <a:ext uri="{FF2B5EF4-FFF2-40B4-BE49-F238E27FC236}">
              <a16:creationId xmlns:a16="http://schemas.microsoft.com/office/drawing/2014/main" id="{67F8F676-D9F9-495E-86AD-F4B2A12FB8DB}"/>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1" name="Rectangle 265">
          <a:extLst>
            <a:ext uri="{FF2B5EF4-FFF2-40B4-BE49-F238E27FC236}">
              <a16:creationId xmlns:a16="http://schemas.microsoft.com/office/drawing/2014/main" id="{D9741094-BABC-4FE8-81C2-6A7A55CA9540}"/>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2" name="Rectangle 266">
          <a:extLst>
            <a:ext uri="{FF2B5EF4-FFF2-40B4-BE49-F238E27FC236}">
              <a16:creationId xmlns:a16="http://schemas.microsoft.com/office/drawing/2014/main" id="{4C88F6FD-1280-4469-95DA-AB4054093205}"/>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3" name="Rectangle 267">
          <a:extLst>
            <a:ext uri="{FF2B5EF4-FFF2-40B4-BE49-F238E27FC236}">
              <a16:creationId xmlns:a16="http://schemas.microsoft.com/office/drawing/2014/main" id="{24F75382-0BB9-4893-806A-8D99FC2A37A7}"/>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4" name="Rectangle 268">
          <a:extLst>
            <a:ext uri="{FF2B5EF4-FFF2-40B4-BE49-F238E27FC236}">
              <a16:creationId xmlns:a16="http://schemas.microsoft.com/office/drawing/2014/main" id="{DB8DED8F-42A8-4C8F-84AB-3B220E9B133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5" name="Rectangle 269">
          <a:extLst>
            <a:ext uri="{FF2B5EF4-FFF2-40B4-BE49-F238E27FC236}">
              <a16:creationId xmlns:a16="http://schemas.microsoft.com/office/drawing/2014/main" id="{5BD5099C-CB43-40A5-BC17-863F4AB721BA}"/>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6" name="Rectangle 238">
          <a:extLst>
            <a:ext uri="{FF2B5EF4-FFF2-40B4-BE49-F238E27FC236}">
              <a16:creationId xmlns:a16="http://schemas.microsoft.com/office/drawing/2014/main" id="{64E0FEA8-54A0-49A2-8D2C-DE78CD567D2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7" name="Rectangle 249">
          <a:extLst>
            <a:ext uri="{FF2B5EF4-FFF2-40B4-BE49-F238E27FC236}">
              <a16:creationId xmlns:a16="http://schemas.microsoft.com/office/drawing/2014/main" id="{AA8A23D1-22E6-490B-BE06-4FBD309622AD}"/>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8" name="Rectangle 251">
          <a:extLst>
            <a:ext uri="{FF2B5EF4-FFF2-40B4-BE49-F238E27FC236}">
              <a16:creationId xmlns:a16="http://schemas.microsoft.com/office/drawing/2014/main" id="{CC5E1C37-57CF-460D-9C73-5C756722736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89" name="Rectangle 253">
          <a:extLst>
            <a:ext uri="{FF2B5EF4-FFF2-40B4-BE49-F238E27FC236}">
              <a16:creationId xmlns:a16="http://schemas.microsoft.com/office/drawing/2014/main" id="{A05009A0-1FD9-4EF1-9A25-D75B5E0079DC}"/>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0" name="Rectangle 254">
          <a:extLst>
            <a:ext uri="{FF2B5EF4-FFF2-40B4-BE49-F238E27FC236}">
              <a16:creationId xmlns:a16="http://schemas.microsoft.com/office/drawing/2014/main" id="{1606DFD7-8214-47AB-8F12-BD4DD8A08DA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1" name="Rectangle 255">
          <a:extLst>
            <a:ext uri="{FF2B5EF4-FFF2-40B4-BE49-F238E27FC236}">
              <a16:creationId xmlns:a16="http://schemas.microsoft.com/office/drawing/2014/main" id="{1B657B54-CDC2-48B2-B5C0-2C0292237EAC}"/>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2" name="Rectangle 257">
          <a:extLst>
            <a:ext uri="{FF2B5EF4-FFF2-40B4-BE49-F238E27FC236}">
              <a16:creationId xmlns:a16="http://schemas.microsoft.com/office/drawing/2014/main" id="{7A7E8AE2-3988-4E77-9E59-C5E79B35360F}"/>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3" name="Rectangle 258">
          <a:extLst>
            <a:ext uri="{FF2B5EF4-FFF2-40B4-BE49-F238E27FC236}">
              <a16:creationId xmlns:a16="http://schemas.microsoft.com/office/drawing/2014/main" id="{9AB2023C-6D5F-47F4-A3FB-2590F7456114}"/>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4" name="Rectangle 259">
          <a:extLst>
            <a:ext uri="{FF2B5EF4-FFF2-40B4-BE49-F238E27FC236}">
              <a16:creationId xmlns:a16="http://schemas.microsoft.com/office/drawing/2014/main" id="{44BF5B9E-B841-4DC3-8CAB-BFE1AFF0DB3B}"/>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5" name="Rectangle 260">
          <a:extLst>
            <a:ext uri="{FF2B5EF4-FFF2-40B4-BE49-F238E27FC236}">
              <a16:creationId xmlns:a16="http://schemas.microsoft.com/office/drawing/2014/main" id="{9F3947D7-9573-4981-A744-71E15FC5C172}"/>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6" name="Rectangle 261">
          <a:extLst>
            <a:ext uri="{FF2B5EF4-FFF2-40B4-BE49-F238E27FC236}">
              <a16:creationId xmlns:a16="http://schemas.microsoft.com/office/drawing/2014/main" id="{83CF5662-17DD-4B96-AAAE-96CCD0C81324}"/>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7" name="Rectangle 262">
          <a:extLst>
            <a:ext uri="{FF2B5EF4-FFF2-40B4-BE49-F238E27FC236}">
              <a16:creationId xmlns:a16="http://schemas.microsoft.com/office/drawing/2014/main" id="{9D65AA6C-A00C-41CD-B631-C3D7E9986EF0}"/>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8" name="Rectangle 263">
          <a:extLst>
            <a:ext uri="{FF2B5EF4-FFF2-40B4-BE49-F238E27FC236}">
              <a16:creationId xmlns:a16="http://schemas.microsoft.com/office/drawing/2014/main" id="{EADC4FF0-CDE6-40A4-A97A-2800B6C4E2D8}"/>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399" name="Rectangle 264">
          <a:extLst>
            <a:ext uri="{FF2B5EF4-FFF2-40B4-BE49-F238E27FC236}">
              <a16:creationId xmlns:a16="http://schemas.microsoft.com/office/drawing/2014/main" id="{20F9F208-00DE-482C-BCED-204FC60B9D74}"/>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0" name="Rectangle 265">
          <a:extLst>
            <a:ext uri="{FF2B5EF4-FFF2-40B4-BE49-F238E27FC236}">
              <a16:creationId xmlns:a16="http://schemas.microsoft.com/office/drawing/2014/main" id="{43B0CD94-A7DA-47DF-B150-4188AE74917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1" name="Rectangle 266">
          <a:extLst>
            <a:ext uri="{FF2B5EF4-FFF2-40B4-BE49-F238E27FC236}">
              <a16:creationId xmlns:a16="http://schemas.microsoft.com/office/drawing/2014/main" id="{C47694B7-4687-4E33-BE54-282C7829E66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2" name="Rectangle 267">
          <a:extLst>
            <a:ext uri="{FF2B5EF4-FFF2-40B4-BE49-F238E27FC236}">
              <a16:creationId xmlns:a16="http://schemas.microsoft.com/office/drawing/2014/main" id="{2FB69496-5080-42C6-BBAA-0F05897D08F9}"/>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3" name="Rectangle 268">
          <a:extLst>
            <a:ext uri="{FF2B5EF4-FFF2-40B4-BE49-F238E27FC236}">
              <a16:creationId xmlns:a16="http://schemas.microsoft.com/office/drawing/2014/main" id="{40B6AA1E-6D54-4A08-B4D4-5367944B04F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4" name="Rectangle 269">
          <a:extLst>
            <a:ext uri="{FF2B5EF4-FFF2-40B4-BE49-F238E27FC236}">
              <a16:creationId xmlns:a16="http://schemas.microsoft.com/office/drawing/2014/main" id="{62BCC69A-0278-4FD8-A500-3BA257EC414C}"/>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5" name="Rectangle 238">
          <a:extLst>
            <a:ext uri="{FF2B5EF4-FFF2-40B4-BE49-F238E27FC236}">
              <a16:creationId xmlns:a16="http://schemas.microsoft.com/office/drawing/2014/main" id="{38F70F95-4FE0-4EAA-9039-E309DC32AE72}"/>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6" name="Rectangle 249">
          <a:extLst>
            <a:ext uri="{FF2B5EF4-FFF2-40B4-BE49-F238E27FC236}">
              <a16:creationId xmlns:a16="http://schemas.microsoft.com/office/drawing/2014/main" id="{73CAE303-8906-41F9-B009-43EE5E1A665A}"/>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7" name="Rectangle 251">
          <a:extLst>
            <a:ext uri="{FF2B5EF4-FFF2-40B4-BE49-F238E27FC236}">
              <a16:creationId xmlns:a16="http://schemas.microsoft.com/office/drawing/2014/main" id="{B002EE8A-2FAD-49BE-BD49-E244FA5DCE5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8" name="Rectangle 253">
          <a:extLst>
            <a:ext uri="{FF2B5EF4-FFF2-40B4-BE49-F238E27FC236}">
              <a16:creationId xmlns:a16="http://schemas.microsoft.com/office/drawing/2014/main" id="{497042D2-965A-4398-9F06-F2C8DE04D2A8}"/>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09" name="Rectangle 254">
          <a:extLst>
            <a:ext uri="{FF2B5EF4-FFF2-40B4-BE49-F238E27FC236}">
              <a16:creationId xmlns:a16="http://schemas.microsoft.com/office/drawing/2014/main" id="{6C705C45-5F23-4904-97F0-F7EE2EFA6B67}"/>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0" name="Rectangle 255">
          <a:extLst>
            <a:ext uri="{FF2B5EF4-FFF2-40B4-BE49-F238E27FC236}">
              <a16:creationId xmlns:a16="http://schemas.microsoft.com/office/drawing/2014/main" id="{B0D3BF38-E43D-4809-A91E-7DB3C03C920D}"/>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1" name="Rectangle 257">
          <a:extLst>
            <a:ext uri="{FF2B5EF4-FFF2-40B4-BE49-F238E27FC236}">
              <a16:creationId xmlns:a16="http://schemas.microsoft.com/office/drawing/2014/main" id="{334BB021-B7DA-4DF8-B6EB-B7E1D9C8BCB0}"/>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2" name="Rectangle 258">
          <a:extLst>
            <a:ext uri="{FF2B5EF4-FFF2-40B4-BE49-F238E27FC236}">
              <a16:creationId xmlns:a16="http://schemas.microsoft.com/office/drawing/2014/main" id="{69636558-185E-4F56-81E8-0CFF5ECFC73A}"/>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3" name="Rectangle 259">
          <a:extLst>
            <a:ext uri="{FF2B5EF4-FFF2-40B4-BE49-F238E27FC236}">
              <a16:creationId xmlns:a16="http://schemas.microsoft.com/office/drawing/2014/main" id="{4CEA897A-775E-4298-A543-055F695753D3}"/>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4" name="Rectangle 260">
          <a:extLst>
            <a:ext uri="{FF2B5EF4-FFF2-40B4-BE49-F238E27FC236}">
              <a16:creationId xmlns:a16="http://schemas.microsoft.com/office/drawing/2014/main" id="{BC806702-C096-49F7-891B-E7E0A0E0E552}"/>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5" name="Rectangle 261">
          <a:extLst>
            <a:ext uri="{FF2B5EF4-FFF2-40B4-BE49-F238E27FC236}">
              <a16:creationId xmlns:a16="http://schemas.microsoft.com/office/drawing/2014/main" id="{2D1976E4-BD9B-4267-80E3-4E69BF93516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6" name="Rectangle 262">
          <a:extLst>
            <a:ext uri="{FF2B5EF4-FFF2-40B4-BE49-F238E27FC236}">
              <a16:creationId xmlns:a16="http://schemas.microsoft.com/office/drawing/2014/main" id="{10290A69-007D-45A6-9F86-E38DFEB64A5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7" name="Rectangle 263">
          <a:extLst>
            <a:ext uri="{FF2B5EF4-FFF2-40B4-BE49-F238E27FC236}">
              <a16:creationId xmlns:a16="http://schemas.microsoft.com/office/drawing/2014/main" id="{CA4F8BF5-8C9A-4C1E-876B-407AC01BEDB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8" name="Rectangle 264">
          <a:extLst>
            <a:ext uri="{FF2B5EF4-FFF2-40B4-BE49-F238E27FC236}">
              <a16:creationId xmlns:a16="http://schemas.microsoft.com/office/drawing/2014/main" id="{433C2B6D-343D-480C-A12B-F47F78A968B0}"/>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19" name="Rectangle 265">
          <a:extLst>
            <a:ext uri="{FF2B5EF4-FFF2-40B4-BE49-F238E27FC236}">
              <a16:creationId xmlns:a16="http://schemas.microsoft.com/office/drawing/2014/main" id="{C290668D-D74E-4063-ACFA-19060CAD162F}"/>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0" name="Rectangle 266">
          <a:extLst>
            <a:ext uri="{FF2B5EF4-FFF2-40B4-BE49-F238E27FC236}">
              <a16:creationId xmlns:a16="http://schemas.microsoft.com/office/drawing/2014/main" id="{A725261B-A902-4203-A123-4EEC48811D05}"/>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1" name="Rectangle 267">
          <a:extLst>
            <a:ext uri="{FF2B5EF4-FFF2-40B4-BE49-F238E27FC236}">
              <a16:creationId xmlns:a16="http://schemas.microsoft.com/office/drawing/2014/main" id="{D8C98DF7-0566-4902-8A29-FEC0B911CB08}"/>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2" name="Rectangle 268">
          <a:extLst>
            <a:ext uri="{FF2B5EF4-FFF2-40B4-BE49-F238E27FC236}">
              <a16:creationId xmlns:a16="http://schemas.microsoft.com/office/drawing/2014/main" id="{601A43E5-063A-47A5-9E3D-B61225208F9F}"/>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3" name="Rectangle 269">
          <a:extLst>
            <a:ext uri="{FF2B5EF4-FFF2-40B4-BE49-F238E27FC236}">
              <a16:creationId xmlns:a16="http://schemas.microsoft.com/office/drawing/2014/main" id="{E071C859-DA14-40F4-B5A6-E2117D76C25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4" name="Rectangle 238">
          <a:extLst>
            <a:ext uri="{FF2B5EF4-FFF2-40B4-BE49-F238E27FC236}">
              <a16:creationId xmlns:a16="http://schemas.microsoft.com/office/drawing/2014/main" id="{0D4169E3-5E2C-4312-8248-F5D45F2BFC7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5" name="Rectangle 249">
          <a:extLst>
            <a:ext uri="{FF2B5EF4-FFF2-40B4-BE49-F238E27FC236}">
              <a16:creationId xmlns:a16="http://schemas.microsoft.com/office/drawing/2014/main" id="{77A2C38B-6AB8-48BF-B1CB-F389D1E9DC32}"/>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6" name="Rectangle 251">
          <a:extLst>
            <a:ext uri="{FF2B5EF4-FFF2-40B4-BE49-F238E27FC236}">
              <a16:creationId xmlns:a16="http://schemas.microsoft.com/office/drawing/2014/main" id="{9A6CB1C4-C375-4B92-92E3-A7A8FB1FB00F}"/>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7" name="Rectangle 253">
          <a:extLst>
            <a:ext uri="{FF2B5EF4-FFF2-40B4-BE49-F238E27FC236}">
              <a16:creationId xmlns:a16="http://schemas.microsoft.com/office/drawing/2014/main" id="{7420CAD7-33C2-4C5B-9EFD-4056C862A4F9}"/>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8" name="Rectangle 254">
          <a:extLst>
            <a:ext uri="{FF2B5EF4-FFF2-40B4-BE49-F238E27FC236}">
              <a16:creationId xmlns:a16="http://schemas.microsoft.com/office/drawing/2014/main" id="{FD6BF106-FCB4-4C7E-AFDE-1BD681215EB7}"/>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29" name="Rectangle 255">
          <a:extLst>
            <a:ext uri="{FF2B5EF4-FFF2-40B4-BE49-F238E27FC236}">
              <a16:creationId xmlns:a16="http://schemas.microsoft.com/office/drawing/2014/main" id="{6E26A9EE-FB41-40F1-B45F-8C51C693B6AB}"/>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0" name="Rectangle 257">
          <a:extLst>
            <a:ext uri="{FF2B5EF4-FFF2-40B4-BE49-F238E27FC236}">
              <a16:creationId xmlns:a16="http://schemas.microsoft.com/office/drawing/2014/main" id="{35BF3417-5FAD-4264-89FA-3EABC7756BBE}"/>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1" name="Rectangle 258">
          <a:extLst>
            <a:ext uri="{FF2B5EF4-FFF2-40B4-BE49-F238E27FC236}">
              <a16:creationId xmlns:a16="http://schemas.microsoft.com/office/drawing/2014/main" id="{06DA04C0-F025-4956-A33C-E4AF47CAAD8A}"/>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2" name="Rectangle 259">
          <a:extLst>
            <a:ext uri="{FF2B5EF4-FFF2-40B4-BE49-F238E27FC236}">
              <a16:creationId xmlns:a16="http://schemas.microsoft.com/office/drawing/2014/main" id="{EF75CE7C-9153-4FFA-8C16-4E446A1998ED}"/>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3" name="Rectangle 260">
          <a:extLst>
            <a:ext uri="{FF2B5EF4-FFF2-40B4-BE49-F238E27FC236}">
              <a16:creationId xmlns:a16="http://schemas.microsoft.com/office/drawing/2014/main" id="{76AD9CEA-C76A-4156-A8A2-976E6BDE7632}"/>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4" name="Rectangle 261">
          <a:extLst>
            <a:ext uri="{FF2B5EF4-FFF2-40B4-BE49-F238E27FC236}">
              <a16:creationId xmlns:a16="http://schemas.microsoft.com/office/drawing/2014/main" id="{7300DBB2-09E3-4076-81F9-BE8BECE0817F}"/>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5" name="Rectangle 262">
          <a:extLst>
            <a:ext uri="{FF2B5EF4-FFF2-40B4-BE49-F238E27FC236}">
              <a16:creationId xmlns:a16="http://schemas.microsoft.com/office/drawing/2014/main" id="{C4284E9D-FC5E-40DD-A75E-6C35B3DE3707}"/>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6" name="Rectangle 263">
          <a:extLst>
            <a:ext uri="{FF2B5EF4-FFF2-40B4-BE49-F238E27FC236}">
              <a16:creationId xmlns:a16="http://schemas.microsoft.com/office/drawing/2014/main" id="{71679020-73EE-43F2-892B-5E03F0A1DE65}"/>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7" name="Rectangle 264">
          <a:extLst>
            <a:ext uri="{FF2B5EF4-FFF2-40B4-BE49-F238E27FC236}">
              <a16:creationId xmlns:a16="http://schemas.microsoft.com/office/drawing/2014/main" id="{777425F8-B69A-4358-8C31-548BFCD2664C}"/>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8" name="Rectangle 265">
          <a:extLst>
            <a:ext uri="{FF2B5EF4-FFF2-40B4-BE49-F238E27FC236}">
              <a16:creationId xmlns:a16="http://schemas.microsoft.com/office/drawing/2014/main" id="{69AEE18C-AD96-4738-9835-28EDEF18A832}"/>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39" name="Rectangle 266">
          <a:extLst>
            <a:ext uri="{FF2B5EF4-FFF2-40B4-BE49-F238E27FC236}">
              <a16:creationId xmlns:a16="http://schemas.microsoft.com/office/drawing/2014/main" id="{815C9178-5FB0-41DA-B9A9-7911CFDF4461}"/>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0" name="Rectangle 267">
          <a:extLst>
            <a:ext uri="{FF2B5EF4-FFF2-40B4-BE49-F238E27FC236}">
              <a16:creationId xmlns:a16="http://schemas.microsoft.com/office/drawing/2014/main" id="{7FB6D183-4D6C-4752-BBA2-44CD2D128083}"/>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1" name="Rectangle 268">
          <a:extLst>
            <a:ext uri="{FF2B5EF4-FFF2-40B4-BE49-F238E27FC236}">
              <a16:creationId xmlns:a16="http://schemas.microsoft.com/office/drawing/2014/main" id="{B2E96842-F969-4926-AD8D-3D8CB80AC999}"/>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2" name="Rectangle 269">
          <a:extLst>
            <a:ext uri="{FF2B5EF4-FFF2-40B4-BE49-F238E27FC236}">
              <a16:creationId xmlns:a16="http://schemas.microsoft.com/office/drawing/2014/main" id="{5D68ACB3-C179-4C4B-A797-7232806C5343}"/>
            </a:ext>
          </a:extLst>
        </xdr:cNvPr>
        <xdr:cNvSpPr>
          <a:spLocks noChangeArrowheads="1"/>
        </xdr:cNvSpPr>
      </xdr:nvSpPr>
      <xdr:spPr bwMode="auto">
        <a:xfrm>
          <a:off x="723900" y="23798212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3" name="Rectangle 238">
          <a:extLst>
            <a:ext uri="{FF2B5EF4-FFF2-40B4-BE49-F238E27FC236}">
              <a16:creationId xmlns:a16="http://schemas.microsoft.com/office/drawing/2014/main" id="{ECD034A2-ECED-48DD-912A-B22A071D0120}"/>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4" name="Rectangle 249">
          <a:extLst>
            <a:ext uri="{FF2B5EF4-FFF2-40B4-BE49-F238E27FC236}">
              <a16:creationId xmlns:a16="http://schemas.microsoft.com/office/drawing/2014/main" id="{4F670973-B61E-465D-9625-13415441CF1B}"/>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5" name="Rectangle 251">
          <a:extLst>
            <a:ext uri="{FF2B5EF4-FFF2-40B4-BE49-F238E27FC236}">
              <a16:creationId xmlns:a16="http://schemas.microsoft.com/office/drawing/2014/main" id="{1158E65F-9DAC-45EC-A807-1B9936E68E7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6" name="Rectangle 253">
          <a:extLst>
            <a:ext uri="{FF2B5EF4-FFF2-40B4-BE49-F238E27FC236}">
              <a16:creationId xmlns:a16="http://schemas.microsoft.com/office/drawing/2014/main" id="{26BF2BF3-F8F9-4F9F-B2D5-85CF4203217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7" name="Rectangle 254">
          <a:extLst>
            <a:ext uri="{FF2B5EF4-FFF2-40B4-BE49-F238E27FC236}">
              <a16:creationId xmlns:a16="http://schemas.microsoft.com/office/drawing/2014/main" id="{871D3F40-F913-41EC-BBBB-3FF264E230C1}"/>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8" name="Rectangle 255">
          <a:extLst>
            <a:ext uri="{FF2B5EF4-FFF2-40B4-BE49-F238E27FC236}">
              <a16:creationId xmlns:a16="http://schemas.microsoft.com/office/drawing/2014/main" id="{BF4A1E19-72F9-457F-AD68-6E8F6C1D96B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49" name="Rectangle 257">
          <a:extLst>
            <a:ext uri="{FF2B5EF4-FFF2-40B4-BE49-F238E27FC236}">
              <a16:creationId xmlns:a16="http://schemas.microsoft.com/office/drawing/2014/main" id="{645EF6DD-A392-47FE-892A-624BB9F3900D}"/>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0" name="Rectangle 258">
          <a:extLst>
            <a:ext uri="{FF2B5EF4-FFF2-40B4-BE49-F238E27FC236}">
              <a16:creationId xmlns:a16="http://schemas.microsoft.com/office/drawing/2014/main" id="{C5BDB69E-C47B-42D0-8030-03561827373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1" name="Rectangle 259">
          <a:extLst>
            <a:ext uri="{FF2B5EF4-FFF2-40B4-BE49-F238E27FC236}">
              <a16:creationId xmlns:a16="http://schemas.microsoft.com/office/drawing/2014/main" id="{E1260B0E-DEE2-4DE9-909A-2D3A220DB2A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2" name="Rectangle 260">
          <a:extLst>
            <a:ext uri="{FF2B5EF4-FFF2-40B4-BE49-F238E27FC236}">
              <a16:creationId xmlns:a16="http://schemas.microsoft.com/office/drawing/2014/main" id="{514BD6A6-D073-4838-9B52-4CADC9A2B8EE}"/>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3" name="Rectangle 261">
          <a:extLst>
            <a:ext uri="{FF2B5EF4-FFF2-40B4-BE49-F238E27FC236}">
              <a16:creationId xmlns:a16="http://schemas.microsoft.com/office/drawing/2014/main" id="{67BB29F3-CE17-4352-97ED-AC67993A7C44}"/>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4" name="Rectangle 262">
          <a:extLst>
            <a:ext uri="{FF2B5EF4-FFF2-40B4-BE49-F238E27FC236}">
              <a16:creationId xmlns:a16="http://schemas.microsoft.com/office/drawing/2014/main" id="{31E15F18-F853-4D9B-9E38-077CA162A4F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5" name="Rectangle 263">
          <a:extLst>
            <a:ext uri="{FF2B5EF4-FFF2-40B4-BE49-F238E27FC236}">
              <a16:creationId xmlns:a16="http://schemas.microsoft.com/office/drawing/2014/main" id="{2D401D12-CECC-4692-A078-387E017C3F76}"/>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6" name="Rectangle 264">
          <a:extLst>
            <a:ext uri="{FF2B5EF4-FFF2-40B4-BE49-F238E27FC236}">
              <a16:creationId xmlns:a16="http://schemas.microsoft.com/office/drawing/2014/main" id="{B73D40A8-B55E-4DC4-B926-991BDE2FFBF5}"/>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7" name="Rectangle 265">
          <a:extLst>
            <a:ext uri="{FF2B5EF4-FFF2-40B4-BE49-F238E27FC236}">
              <a16:creationId xmlns:a16="http://schemas.microsoft.com/office/drawing/2014/main" id="{A6FE6C95-CFF9-407C-ABDC-25A49FCAFCB7}"/>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8" name="Rectangle 266">
          <a:extLst>
            <a:ext uri="{FF2B5EF4-FFF2-40B4-BE49-F238E27FC236}">
              <a16:creationId xmlns:a16="http://schemas.microsoft.com/office/drawing/2014/main" id="{A95CF615-7C39-42FA-9CEC-33AD9FEE2CDC}"/>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59" name="Rectangle 267">
          <a:extLst>
            <a:ext uri="{FF2B5EF4-FFF2-40B4-BE49-F238E27FC236}">
              <a16:creationId xmlns:a16="http://schemas.microsoft.com/office/drawing/2014/main" id="{D95FAEE5-23D5-4C1A-8877-1CAB621FDA7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0" name="Rectangle 268">
          <a:extLst>
            <a:ext uri="{FF2B5EF4-FFF2-40B4-BE49-F238E27FC236}">
              <a16:creationId xmlns:a16="http://schemas.microsoft.com/office/drawing/2014/main" id="{4E00D8FE-0786-44BF-87C6-0A539DBA2FD5}"/>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1" name="Rectangle 269">
          <a:extLst>
            <a:ext uri="{FF2B5EF4-FFF2-40B4-BE49-F238E27FC236}">
              <a16:creationId xmlns:a16="http://schemas.microsoft.com/office/drawing/2014/main" id="{0D1D6870-61A2-46F1-97FF-00C0CE5F7394}"/>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2" name="Rectangle 238">
          <a:extLst>
            <a:ext uri="{FF2B5EF4-FFF2-40B4-BE49-F238E27FC236}">
              <a16:creationId xmlns:a16="http://schemas.microsoft.com/office/drawing/2014/main" id="{099D03B8-A173-4736-952E-5018819ADC2D}"/>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3" name="Rectangle 249">
          <a:extLst>
            <a:ext uri="{FF2B5EF4-FFF2-40B4-BE49-F238E27FC236}">
              <a16:creationId xmlns:a16="http://schemas.microsoft.com/office/drawing/2014/main" id="{1140B870-8B6C-427D-920E-7100827A9657}"/>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4" name="Rectangle 251">
          <a:extLst>
            <a:ext uri="{FF2B5EF4-FFF2-40B4-BE49-F238E27FC236}">
              <a16:creationId xmlns:a16="http://schemas.microsoft.com/office/drawing/2014/main" id="{D23E3B93-19A9-49C6-96A9-20833E2AA39B}"/>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5" name="Rectangle 253">
          <a:extLst>
            <a:ext uri="{FF2B5EF4-FFF2-40B4-BE49-F238E27FC236}">
              <a16:creationId xmlns:a16="http://schemas.microsoft.com/office/drawing/2014/main" id="{28C93D76-9A84-4790-A8CA-E183EB36ED0D}"/>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6" name="Rectangle 254">
          <a:extLst>
            <a:ext uri="{FF2B5EF4-FFF2-40B4-BE49-F238E27FC236}">
              <a16:creationId xmlns:a16="http://schemas.microsoft.com/office/drawing/2014/main" id="{685533B4-E1AB-4E8C-B30A-80F9C63E7BE5}"/>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7" name="Rectangle 255">
          <a:extLst>
            <a:ext uri="{FF2B5EF4-FFF2-40B4-BE49-F238E27FC236}">
              <a16:creationId xmlns:a16="http://schemas.microsoft.com/office/drawing/2014/main" id="{A499EEFE-CBA4-4A56-9D1E-B721EB3B3F3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8" name="Rectangle 257">
          <a:extLst>
            <a:ext uri="{FF2B5EF4-FFF2-40B4-BE49-F238E27FC236}">
              <a16:creationId xmlns:a16="http://schemas.microsoft.com/office/drawing/2014/main" id="{48616DA0-63F8-4F79-B15F-265952A06E52}"/>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69" name="Rectangle 258">
          <a:extLst>
            <a:ext uri="{FF2B5EF4-FFF2-40B4-BE49-F238E27FC236}">
              <a16:creationId xmlns:a16="http://schemas.microsoft.com/office/drawing/2014/main" id="{7D140697-B925-461C-AB39-63EFDF7A16F5}"/>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0" name="Rectangle 259">
          <a:extLst>
            <a:ext uri="{FF2B5EF4-FFF2-40B4-BE49-F238E27FC236}">
              <a16:creationId xmlns:a16="http://schemas.microsoft.com/office/drawing/2014/main" id="{2F06F5F8-142B-4B13-9C3E-D4D12D685C5C}"/>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1" name="Rectangle 260">
          <a:extLst>
            <a:ext uri="{FF2B5EF4-FFF2-40B4-BE49-F238E27FC236}">
              <a16:creationId xmlns:a16="http://schemas.microsoft.com/office/drawing/2014/main" id="{88201E3B-C6E4-4AF7-A6BB-B3ABCA0FA54E}"/>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2" name="Rectangle 261">
          <a:extLst>
            <a:ext uri="{FF2B5EF4-FFF2-40B4-BE49-F238E27FC236}">
              <a16:creationId xmlns:a16="http://schemas.microsoft.com/office/drawing/2014/main" id="{46CBF6AB-8721-4FEC-AD0C-5805C3CFF083}"/>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3" name="Rectangle 262">
          <a:extLst>
            <a:ext uri="{FF2B5EF4-FFF2-40B4-BE49-F238E27FC236}">
              <a16:creationId xmlns:a16="http://schemas.microsoft.com/office/drawing/2014/main" id="{10C5CFB5-510E-491C-9988-5009C07A6930}"/>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4" name="Rectangle 263">
          <a:extLst>
            <a:ext uri="{FF2B5EF4-FFF2-40B4-BE49-F238E27FC236}">
              <a16:creationId xmlns:a16="http://schemas.microsoft.com/office/drawing/2014/main" id="{CFC2C305-79E1-4EA6-A403-C98EF8FE1F17}"/>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5" name="Rectangle 264">
          <a:extLst>
            <a:ext uri="{FF2B5EF4-FFF2-40B4-BE49-F238E27FC236}">
              <a16:creationId xmlns:a16="http://schemas.microsoft.com/office/drawing/2014/main" id="{BB064DC7-5175-4A34-9E04-EB8014ED0BB0}"/>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6" name="Rectangle 265">
          <a:extLst>
            <a:ext uri="{FF2B5EF4-FFF2-40B4-BE49-F238E27FC236}">
              <a16:creationId xmlns:a16="http://schemas.microsoft.com/office/drawing/2014/main" id="{0BE2176D-9615-4B1B-BF98-F44D85C56A20}"/>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7" name="Rectangle 266">
          <a:extLst>
            <a:ext uri="{FF2B5EF4-FFF2-40B4-BE49-F238E27FC236}">
              <a16:creationId xmlns:a16="http://schemas.microsoft.com/office/drawing/2014/main" id="{FB49FC9F-7F81-4E97-9BF0-E1BD61A60A32}"/>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8" name="Rectangle 267">
          <a:extLst>
            <a:ext uri="{FF2B5EF4-FFF2-40B4-BE49-F238E27FC236}">
              <a16:creationId xmlns:a16="http://schemas.microsoft.com/office/drawing/2014/main" id="{1002913A-67C1-4B0C-828B-1C372B288853}"/>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79" name="Rectangle 268">
          <a:extLst>
            <a:ext uri="{FF2B5EF4-FFF2-40B4-BE49-F238E27FC236}">
              <a16:creationId xmlns:a16="http://schemas.microsoft.com/office/drawing/2014/main" id="{E20BBF03-FB7E-4281-ADAF-E27F720FB32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0" name="Rectangle 269">
          <a:extLst>
            <a:ext uri="{FF2B5EF4-FFF2-40B4-BE49-F238E27FC236}">
              <a16:creationId xmlns:a16="http://schemas.microsoft.com/office/drawing/2014/main" id="{C9A1C821-A28F-43DE-99CC-3E38DED13418}"/>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1" name="Rectangle 238">
          <a:extLst>
            <a:ext uri="{FF2B5EF4-FFF2-40B4-BE49-F238E27FC236}">
              <a16:creationId xmlns:a16="http://schemas.microsoft.com/office/drawing/2014/main" id="{8181AE72-E6C6-499C-9625-E525F3C86202}"/>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2" name="Rectangle 249">
          <a:extLst>
            <a:ext uri="{FF2B5EF4-FFF2-40B4-BE49-F238E27FC236}">
              <a16:creationId xmlns:a16="http://schemas.microsoft.com/office/drawing/2014/main" id="{7256CA12-2210-4A38-9A9D-3160DDF3B833}"/>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3" name="Rectangle 251">
          <a:extLst>
            <a:ext uri="{FF2B5EF4-FFF2-40B4-BE49-F238E27FC236}">
              <a16:creationId xmlns:a16="http://schemas.microsoft.com/office/drawing/2014/main" id="{0C849ED4-1391-4028-9178-91931DAAE456}"/>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4" name="Rectangle 253">
          <a:extLst>
            <a:ext uri="{FF2B5EF4-FFF2-40B4-BE49-F238E27FC236}">
              <a16:creationId xmlns:a16="http://schemas.microsoft.com/office/drawing/2014/main" id="{A90E28B4-B037-4F9B-A465-4627EAF93E27}"/>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5" name="Rectangle 254">
          <a:extLst>
            <a:ext uri="{FF2B5EF4-FFF2-40B4-BE49-F238E27FC236}">
              <a16:creationId xmlns:a16="http://schemas.microsoft.com/office/drawing/2014/main" id="{E0883291-7A3F-4985-97C7-F1CD0A784DF2}"/>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6" name="Rectangle 255">
          <a:extLst>
            <a:ext uri="{FF2B5EF4-FFF2-40B4-BE49-F238E27FC236}">
              <a16:creationId xmlns:a16="http://schemas.microsoft.com/office/drawing/2014/main" id="{B23E4943-2596-4739-A8A2-DAF9CF7CED85}"/>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7" name="Rectangle 257">
          <a:extLst>
            <a:ext uri="{FF2B5EF4-FFF2-40B4-BE49-F238E27FC236}">
              <a16:creationId xmlns:a16="http://schemas.microsoft.com/office/drawing/2014/main" id="{AE71A628-9927-4ECB-878C-FF1E558D0995}"/>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8" name="Rectangle 258">
          <a:extLst>
            <a:ext uri="{FF2B5EF4-FFF2-40B4-BE49-F238E27FC236}">
              <a16:creationId xmlns:a16="http://schemas.microsoft.com/office/drawing/2014/main" id="{C793D155-FC9A-4C20-9CDD-C875D9DFB114}"/>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89" name="Rectangle 259">
          <a:extLst>
            <a:ext uri="{FF2B5EF4-FFF2-40B4-BE49-F238E27FC236}">
              <a16:creationId xmlns:a16="http://schemas.microsoft.com/office/drawing/2014/main" id="{2C9EC3CD-78C1-4C51-A9ED-482BBCA84D83}"/>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0" name="Rectangle 260">
          <a:extLst>
            <a:ext uri="{FF2B5EF4-FFF2-40B4-BE49-F238E27FC236}">
              <a16:creationId xmlns:a16="http://schemas.microsoft.com/office/drawing/2014/main" id="{229E5889-C498-4E1C-A49B-7D51D091B94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1" name="Rectangle 261">
          <a:extLst>
            <a:ext uri="{FF2B5EF4-FFF2-40B4-BE49-F238E27FC236}">
              <a16:creationId xmlns:a16="http://schemas.microsoft.com/office/drawing/2014/main" id="{4FD0004C-555B-4208-BDF6-A8A9A8A937F0}"/>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2" name="Rectangle 262">
          <a:extLst>
            <a:ext uri="{FF2B5EF4-FFF2-40B4-BE49-F238E27FC236}">
              <a16:creationId xmlns:a16="http://schemas.microsoft.com/office/drawing/2014/main" id="{F9C204D0-B052-4F1A-8768-BC3810F6AE0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3" name="Rectangle 263">
          <a:extLst>
            <a:ext uri="{FF2B5EF4-FFF2-40B4-BE49-F238E27FC236}">
              <a16:creationId xmlns:a16="http://schemas.microsoft.com/office/drawing/2014/main" id="{378EFBE0-E2D0-4E3E-943F-103343138C33}"/>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4" name="Rectangle 264">
          <a:extLst>
            <a:ext uri="{FF2B5EF4-FFF2-40B4-BE49-F238E27FC236}">
              <a16:creationId xmlns:a16="http://schemas.microsoft.com/office/drawing/2014/main" id="{8618A31E-5EFE-4AF9-BB4C-F2C1D5DCCFB1}"/>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5" name="Rectangle 265">
          <a:extLst>
            <a:ext uri="{FF2B5EF4-FFF2-40B4-BE49-F238E27FC236}">
              <a16:creationId xmlns:a16="http://schemas.microsoft.com/office/drawing/2014/main" id="{78620102-8F31-44A5-8E41-CDFDF7F99631}"/>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6" name="Rectangle 266">
          <a:extLst>
            <a:ext uri="{FF2B5EF4-FFF2-40B4-BE49-F238E27FC236}">
              <a16:creationId xmlns:a16="http://schemas.microsoft.com/office/drawing/2014/main" id="{6900800A-D441-4917-A3EA-8A667330A123}"/>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7" name="Rectangle 267">
          <a:extLst>
            <a:ext uri="{FF2B5EF4-FFF2-40B4-BE49-F238E27FC236}">
              <a16:creationId xmlns:a16="http://schemas.microsoft.com/office/drawing/2014/main" id="{0B881D1F-6FCF-4443-B104-D522CAA15FD0}"/>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8" name="Rectangle 268">
          <a:extLst>
            <a:ext uri="{FF2B5EF4-FFF2-40B4-BE49-F238E27FC236}">
              <a16:creationId xmlns:a16="http://schemas.microsoft.com/office/drawing/2014/main" id="{DA56B972-9A8B-4479-A8AB-F7062E207EE7}"/>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499" name="Rectangle 269">
          <a:extLst>
            <a:ext uri="{FF2B5EF4-FFF2-40B4-BE49-F238E27FC236}">
              <a16:creationId xmlns:a16="http://schemas.microsoft.com/office/drawing/2014/main" id="{70AC4763-E447-4AC9-BE79-3B6DA7516D92}"/>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0" name="Rectangle 238">
          <a:extLst>
            <a:ext uri="{FF2B5EF4-FFF2-40B4-BE49-F238E27FC236}">
              <a16:creationId xmlns:a16="http://schemas.microsoft.com/office/drawing/2014/main" id="{17A745A8-F95A-4A5A-8061-41FD9B6D7645}"/>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1" name="Rectangle 249">
          <a:extLst>
            <a:ext uri="{FF2B5EF4-FFF2-40B4-BE49-F238E27FC236}">
              <a16:creationId xmlns:a16="http://schemas.microsoft.com/office/drawing/2014/main" id="{E03EC2E2-FE03-4A06-B5BC-BEDC939A315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2" name="Rectangle 251">
          <a:extLst>
            <a:ext uri="{FF2B5EF4-FFF2-40B4-BE49-F238E27FC236}">
              <a16:creationId xmlns:a16="http://schemas.microsoft.com/office/drawing/2014/main" id="{BEFE1AEB-52B1-442D-9451-1BB5A20F9294}"/>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3" name="Rectangle 253">
          <a:extLst>
            <a:ext uri="{FF2B5EF4-FFF2-40B4-BE49-F238E27FC236}">
              <a16:creationId xmlns:a16="http://schemas.microsoft.com/office/drawing/2014/main" id="{9AD9EC20-A4E7-4242-AF12-AD7CEA3EFB34}"/>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4" name="Rectangle 254">
          <a:extLst>
            <a:ext uri="{FF2B5EF4-FFF2-40B4-BE49-F238E27FC236}">
              <a16:creationId xmlns:a16="http://schemas.microsoft.com/office/drawing/2014/main" id="{9F34E7EB-3C4B-43C7-94CB-4F6F419DCEEE}"/>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5" name="Rectangle 255">
          <a:extLst>
            <a:ext uri="{FF2B5EF4-FFF2-40B4-BE49-F238E27FC236}">
              <a16:creationId xmlns:a16="http://schemas.microsoft.com/office/drawing/2014/main" id="{D8DAA43F-C619-453B-8329-8298AF740EC1}"/>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6" name="Rectangle 257">
          <a:extLst>
            <a:ext uri="{FF2B5EF4-FFF2-40B4-BE49-F238E27FC236}">
              <a16:creationId xmlns:a16="http://schemas.microsoft.com/office/drawing/2014/main" id="{0018EE62-FCF1-4001-B9F5-4C9BB36E708E}"/>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7" name="Rectangle 258">
          <a:extLst>
            <a:ext uri="{FF2B5EF4-FFF2-40B4-BE49-F238E27FC236}">
              <a16:creationId xmlns:a16="http://schemas.microsoft.com/office/drawing/2014/main" id="{FE8916D9-EF6B-4152-949C-6423073633FE}"/>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8" name="Rectangle 259">
          <a:extLst>
            <a:ext uri="{FF2B5EF4-FFF2-40B4-BE49-F238E27FC236}">
              <a16:creationId xmlns:a16="http://schemas.microsoft.com/office/drawing/2014/main" id="{2D119A6E-74C1-4E37-B05F-B667A547A90D}"/>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09" name="Rectangle 260">
          <a:extLst>
            <a:ext uri="{FF2B5EF4-FFF2-40B4-BE49-F238E27FC236}">
              <a16:creationId xmlns:a16="http://schemas.microsoft.com/office/drawing/2014/main" id="{E60C2BE8-C4A4-42F0-AC52-A540423B1588}"/>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0" name="Rectangle 261">
          <a:extLst>
            <a:ext uri="{FF2B5EF4-FFF2-40B4-BE49-F238E27FC236}">
              <a16:creationId xmlns:a16="http://schemas.microsoft.com/office/drawing/2014/main" id="{65323C46-6768-4F14-A3B7-93E191D5D678}"/>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1" name="Rectangle 262">
          <a:extLst>
            <a:ext uri="{FF2B5EF4-FFF2-40B4-BE49-F238E27FC236}">
              <a16:creationId xmlns:a16="http://schemas.microsoft.com/office/drawing/2014/main" id="{1D4C5038-A392-40F5-9DBD-B65D8362538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2" name="Rectangle 263">
          <a:extLst>
            <a:ext uri="{FF2B5EF4-FFF2-40B4-BE49-F238E27FC236}">
              <a16:creationId xmlns:a16="http://schemas.microsoft.com/office/drawing/2014/main" id="{BE4229C9-CD77-49D3-A1D2-6E5B83FEB39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3" name="Rectangle 264">
          <a:extLst>
            <a:ext uri="{FF2B5EF4-FFF2-40B4-BE49-F238E27FC236}">
              <a16:creationId xmlns:a16="http://schemas.microsoft.com/office/drawing/2014/main" id="{ECEDD422-B1F6-4D9D-BD14-0DF216230177}"/>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4" name="Rectangle 265">
          <a:extLst>
            <a:ext uri="{FF2B5EF4-FFF2-40B4-BE49-F238E27FC236}">
              <a16:creationId xmlns:a16="http://schemas.microsoft.com/office/drawing/2014/main" id="{72DAC626-3A2B-4314-A5E5-7AB17E7136C2}"/>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5" name="Rectangle 266">
          <a:extLst>
            <a:ext uri="{FF2B5EF4-FFF2-40B4-BE49-F238E27FC236}">
              <a16:creationId xmlns:a16="http://schemas.microsoft.com/office/drawing/2014/main" id="{DC9550F2-F1B6-4E2F-9ACE-2140B5A5389C}"/>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6" name="Rectangle 267">
          <a:extLst>
            <a:ext uri="{FF2B5EF4-FFF2-40B4-BE49-F238E27FC236}">
              <a16:creationId xmlns:a16="http://schemas.microsoft.com/office/drawing/2014/main" id="{1F27DF9A-09AF-4702-BD61-433593C47EF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7" name="Rectangle 268">
          <a:extLst>
            <a:ext uri="{FF2B5EF4-FFF2-40B4-BE49-F238E27FC236}">
              <a16:creationId xmlns:a16="http://schemas.microsoft.com/office/drawing/2014/main" id="{DA8D7CDA-0991-449C-95CA-E67FFD329EE6}"/>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8" name="Rectangle 269">
          <a:extLst>
            <a:ext uri="{FF2B5EF4-FFF2-40B4-BE49-F238E27FC236}">
              <a16:creationId xmlns:a16="http://schemas.microsoft.com/office/drawing/2014/main" id="{EF719892-2235-412A-B9D7-D173B3ECBD0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19" name="Rectangle 238">
          <a:extLst>
            <a:ext uri="{FF2B5EF4-FFF2-40B4-BE49-F238E27FC236}">
              <a16:creationId xmlns:a16="http://schemas.microsoft.com/office/drawing/2014/main" id="{3F4BE1CB-4591-49DA-879A-CE1150190850}"/>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0" name="Rectangle 249">
          <a:extLst>
            <a:ext uri="{FF2B5EF4-FFF2-40B4-BE49-F238E27FC236}">
              <a16:creationId xmlns:a16="http://schemas.microsoft.com/office/drawing/2014/main" id="{3FCB18C0-8277-41DE-A9DC-F7898D0A47B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1" name="Rectangle 251">
          <a:extLst>
            <a:ext uri="{FF2B5EF4-FFF2-40B4-BE49-F238E27FC236}">
              <a16:creationId xmlns:a16="http://schemas.microsoft.com/office/drawing/2014/main" id="{E84F6AD4-408D-4847-9C49-B9F2D5979E0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2" name="Rectangle 253">
          <a:extLst>
            <a:ext uri="{FF2B5EF4-FFF2-40B4-BE49-F238E27FC236}">
              <a16:creationId xmlns:a16="http://schemas.microsoft.com/office/drawing/2014/main" id="{C0197BA5-979A-4A55-8648-4F35427DE21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3" name="Rectangle 254">
          <a:extLst>
            <a:ext uri="{FF2B5EF4-FFF2-40B4-BE49-F238E27FC236}">
              <a16:creationId xmlns:a16="http://schemas.microsoft.com/office/drawing/2014/main" id="{5A286D28-9728-45E3-A178-646CB2017F4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4" name="Rectangle 255">
          <a:extLst>
            <a:ext uri="{FF2B5EF4-FFF2-40B4-BE49-F238E27FC236}">
              <a16:creationId xmlns:a16="http://schemas.microsoft.com/office/drawing/2014/main" id="{868AD6B0-979A-456E-BB26-7613A8CFA9B1}"/>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5" name="Rectangle 257">
          <a:extLst>
            <a:ext uri="{FF2B5EF4-FFF2-40B4-BE49-F238E27FC236}">
              <a16:creationId xmlns:a16="http://schemas.microsoft.com/office/drawing/2014/main" id="{CD4AFA9F-C602-41D4-9F84-045C1F55BD9B}"/>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6" name="Rectangle 258">
          <a:extLst>
            <a:ext uri="{FF2B5EF4-FFF2-40B4-BE49-F238E27FC236}">
              <a16:creationId xmlns:a16="http://schemas.microsoft.com/office/drawing/2014/main" id="{DAA9CFD5-41B6-4DD4-A7FD-EF9EE4D185D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7" name="Rectangle 259">
          <a:extLst>
            <a:ext uri="{FF2B5EF4-FFF2-40B4-BE49-F238E27FC236}">
              <a16:creationId xmlns:a16="http://schemas.microsoft.com/office/drawing/2014/main" id="{C90AC58A-5A07-44A5-9CCD-71EB69C09F7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8" name="Rectangle 260">
          <a:extLst>
            <a:ext uri="{FF2B5EF4-FFF2-40B4-BE49-F238E27FC236}">
              <a16:creationId xmlns:a16="http://schemas.microsoft.com/office/drawing/2014/main" id="{34AE0CF6-599C-4F40-BF0B-BD5EC5EE1979}"/>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29" name="Rectangle 261">
          <a:extLst>
            <a:ext uri="{FF2B5EF4-FFF2-40B4-BE49-F238E27FC236}">
              <a16:creationId xmlns:a16="http://schemas.microsoft.com/office/drawing/2014/main" id="{BD5D4AA8-C881-43B1-92BD-BE21374D946F}"/>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30" name="Rectangle 262">
          <a:extLst>
            <a:ext uri="{FF2B5EF4-FFF2-40B4-BE49-F238E27FC236}">
              <a16:creationId xmlns:a16="http://schemas.microsoft.com/office/drawing/2014/main" id="{85D388CD-D5C1-432F-B164-148B0271D06E}"/>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31" name="Rectangle 263">
          <a:extLst>
            <a:ext uri="{FF2B5EF4-FFF2-40B4-BE49-F238E27FC236}">
              <a16:creationId xmlns:a16="http://schemas.microsoft.com/office/drawing/2014/main" id="{9733EC37-CE23-4B78-B9D6-600F44B96D3A}"/>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32" name="Rectangle 264">
          <a:extLst>
            <a:ext uri="{FF2B5EF4-FFF2-40B4-BE49-F238E27FC236}">
              <a16:creationId xmlns:a16="http://schemas.microsoft.com/office/drawing/2014/main" id="{67A00D53-E852-4456-8455-F03DA16E86ED}"/>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33" name="Rectangle 265">
          <a:extLst>
            <a:ext uri="{FF2B5EF4-FFF2-40B4-BE49-F238E27FC236}">
              <a16:creationId xmlns:a16="http://schemas.microsoft.com/office/drawing/2014/main" id="{815A30AF-A409-4D40-AC73-098EC7F00831}"/>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34" name="Rectangle 266">
          <a:extLst>
            <a:ext uri="{FF2B5EF4-FFF2-40B4-BE49-F238E27FC236}">
              <a16:creationId xmlns:a16="http://schemas.microsoft.com/office/drawing/2014/main" id="{3BEBC009-B618-4056-BE01-32A06562CD66}"/>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35" name="Rectangle 267">
          <a:extLst>
            <a:ext uri="{FF2B5EF4-FFF2-40B4-BE49-F238E27FC236}">
              <a16:creationId xmlns:a16="http://schemas.microsoft.com/office/drawing/2014/main" id="{C2B50D8D-56C7-4202-8AE8-B21B5CE7CCBA}"/>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36" name="Rectangle 268">
          <a:extLst>
            <a:ext uri="{FF2B5EF4-FFF2-40B4-BE49-F238E27FC236}">
              <a16:creationId xmlns:a16="http://schemas.microsoft.com/office/drawing/2014/main" id="{94CE2921-B955-4EAF-BC49-AC2CFFF495F2}"/>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28575</xdr:colOff>
      <xdr:row>1</xdr:row>
      <xdr:rowOff>0</xdr:rowOff>
    </xdr:from>
    <xdr:ext cx="28854" cy="132665"/>
    <xdr:sp macro="" textlink="">
      <xdr:nvSpPr>
        <xdr:cNvPr id="1537" name="Rectangle 269">
          <a:extLst>
            <a:ext uri="{FF2B5EF4-FFF2-40B4-BE49-F238E27FC236}">
              <a16:creationId xmlns:a16="http://schemas.microsoft.com/office/drawing/2014/main" id="{6A1D287B-246D-4659-B9C0-F5E590EED7D4}"/>
            </a:ext>
          </a:extLst>
        </xdr:cNvPr>
        <xdr:cNvSpPr>
          <a:spLocks noChangeArrowheads="1"/>
        </xdr:cNvSpPr>
      </xdr:nvSpPr>
      <xdr:spPr bwMode="auto">
        <a:xfrm>
          <a:off x="723900" y="237648750"/>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oneCellAnchor>
    <xdr:from>
      <xdr:col>1</xdr:col>
      <xdr:colOff>2703830</xdr:colOff>
      <xdr:row>0</xdr:row>
      <xdr:rowOff>0</xdr:rowOff>
    </xdr:from>
    <xdr:ext cx="28854" cy="132665"/>
    <xdr:sp macro="" textlink="">
      <xdr:nvSpPr>
        <xdr:cNvPr id="1538" name="Rectangle 269">
          <a:extLst>
            <a:ext uri="{FF2B5EF4-FFF2-40B4-BE49-F238E27FC236}">
              <a16:creationId xmlns:a16="http://schemas.microsoft.com/office/drawing/2014/main" id="{C124D32C-0BF6-49F3-8ECC-80E13B9CBCFE}"/>
            </a:ext>
          </a:extLst>
        </xdr:cNvPr>
        <xdr:cNvSpPr>
          <a:spLocks noChangeArrowheads="1"/>
        </xdr:cNvSpPr>
      </xdr:nvSpPr>
      <xdr:spPr bwMode="auto">
        <a:xfrm>
          <a:off x="3399155" y="447675"/>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view="pageBreakPreview" zoomScaleNormal="100" zoomScaleSheetLayoutView="100" workbookViewId="0">
      <selection activeCell="D50" sqref="D50"/>
    </sheetView>
  </sheetViews>
  <sheetFormatPr defaultRowHeight="13.2"/>
  <cols>
    <col min="3" max="3" width="28.6640625" bestFit="1" customWidth="1"/>
    <col min="4" max="4" width="27.5546875" bestFit="1" customWidth="1"/>
  </cols>
  <sheetData>
    <row r="1" spans="1:5" ht="13.8">
      <c r="A1" s="1"/>
      <c r="B1" s="2"/>
      <c r="C1" s="1"/>
      <c r="D1" s="3"/>
      <c r="E1" s="4"/>
    </row>
    <row r="2" spans="1:5" ht="13.8">
      <c r="A2" s="1"/>
      <c r="B2" s="2"/>
      <c r="C2" s="1" t="s">
        <v>8</v>
      </c>
      <c r="D2" s="5" t="s">
        <v>401</v>
      </c>
      <c r="E2" s="5"/>
    </row>
    <row r="3" spans="1:5" ht="13.8">
      <c r="A3" s="1"/>
      <c r="B3" s="2"/>
      <c r="C3" s="1"/>
      <c r="D3" s="1" t="s">
        <v>46</v>
      </c>
      <c r="E3" s="4"/>
    </row>
    <row r="4" spans="1:5" ht="13.8">
      <c r="A4" s="1"/>
      <c r="B4" s="2"/>
      <c r="C4" s="1"/>
      <c r="D4" s="1" t="s">
        <v>47</v>
      </c>
      <c r="E4" s="4"/>
    </row>
    <row r="5" spans="1:5" ht="13.8">
      <c r="A5" s="1"/>
      <c r="B5" s="2"/>
      <c r="C5" s="1"/>
      <c r="D5" s="543" t="s">
        <v>402</v>
      </c>
      <c r="E5" s="4"/>
    </row>
    <row r="6" spans="1:5" ht="13.8">
      <c r="A6" s="1"/>
      <c r="B6" s="2"/>
      <c r="C6" s="1"/>
      <c r="D6" s="543" t="s">
        <v>48</v>
      </c>
      <c r="E6" s="4"/>
    </row>
    <row r="7" spans="1:5" ht="13.8">
      <c r="A7" s="1"/>
      <c r="B7" s="2"/>
      <c r="C7" s="1"/>
      <c r="D7" s="543"/>
      <c r="E7" s="4"/>
    </row>
    <row r="8" spans="1:5" ht="21.6" customHeight="1">
      <c r="A8" s="1"/>
      <c r="B8" s="2"/>
      <c r="C8" s="1" t="s">
        <v>9</v>
      </c>
      <c r="D8" s="928" t="s">
        <v>888</v>
      </c>
      <c r="E8" s="928"/>
    </row>
    <row r="9" spans="1:5" ht="23.4" customHeight="1">
      <c r="A9" s="1"/>
      <c r="B9" s="1"/>
      <c r="C9" s="1"/>
      <c r="D9" s="928"/>
      <c r="E9" s="928"/>
    </row>
    <row r="10" spans="1:5" ht="13.8">
      <c r="A10" s="1"/>
      <c r="B10" s="2"/>
      <c r="C10" s="1"/>
      <c r="D10" s="543"/>
      <c r="E10" s="6"/>
    </row>
    <row r="11" spans="1:5" ht="13.8">
      <c r="A11" s="1"/>
      <c r="B11" s="2"/>
      <c r="C11" s="1" t="s">
        <v>10</v>
      </c>
      <c r="D11" s="929" t="s">
        <v>884</v>
      </c>
      <c r="E11" s="929"/>
    </row>
    <row r="12" spans="1:5" ht="13.8">
      <c r="A12" s="1"/>
      <c r="B12" s="2"/>
      <c r="C12" s="1"/>
      <c r="D12" s="929" t="s">
        <v>885</v>
      </c>
      <c r="E12" s="929"/>
    </row>
    <row r="13" spans="1:5" ht="13.8">
      <c r="A13" s="1"/>
      <c r="B13" s="2"/>
      <c r="C13" s="1"/>
      <c r="D13" s="543"/>
      <c r="E13" s="4"/>
    </row>
    <row r="14" spans="1:5" ht="13.8">
      <c r="A14" s="1"/>
      <c r="B14" s="2"/>
      <c r="C14" s="1" t="s">
        <v>403</v>
      </c>
      <c r="D14" s="930" t="s">
        <v>886</v>
      </c>
      <c r="E14" s="930"/>
    </row>
    <row r="15" spans="1:5" ht="13.8">
      <c r="A15" s="1"/>
      <c r="B15" s="2"/>
      <c r="C15" s="1"/>
      <c r="D15" s="543"/>
      <c r="E15" s="4"/>
    </row>
    <row r="16" spans="1:5" ht="13.8">
      <c r="A16" s="1"/>
      <c r="B16" s="2"/>
      <c r="C16" s="1"/>
      <c r="D16" s="543"/>
      <c r="E16" s="4"/>
    </row>
    <row r="17" spans="1:5" ht="13.8">
      <c r="A17" s="1"/>
      <c r="B17" s="2"/>
      <c r="C17" s="1"/>
      <c r="D17" s="543"/>
      <c r="E17" s="4"/>
    </row>
    <row r="18" spans="1:5" ht="13.8">
      <c r="A18" s="1"/>
      <c r="B18" s="2"/>
      <c r="C18" s="1"/>
      <c r="D18" s="543"/>
      <c r="E18" s="4"/>
    </row>
    <row r="19" spans="1:5" ht="13.8">
      <c r="A19" s="1"/>
      <c r="B19" s="2"/>
      <c r="C19" s="1"/>
      <c r="D19" s="543"/>
      <c r="E19" s="4"/>
    </row>
    <row r="20" spans="1:5" ht="13.8">
      <c r="A20" s="1"/>
      <c r="B20" s="2"/>
      <c r="C20" s="1"/>
      <c r="D20" s="543"/>
      <c r="E20" s="4"/>
    </row>
    <row r="21" spans="1:5" ht="13.8">
      <c r="A21" s="1"/>
      <c r="B21" s="2"/>
      <c r="C21" s="1"/>
      <c r="D21" s="543"/>
      <c r="E21" s="4"/>
    </row>
    <row r="22" spans="1:5" ht="13.8">
      <c r="A22" s="1"/>
      <c r="B22" s="2"/>
      <c r="C22" s="1"/>
      <c r="D22" s="543"/>
      <c r="E22" s="4"/>
    </row>
    <row r="23" spans="1:5" ht="13.8">
      <c r="A23" s="1"/>
      <c r="B23" s="2"/>
      <c r="C23" s="1"/>
      <c r="D23" s="543"/>
      <c r="E23" s="4"/>
    </row>
    <row r="24" spans="1:5" ht="13.8">
      <c r="A24" s="1"/>
      <c r="B24" s="2"/>
      <c r="C24" s="1"/>
      <c r="D24" s="543"/>
      <c r="E24" s="4"/>
    </row>
    <row r="25" spans="1:5" ht="13.8">
      <c r="A25" s="1"/>
      <c r="B25" s="2"/>
      <c r="C25" s="1"/>
      <c r="D25" s="543"/>
      <c r="E25" s="4"/>
    </row>
    <row r="26" spans="1:5" ht="13.8">
      <c r="A26" s="1"/>
      <c r="B26" s="2"/>
      <c r="C26" s="1"/>
      <c r="D26" s="543"/>
      <c r="E26" s="4"/>
    </row>
    <row r="27" spans="1:5" ht="13.8">
      <c r="A27" s="1"/>
      <c r="B27" s="2"/>
      <c r="C27" s="1"/>
      <c r="D27" s="543"/>
      <c r="E27" s="4"/>
    </row>
    <row r="28" spans="1:5" ht="13.8">
      <c r="A28" s="1"/>
      <c r="B28" s="2"/>
      <c r="C28" s="1"/>
      <c r="D28" s="543"/>
      <c r="E28" s="4"/>
    </row>
    <row r="29" spans="1:5" ht="13.8">
      <c r="A29" s="1"/>
      <c r="B29" s="2"/>
      <c r="C29" s="1"/>
      <c r="D29" s="543"/>
      <c r="E29" s="4"/>
    </row>
    <row r="30" spans="1:5" s="601" customFormat="1" ht="18">
      <c r="A30" s="931" t="s">
        <v>2366</v>
      </c>
      <c r="B30" s="931"/>
      <c r="C30" s="931"/>
      <c r="D30" s="931"/>
      <c r="E30" s="931"/>
    </row>
    <row r="31" spans="1:5" s="601" customFormat="1" ht="18">
      <c r="A31" s="931"/>
      <c r="B31" s="931"/>
      <c r="C31" s="931"/>
      <c r="D31" s="931"/>
      <c r="E31" s="931"/>
    </row>
    <row r="32" spans="1:5" ht="13.8">
      <c r="A32" s="11"/>
      <c r="B32" s="11"/>
      <c r="C32" s="11"/>
      <c r="D32" s="11"/>
      <c r="E32" s="11"/>
    </row>
    <row r="33" spans="1:5" ht="13.8">
      <c r="A33" s="11"/>
      <c r="B33" s="11"/>
      <c r="C33" s="11"/>
      <c r="D33" s="11"/>
      <c r="E33" s="11"/>
    </row>
    <row r="34" spans="1:5" ht="13.8">
      <c r="A34" s="11"/>
      <c r="B34" s="11"/>
      <c r="C34" s="11"/>
      <c r="D34" s="11"/>
      <c r="E34" s="11"/>
    </row>
    <row r="35" spans="1:5" ht="13.8">
      <c r="A35" s="11"/>
      <c r="B35" s="11"/>
      <c r="C35" s="11"/>
      <c r="D35" s="11"/>
      <c r="E35" s="11"/>
    </row>
    <row r="36" spans="1:5" ht="13.8">
      <c r="A36" s="11"/>
      <c r="B36" s="11"/>
      <c r="C36" s="11"/>
      <c r="D36" s="11"/>
      <c r="E36" s="11"/>
    </row>
    <row r="37" spans="1:5" ht="13.8">
      <c r="A37" s="11"/>
      <c r="B37" s="11"/>
      <c r="C37" s="11"/>
      <c r="D37" s="11"/>
      <c r="E37" s="11"/>
    </row>
    <row r="38" spans="1:5" ht="13.8">
      <c r="A38" s="1"/>
      <c r="B38" s="2"/>
      <c r="C38" s="7"/>
      <c r="D38" s="3"/>
      <c r="E38" s="4"/>
    </row>
    <row r="39" spans="1:5" ht="13.8">
      <c r="A39" s="1"/>
      <c r="B39" s="2"/>
      <c r="C39" s="7"/>
      <c r="D39" s="3"/>
      <c r="E39" s="4"/>
    </row>
    <row r="40" spans="1:5" ht="13.8">
      <c r="A40" s="1"/>
      <c r="B40" s="2"/>
      <c r="C40" s="7"/>
      <c r="D40" s="3"/>
      <c r="E40" s="4"/>
    </row>
    <row r="41" spans="1:5" ht="13.8">
      <c r="A41" s="1"/>
      <c r="B41" s="1" t="s">
        <v>2364</v>
      </c>
      <c r="D41" s="926"/>
      <c r="E41" s="926"/>
    </row>
    <row r="42" spans="1:5" ht="13.8">
      <c r="A42" s="1"/>
      <c r="B42" s="1"/>
      <c r="D42" s="543"/>
      <c r="E42" s="6"/>
    </row>
    <row r="43" spans="1:5" ht="13.8">
      <c r="A43" s="1"/>
      <c r="B43" s="1" t="s">
        <v>2365</v>
      </c>
      <c r="D43" s="543"/>
      <c r="E43" s="4"/>
    </row>
    <row r="44" spans="1:5" ht="13.8">
      <c r="A44" s="1"/>
      <c r="B44" s="2"/>
      <c r="C44" s="1"/>
      <c r="D44" s="543"/>
      <c r="E44" s="4"/>
    </row>
    <row r="45" spans="1:5" ht="13.8">
      <c r="A45" s="1"/>
      <c r="B45" s="2"/>
      <c r="C45" s="1"/>
      <c r="D45" s="543"/>
      <c r="E45" s="4"/>
    </row>
    <row r="46" spans="1:5" ht="13.8">
      <c r="A46" s="1"/>
      <c r="B46" s="2"/>
      <c r="C46" s="1"/>
      <c r="D46" s="543"/>
      <c r="E46" s="4"/>
    </row>
    <row r="47" spans="1:5" ht="13.8">
      <c r="A47" s="1"/>
      <c r="B47" s="2"/>
      <c r="C47" s="1"/>
      <c r="D47" s="543"/>
      <c r="E47" s="4"/>
    </row>
    <row r="48" spans="1:5" ht="13.8">
      <c r="A48" s="1"/>
      <c r="B48" s="2"/>
      <c r="C48" s="1"/>
      <c r="D48" s="543"/>
      <c r="E48" s="4"/>
    </row>
    <row r="49" spans="1:5" ht="13.8">
      <c r="A49" s="1"/>
      <c r="B49" s="2"/>
      <c r="C49" s="1"/>
      <c r="D49" s="927" t="s">
        <v>2646</v>
      </c>
      <c r="E49" s="927"/>
    </row>
    <row r="50" spans="1:5" s="912" customFormat="1" ht="13.8">
      <c r="A50" s="907"/>
      <c r="B50" s="908"/>
      <c r="C50" s="909"/>
      <c r="D50" s="910" t="s">
        <v>2691</v>
      </c>
      <c r="E50" s="911"/>
    </row>
    <row r="51" spans="1:5" ht="13.8">
      <c r="A51" s="1"/>
      <c r="B51" s="2"/>
      <c r="C51" s="7"/>
      <c r="D51" s="3"/>
      <c r="E51" s="4"/>
    </row>
    <row r="52" spans="1:5" ht="13.8">
      <c r="A52" s="1"/>
      <c r="B52" s="2"/>
      <c r="C52" s="7"/>
      <c r="D52" s="3"/>
      <c r="E52" s="4"/>
    </row>
    <row r="53" spans="1:5" ht="13.8">
      <c r="A53" s="1"/>
      <c r="B53" s="2"/>
      <c r="C53" s="7"/>
      <c r="D53" s="3"/>
      <c r="E53" s="4"/>
    </row>
    <row r="54" spans="1:5" ht="13.8">
      <c r="A54" s="5"/>
      <c r="B54" s="8"/>
      <c r="C54" s="5"/>
      <c r="D54" s="9"/>
      <c r="E54" s="10"/>
    </row>
  </sheetData>
  <mergeCells count="8">
    <mergeCell ref="D41:E41"/>
    <mergeCell ref="D49:E49"/>
    <mergeCell ref="D8:E9"/>
    <mergeCell ref="D11:E11"/>
    <mergeCell ref="D12:E12"/>
    <mergeCell ref="D14:E14"/>
    <mergeCell ref="A30:E30"/>
    <mergeCell ref="A31:E31"/>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pageSetUpPr fitToPage="1"/>
  </sheetPr>
  <dimension ref="A3:G39"/>
  <sheetViews>
    <sheetView showZeros="0" view="pageBreakPreview" zoomScaleNormal="100" zoomScaleSheetLayoutView="100" workbookViewId="0">
      <selection activeCell="L17" sqref="L17"/>
    </sheetView>
  </sheetViews>
  <sheetFormatPr defaultColWidth="8.88671875" defaultRowHeight="13.2"/>
  <cols>
    <col min="1" max="1" width="4.88671875" style="69" bestFit="1" customWidth="1"/>
    <col min="2" max="2" width="6" style="69" customWidth="1"/>
    <col min="3" max="3" width="31.6640625" style="69" customWidth="1"/>
    <col min="4" max="4" width="7.44140625" style="147" bestFit="1" customWidth="1"/>
    <col min="5" max="6" width="9.88671875" style="69" bestFit="1" customWidth="1"/>
    <col min="7" max="7" width="13.33203125" style="69" customWidth="1"/>
    <col min="8" max="16384" width="8.88671875" style="69"/>
  </cols>
  <sheetData>
    <row r="3" spans="1:7" s="606" customFormat="1" ht="15.75" customHeight="1">
      <c r="A3" s="602"/>
      <c r="B3" s="603"/>
      <c r="C3" s="932" t="s">
        <v>2367</v>
      </c>
      <c r="D3" s="933"/>
      <c r="E3" s="934"/>
      <c r="F3" s="604"/>
      <c r="G3" s="605"/>
    </row>
    <row r="4" spans="1:7" ht="13.8">
      <c r="A4" s="80"/>
      <c r="B4" s="81"/>
      <c r="C4" s="51"/>
      <c r="D4" s="154"/>
      <c r="E4" s="51"/>
      <c r="F4" s="51"/>
      <c r="G4" s="52"/>
    </row>
    <row r="5" spans="1:7" s="241" customFormat="1" ht="13.8">
      <c r="A5" s="235"/>
      <c r="B5" s="236" t="s">
        <v>0</v>
      </c>
      <c r="C5" s="237" t="s">
        <v>2371</v>
      </c>
      <c r="D5" s="238"/>
      <c r="E5" s="239"/>
      <c r="F5" s="235"/>
      <c r="G5" s="240">
        <f>'1_Građevinsko Obrtnički'!G1186</f>
        <v>2475854</v>
      </c>
    </row>
    <row r="6" spans="1:7" s="241" customFormat="1" ht="13.8">
      <c r="A6" s="242"/>
      <c r="B6" s="236" t="s">
        <v>4</v>
      </c>
      <c r="C6" s="237" t="s">
        <v>2372</v>
      </c>
      <c r="D6" s="243"/>
      <c r="E6" s="244"/>
      <c r="F6" s="244"/>
      <c r="G6" s="240">
        <f>'VIK-REK'!G13</f>
        <v>254911.88999999998</v>
      </c>
    </row>
    <row r="7" spans="1:7" s="241" customFormat="1" ht="13.8">
      <c r="A7" s="245"/>
      <c r="B7" s="236" t="s">
        <v>3</v>
      </c>
      <c r="C7" s="237" t="s">
        <v>2373</v>
      </c>
      <c r="D7" s="150"/>
      <c r="E7" s="246"/>
      <c r="F7" s="46"/>
      <c r="G7" s="240">
        <f>'3_STROJARSTVO'!F842</f>
        <v>355220</v>
      </c>
    </row>
    <row r="8" spans="1:7" s="241" customFormat="1" ht="13.8">
      <c r="A8" s="235"/>
      <c r="B8" s="236" t="s">
        <v>5</v>
      </c>
      <c r="C8" s="237" t="s">
        <v>2374</v>
      </c>
      <c r="D8" s="238"/>
      <c r="E8" s="239"/>
      <c r="F8" s="235"/>
      <c r="G8" s="240">
        <f>'4_ELEKTROINSTALACIJE'!F777</f>
        <v>356777.42</v>
      </c>
    </row>
    <row r="9" spans="1:7" s="241" customFormat="1" ht="13.8">
      <c r="A9" s="242"/>
      <c r="B9" s="236" t="s">
        <v>49</v>
      </c>
      <c r="C9" s="237" t="s">
        <v>2375</v>
      </c>
      <c r="D9" s="243"/>
      <c r="E9" s="244"/>
      <c r="F9" s="244"/>
      <c r="G9" s="240">
        <f>'5_VATRODOJAVA'!F172</f>
        <v>32830</v>
      </c>
    </row>
    <row r="10" spans="1:7" ht="13.8">
      <c r="A10" s="47"/>
      <c r="B10" s="47"/>
      <c r="C10" s="47"/>
      <c r="D10" s="143"/>
      <c r="E10" s="48"/>
      <c r="F10" s="47"/>
      <c r="G10" s="47"/>
    </row>
    <row r="11" spans="1:7" s="241" customFormat="1" ht="13.8">
      <c r="A11" s="290"/>
      <c r="B11" s="291"/>
      <c r="C11" s="292" t="s">
        <v>426</v>
      </c>
      <c r="D11" s="293"/>
      <c r="E11" s="292"/>
      <c r="F11" s="292"/>
      <c r="G11" s="256">
        <f>SUM(G5:G9)</f>
        <v>3475593.31</v>
      </c>
    </row>
    <row r="12" spans="1:7" s="241" customFormat="1" ht="13.8">
      <c r="A12" s="290"/>
      <c r="B12" s="291"/>
      <c r="C12" s="292" t="s">
        <v>2240</v>
      </c>
      <c r="D12" s="293"/>
      <c r="E12" s="292"/>
      <c r="F12" s="292"/>
      <c r="G12" s="256">
        <f>G11*0.25</f>
        <v>868898.32750000001</v>
      </c>
    </row>
    <row r="14" spans="1:7" s="299" customFormat="1" ht="15.6">
      <c r="A14" s="294"/>
      <c r="B14" s="295"/>
      <c r="C14" s="296" t="s">
        <v>2368</v>
      </c>
      <c r="D14" s="297"/>
      <c r="E14" s="296"/>
      <c r="F14" s="296"/>
      <c r="G14" s="298">
        <f>G11+G12</f>
        <v>4344491.6375000002</v>
      </c>
    </row>
    <row r="17" spans="1:7" ht="13.8">
      <c r="A17" s="83"/>
      <c r="B17" s="50"/>
      <c r="C17" s="51"/>
      <c r="D17" s="154"/>
      <c r="E17" s="51"/>
      <c r="F17" s="51"/>
      <c r="G17" s="52"/>
    </row>
    <row r="18" spans="1:7" s="166" customFormat="1" ht="13.8">
      <c r="A18" s="161"/>
      <c r="B18" s="162"/>
      <c r="C18" s="163"/>
      <c r="D18" s="149"/>
      <c r="E18" s="164"/>
      <c r="F18" s="164"/>
      <c r="G18" s="165"/>
    </row>
    <row r="19" spans="1:7" ht="13.8">
      <c r="A19" s="15"/>
      <c r="B19" s="15"/>
      <c r="C19" s="30"/>
      <c r="D19" s="21"/>
      <c r="E19" s="31"/>
      <c r="F19" s="12"/>
      <c r="G19" s="23"/>
    </row>
    <row r="20" spans="1:7" ht="13.8">
      <c r="A20" s="74"/>
      <c r="B20" s="33"/>
      <c r="C20" s="20"/>
      <c r="D20" s="152"/>
      <c r="E20" s="16"/>
      <c r="F20" s="15"/>
      <c r="G20" s="15"/>
    </row>
    <row r="21" spans="1:7" ht="13.8">
      <c r="A21" s="74"/>
      <c r="B21" s="33"/>
      <c r="C21" s="22"/>
      <c r="D21" s="21"/>
      <c r="E21" s="16"/>
      <c r="F21" s="12"/>
      <c r="G21" s="209"/>
    </row>
    <row r="22" spans="1:7" ht="13.8">
      <c r="A22" s="74"/>
      <c r="B22" s="33"/>
      <c r="C22" s="141"/>
      <c r="D22" s="156"/>
      <c r="E22" s="141"/>
      <c r="F22" s="141"/>
      <c r="G22" s="210"/>
    </row>
    <row r="23" spans="1:7" ht="13.8">
      <c r="A23" s="74"/>
      <c r="B23" s="33"/>
      <c r="C23" s="141"/>
      <c r="D23" s="156"/>
      <c r="E23" s="141"/>
      <c r="F23" s="141"/>
      <c r="G23" s="210"/>
    </row>
    <row r="24" spans="1:7" ht="13.8">
      <c r="A24" s="74"/>
      <c r="B24" s="33"/>
      <c r="C24" s="141"/>
      <c r="D24" s="156"/>
      <c r="E24" s="141"/>
      <c r="F24" s="141"/>
      <c r="G24" s="210"/>
    </row>
    <row r="25" spans="1:7" ht="13.8">
      <c r="A25" s="61"/>
      <c r="B25" s="18"/>
      <c r="C25" s="56"/>
      <c r="D25" s="145"/>
      <c r="E25" s="57"/>
      <c r="F25" s="43"/>
      <c r="G25" s="57"/>
    </row>
    <row r="26" spans="1:7" ht="13.8">
      <c r="A26" s="74"/>
      <c r="B26" s="33"/>
      <c r="C26" s="56"/>
      <c r="D26" s="145"/>
      <c r="E26" s="57"/>
      <c r="F26" s="43"/>
      <c r="G26" s="57"/>
    </row>
    <row r="27" spans="1:7" ht="13.8">
      <c r="A27" s="74"/>
      <c r="B27" s="33"/>
      <c r="C27" s="56"/>
      <c r="D27" s="145"/>
      <c r="E27" s="57"/>
      <c r="F27" s="43"/>
      <c r="G27" s="57"/>
    </row>
    <row r="28" spans="1:7" ht="13.8">
      <c r="A28" s="74"/>
      <c r="B28" s="33"/>
      <c r="C28" s="141"/>
      <c r="D28" s="156"/>
      <c r="E28" s="141"/>
      <c r="F28" s="141"/>
      <c r="G28" s="28"/>
    </row>
    <row r="29" spans="1:7" ht="13.8">
      <c r="A29" s="61"/>
      <c r="B29" s="18"/>
      <c r="C29" s="56"/>
      <c r="D29" s="145"/>
      <c r="E29" s="57"/>
      <c r="F29" s="43"/>
      <c r="G29" s="57"/>
    </row>
    <row r="30" spans="1:7" ht="13.8">
      <c r="A30" s="80"/>
      <c r="B30" s="81"/>
      <c r="C30" s="51"/>
      <c r="D30" s="154"/>
      <c r="E30" s="51"/>
      <c r="F30" s="51"/>
      <c r="G30" s="52"/>
    </row>
    <row r="31" spans="1:7" ht="13.8">
      <c r="A31" s="74"/>
      <c r="B31" s="33"/>
      <c r="C31" s="141"/>
      <c r="D31" s="156"/>
      <c r="E31" s="141"/>
      <c r="F31" s="141"/>
      <c r="G31" s="28"/>
    </row>
    <row r="32" spans="1:7" ht="13.8">
      <c r="A32" s="74"/>
      <c r="B32" s="33"/>
      <c r="C32" s="141"/>
      <c r="D32" s="156"/>
      <c r="E32" s="141"/>
      <c r="F32" s="141"/>
      <c r="G32" s="28"/>
    </row>
    <row r="33" spans="1:7" ht="13.8">
      <c r="A33" s="74"/>
      <c r="B33" s="33"/>
      <c r="C33" s="141"/>
      <c r="D33" s="156"/>
      <c r="E33" s="141"/>
      <c r="F33" s="141"/>
      <c r="G33" s="28"/>
    </row>
    <row r="34" spans="1:7" ht="13.8">
      <c r="A34" s="74"/>
      <c r="B34" s="33"/>
      <c r="C34" s="56"/>
      <c r="D34" s="145"/>
      <c r="E34" s="57"/>
      <c r="F34" s="43"/>
      <c r="G34" s="57"/>
    </row>
    <row r="35" spans="1:7" ht="13.8">
      <c r="A35" s="80"/>
      <c r="B35" s="81"/>
      <c r="C35" s="51"/>
      <c r="D35" s="154"/>
      <c r="E35" s="51"/>
      <c r="F35" s="51"/>
      <c r="G35" s="52"/>
    </row>
    <row r="36" spans="1:7" ht="13.8">
      <c r="A36" s="83"/>
      <c r="B36" s="50"/>
      <c r="C36" s="51"/>
      <c r="D36" s="154"/>
      <c r="E36" s="51"/>
      <c r="F36" s="51"/>
      <c r="G36" s="52"/>
    </row>
    <row r="37" spans="1:7" ht="13.8">
      <c r="A37" s="74"/>
      <c r="B37" s="33"/>
      <c r="C37" s="141"/>
      <c r="D37" s="156"/>
      <c r="E37" s="141"/>
      <c r="F37" s="141"/>
      <c r="G37" s="28"/>
    </row>
    <row r="38" spans="1:7" ht="13.8">
      <c r="A38" s="74"/>
      <c r="B38" s="33"/>
      <c r="C38" s="141"/>
      <c r="D38" s="156"/>
      <c r="E38" s="141"/>
      <c r="F38" s="141"/>
      <c r="G38" s="28"/>
    </row>
    <row r="39" spans="1:7" ht="13.8">
      <c r="A39" s="83"/>
      <c r="B39" s="50"/>
      <c r="C39" s="51"/>
      <c r="D39" s="154"/>
      <c r="E39" s="51"/>
      <c r="F39" s="51"/>
      <c r="G39" s="52"/>
    </row>
  </sheetData>
  <mergeCells count="1">
    <mergeCell ref="C3:E3"/>
  </mergeCells>
  <conditionalFormatting sqref="G3:G12">
    <cfRule type="cellIs" dxfId="23" priority="31" stopIfTrue="1" operator="equal">
      <formula>0</formula>
    </cfRule>
  </conditionalFormatting>
  <conditionalFormatting sqref="G14">
    <cfRule type="cellIs" dxfId="22" priority="30" stopIfTrue="1" operator="equal">
      <formula>0</formula>
    </cfRule>
  </conditionalFormatting>
  <conditionalFormatting sqref="G17:G39">
    <cfRule type="cellIs" dxfId="21" priority="34" stopIfTrue="1" operator="equal">
      <formula>0</formula>
    </cfRule>
  </conditionalFormatting>
  <pageMargins left="0.70866141732283472" right="0.70866141732283472" top="0.74803149606299213" bottom="0.74803149606299213" header="0.31496062992125984" footer="0.31496062992125984"/>
  <pageSetup paperSize="9" fitToHeight="0" orientation="portrait" r:id="rId1"/>
  <headerFooter>
    <oddHeader>&amp;L&amp;"-,Italic"&amp;9ARHINGTRADE d.o.o.
Gajeva 47, Zagreb&amp;C&amp;"-,Italic"&amp;9Zgrada 3 - Građevinsko-obrtnički
radovi&amp;R&amp;"-,Italic"&amp;9RCK Tehnička škola Sisak,
Lađarska 28A, Sisak</oddHead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21"/>
  </sheetPr>
  <dimension ref="A1:C787"/>
  <sheetViews>
    <sheetView view="pageBreakPreview" zoomScaleNormal="90" zoomScaleSheetLayoutView="70" zoomScalePageLayoutView="99" workbookViewId="0">
      <selection activeCell="A5" sqref="A5"/>
    </sheetView>
  </sheetViews>
  <sheetFormatPr defaultColWidth="9.5546875" defaultRowHeight="13.8"/>
  <cols>
    <col min="1" max="1" width="85.5546875" style="15" customWidth="1"/>
    <col min="2" max="2" width="6" style="15" customWidth="1"/>
    <col min="3" max="16384" width="9.5546875" style="15"/>
  </cols>
  <sheetData>
    <row r="1" spans="1:3" s="186" customFormat="1">
      <c r="A1" s="198"/>
      <c r="B1" s="89"/>
      <c r="C1" s="185"/>
    </row>
    <row r="2" spans="1:3" s="186" customFormat="1">
      <c r="A2" s="197" t="s">
        <v>6</v>
      </c>
      <c r="B2" s="90"/>
      <c r="C2" s="185"/>
    </row>
    <row r="3" spans="1:3" s="186" customFormat="1" ht="16.95" customHeight="1">
      <c r="A3" s="91" t="s">
        <v>7</v>
      </c>
      <c r="B3" s="90"/>
      <c r="C3" s="185"/>
    </row>
    <row r="4" spans="1:3" s="186" customFormat="1" ht="82.5" customHeight="1">
      <c r="A4" s="91" t="s">
        <v>840</v>
      </c>
      <c r="B4" s="90"/>
      <c r="C4" s="185"/>
    </row>
    <row r="5" spans="1:3" s="186" customFormat="1" ht="169.95" customHeight="1">
      <c r="A5" s="91" t="s">
        <v>836</v>
      </c>
      <c r="B5" s="90"/>
      <c r="C5" s="185"/>
    </row>
    <row r="6" spans="1:3">
      <c r="A6" s="92" t="s">
        <v>12</v>
      </c>
      <c r="B6" s="187"/>
      <c r="C6" s="88"/>
    </row>
    <row r="7" spans="1:3">
      <c r="A7" s="92" t="s">
        <v>13</v>
      </c>
      <c r="B7" s="188"/>
      <c r="C7" s="88"/>
    </row>
    <row r="8" spans="1:3" s="194" customFormat="1" ht="42" customHeight="1">
      <c r="A8" s="94" t="s">
        <v>38</v>
      </c>
      <c r="B8" s="95"/>
      <c r="C8" s="193"/>
    </row>
    <row r="9" spans="1:3" s="194" customFormat="1" ht="78" customHeight="1">
      <c r="A9" s="94" t="s">
        <v>1282</v>
      </c>
      <c r="B9" s="95"/>
      <c r="C9" s="193"/>
    </row>
    <row r="10" spans="1:3" s="194" customFormat="1" ht="66.75" customHeight="1">
      <c r="A10" s="94" t="s">
        <v>1280</v>
      </c>
      <c r="B10" s="95"/>
      <c r="C10" s="193"/>
    </row>
    <row r="11" spans="1:3" s="194" customFormat="1" ht="69" customHeight="1">
      <c r="A11" s="94" t="s">
        <v>397</v>
      </c>
      <c r="B11" s="95"/>
      <c r="C11" s="193"/>
    </row>
    <row r="12" spans="1:3" s="194" customFormat="1" ht="65.25" customHeight="1">
      <c r="A12" s="94" t="s">
        <v>39</v>
      </c>
      <c r="B12" s="95"/>
      <c r="C12" s="193"/>
    </row>
    <row r="13" spans="1:3" ht="144" customHeight="1">
      <c r="A13" s="94" t="s">
        <v>2647</v>
      </c>
      <c r="B13" s="189"/>
      <c r="C13" s="88"/>
    </row>
    <row r="14" spans="1:3" s="194" customFormat="1">
      <c r="A14" s="94" t="s">
        <v>36</v>
      </c>
      <c r="B14" s="95"/>
      <c r="C14" s="193"/>
    </row>
    <row r="15" spans="1:3" s="194" customFormat="1">
      <c r="A15" s="94" t="s">
        <v>14</v>
      </c>
      <c r="B15" s="95"/>
      <c r="C15" s="193"/>
    </row>
    <row r="16" spans="1:3" s="194" customFormat="1" ht="30" customHeight="1">
      <c r="A16" s="94" t="s">
        <v>15</v>
      </c>
      <c r="B16" s="95"/>
      <c r="C16" s="193"/>
    </row>
    <row r="17" spans="1:3" s="194" customFormat="1" ht="18.75" customHeight="1">
      <c r="A17" s="94" t="s">
        <v>16</v>
      </c>
      <c r="B17" s="95"/>
      <c r="C17" s="193"/>
    </row>
    <row r="18" spans="1:3" s="194" customFormat="1" ht="43.5" customHeight="1">
      <c r="A18" s="94" t="s">
        <v>17</v>
      </c>
      <c r="B18" s="95"/>
      <c r="C18" s="193"/>
    </row>
    <row r="19" spans="1:3" s="194" customFormat="1" ht="57" customHeight="1">
      <c r="A19" s="94" t="s">
        <v>328</v>
      </c>
      <c r="B19" s="95"/>
      <c r="C19" s="193"/>
    </row>
    <row r="20" spans="1:3" s="194" customFormat="1" ht="57.6" customHeight="1">
      <c r="A20" s="94" t="s">
        <v>492</v>
      </c>
      <c r="B20" s="95"/>
      <c r="C20" s="193"/>
    </row>
    <row r="21" spans="1:3" s="194" customFormat="1">
      <c r="A21" s="94" t="s">
        <v>18</v>
      </c>
      <c r="B21" s="95"/>
      <c r="C21" s="193"/>
    </row>
    <row r="22" spans="1:3" s="194" customFormat="1">
      <c r="A22" s="94" t="s">
        <v>37</v>
      </c>
      <c r="B22" s="95"/>
      <c r="C22" s="193"/>
    </row>
    <row r="23" spans="1:3" s="194" customFormat="1" ht="27.6">
      <c r="A23" s="94" t="s">
        <v>19</v>
      </c>
      <c r="B23" s="95"/>
      <c r="C23" s="193"/>
    </row>
    <row r="24" spans="1:3" s="194" customFormat="1" ht="28.5" customHeight="1">
      <c r="A24" s="94" t="s">
        <v>20</v>
      </c>
      <c r="B24" s="95"/>
      <c r="C24" s="193"/>
    </row>
    <row r="25" spans="1:3" s="194" customFormat="1" ht="15.75" customHeight="1">
      <c r="A25" s="94" t="s">
        <v>1281</v>
      </c>
      <c r="B25" s="95"/>
      <c r="C25" s="193"/>
    </row>
    <row r="26" spans="1:3" s="194" customFormat="1" ht="27.6">
      <c r="A26" s="94" t="s">
        <v>21</v>
      </c>
      <c r="B26" s="95"/>
      <c r="C26" s="193"/>
    </row>
    <row r="27" spans="1:3" s="194" customFormat="1" ht="128.4" customHeight="1">
      <c r="A27" s="94" t="s">
        <v>59</v>
      </c>
      <c r="B27" s="95"/>
      <c r="C27" s="193"/>
    </row>
    <row r="28" spans="1:3" s="194" customFormat="1" ht="88.2" customHeight="1">
      <c r="A28" s="94" t="s">
        <v>40</v>
      </c>
      <c r="B28" s="95"/>
      <c r="C28" s="193"/>
    </row>
    <row r="29" spans="1:3" s="194" customFormat="1" ht="51" customHeight="1">
      <c r="A29" s="94" t="s">
        <v>41</v>
      </c>
      <c r="B29" s="95"/>
      <c r="C29" s="193"/>
    </row>
    <row r="30" spans="1:3" s="194" customFormat="1" ht="114.75" customHeight="1">
      <c r="A30" s="94" t="s">
        <v>22</v>
      </c>
      <c r="B30" s="95"/>
      <c r="C30" s="193"/>
    </row>
    <row r="31" spans="1:3" s="194" customFormat="1" ht="87" customHeight="1">
      <c r="A31" s="94" t="s">
        <v>42</v>
      </c>
      <c r="B31" s="95"/>
      <c r="C31" s="193"/>
    </row>
    <row r="32" spans="1:3" s="194" customFormat="1" ht="39" customHeight="1">
      <c r="A32" s="94" t="s">
        <v>23</v>
      </c>
      <c r="B32" s="95"/>
      <c r="C32" s="193"/>
    </row>
    <row r="33" spans="1:3" s="194" customFormat="1" ht="90.75" customHeight="1">
      <c r="A33" s="94" t="s">
        <v>329</v>
      </c>
      <c r="B33" s="95"/>
      <c r="C33" s="193"/>
    </row>
    <row r="34" spans="1:3" s="194" customFormat="1" ht="117" customHeight="1">
      <c r="A34" s="94" t="s">
        <v>349</v>
      </c>
      <c r="B34" s="95"/>
      <c r="C34" s="193"/>
    </row>
    <row r="35" spans="1:3" s="194" customFormat="1" ht="144" customHeight="1">
      <c r="A35" s="94" t="s">
        <v>24</v>
      </c>
      <c r="B35" s="95"/>
      <c r="C35" s="193"/>
    </row>
    <row r="36" spans="1:3" s="194" customFormat="1" ht="41.4">
      <c r="A36" s="94" t="s">
        <v>330</v>
      </c>
      <c r="B36" s="95"/>
      <c r="C36" s="193"/>
    </row>
    <row r="37" spans="1:3" s="194" customFormat="1" ht="27.6">
      <c r="A37" s="94" t="s">
        <v>25</v>
      </c>
      <c r="B37" s="95"/>
      <c r="C37" s="193"/>
    </row>
    <row r="38" spans="1:3" s="194" customFormat="1" ht="67.5" customHeight="1">
      <c r="A38" s="94" t="s">
        <v>26</v>
      </c>
      <c r="B38" s="95"/>
      <c r="C38" s="193"/>
    </row>
    <row r="39" spans="1:3" s="194" customFormat="1" ht="129" customHeight="1">
      <c r="A39" s="94" t="s">
        <v>27</v>
      </c>
      <c r="B39" s="95"/>
      <c r="C39" s="193"/>
    </row>
    <row r="40" spans="1:3" s="194" customFormat="1" ht="78" customHeight="1">
      <c r="A40" s="94" t="s">
        <v>43</v>
      </c>
      <c r="B40" s="95"/>
      <c r="C40" s="193"/>
    </row>
    <row r="41" spans="1:3" ht="142.5" customHeight="1">
      <c r="A41" s="94" t="s">
        <v>331</v>
      </c>
      <c r="B41" s="189"/>
      <c r="C41" s="88"/>
    </row>
    <row r="42" spans="1:3" ht="133.19999999999999" customHeight="1">
      <c r="A42" s="94" t="s">
        <v>28</v>
      </c>
      <c r="B42" s="189"/>
      <c r="C42" s="88"/>
    </row>
    <row r="43" spans="1:3" ht="128.4" customHeight="1">
      <c r="A43" s="94" t="s">
        <v>332</v>
      </c>
      <c r="B43" s="189"/>
      <c r="C43" s="88"/>
    </row>
    <row r="44" spans="1:3" ht="130.5" customHeight="1">
      <c r="A44" s="94" t="s">
        <v>350</v>
      </c>
      <c r="B44" s="189"/>
      <c r="C44" s="88"/>
    </row>
    <row r="45" spans="1:3" ht="53.25" customHeight="1">
      <c r="A45" s="94" t="s">
        <v>785</v>
      </c>
      <c r="B45" s="189"/>
      <c r="C45" s="88"/>
    </row>
    <row r="46" spans="1:3" s="194" customFormat="1" ht="145.5" customHeight="1">
      <c r="A46" s="94" t="s">
        <v>44</v>
      </c>
      <c r="B46" s="95"/>
      <c r="C46" s="193"/>
    </row>
    <row r="47" spans="1:3" s="194" customFormat="1">
      <c r="A47" s="92" t="s">
        <v>29</v>
      </c>
      <c r="B47" s="93"/>
      <c r="C47" s="193"/>
    </row>
    <row r="48" spans="1:3" s="194" customFormat="1" ht="27.6">
      <c r="A48" s="94" t="s">
        <v>45</v>
      </c>
      <c r="B48" s="95"/>
      <c r="C48" s="193"/>
    </row>
    <row r="49" spans="1:3" s="194" customFormat="1" ht="138.75" customHeight="1">
      <c r="A49" s="94" t="s">
        <v>333</v>
      </c>
      <c r="B49" s="95"/>
      <c r="C49" s="193"/>
    </row>
    <row r="50" spans="1:3" s="194" customFormat="1" ht="41.4">
      <c r="A50" s="94" t="s">
        <v>30</v>
      </c>
      <c r="B50" s="95"/>
      <c r="C50" s="193"/>
    </row>
    <row r="51" spans="1:3" s="194" customFormat="1" ht="39.75" customHeight="1">
      <c r="A51" s="94" t="s">
        <v>31</v>
      </c>
      <c r="B51" s="95"/>
      <c r="C51" s="193"/>
    </row>
    <row r="52" spans="1:3" s="194" customFormat="1" ht="41.25" customHeight="1">
      <c r="A52" s="94" t="s">
        <v>32</v>
      </c>
      <c r="B52" s="95"/>
      <c r="C52" s="193"/>
    </row>
    <row r="53" spans="1:3" s="194" customFormat="1" ht="42" customHeight="1">
      <c r="A53" s="94" t="s">
        <v>33</v>
      </c>
      <c r="B53" s="95"/>
      <c r="C53" s="193"/>
    </row>
    <row r="54" spans="1:3" s="194" customFormat="1" ht="27.6">
      <c r="A54" s="94" t="s">
        <v>60</v>
      </c>
      <c r="B54" s="95"/>
      <c r="C54" s="193"/>
    </row>
    <row r="55" spans="1:3" s="194" customFormat="1" ht="27.6">
      <c r="A55" s="94" t="s">
        <v>34</v>
      </c>
      <c r="B55" s="95"/>
      <c r="C55" s="193"/>
    </row>
    <row r="56" spans="1:3" s="194" customFormat="1" ht="66.75" customHeight="1">
      <c r="A56" s="94" t="s">
        <v>35</v>
      </c>
      <c r="B56" s="95"/>
      <c r="C56" s="193"/>
    </row>
    <row r="57" spans="1:3" s="194" customFormat="1" ht="27.6">
      <c r="A57" s="94" t="s">
        <v>351</v>
      </c>
      <c r="B57" s="95"/>
      <c r="C57" s="193"/>
    </row>
    <row r="58" spans="1:3" s="194" customFormat="1">
      <c r="A58" s="96" t="s">
        <v>352</v>
      </c>
      <c r="B58" s="97"/>
      <c r="C58" s="193"/>
    </row>
    <row r="59" spans="1:3" s="194" customFormat="1">
      <c r="A59" s="96" t="s">
        <v>753</v>
      </c>
      <c r="B59" s="98"/>
      <c r="C59" s="193"/>
    </row>
    <row r="60" spans="1:3" s="200" customFormat="1" ht="126.6" customHeight="1">
      <c r="A60" s="99" t="s">
        <v>1</v>
      </c>
      <c r="B60" s="100"/>
      <c r="C60" s="199"/>
    </row>
    <row r="61" spans="1:3" s="200" customFormat="1" ht="88.2" customHeight="1">
      <c r="A61" s="99" t="s">
        <v>2</v>
      </c>
      <c r="B61" s="100"/>
      <c r="C61" s="199"/>
    </row>
    <row r="62" spans="1:3" s="200" customFormat="1" ht="86.4" customHeight="1">
      <c r="A62" s="99" t="s">
        <v>357</v>
      </c>
      <c r="B62" s="100"/>
      <c r="C62" s="199"/>
    </row>
    <row r="63" spans="1:3" s="200" customFormat="1" ht="218.25" customHeight="1">
      <c r="A63" s="99" t="s">
        <v>669</v>
      </c>
      <c r="B63" s="100"/>
      <c r="C63" s="199"/>
    </row>
    <row r="64" spans="1:3" s="194" customFormat="1">
      <c r="A64" s="201" t="s">
        <v>783</v>
      </c>
      <c r="B64" s="98"/>
      <c r="C64" s="193"/>
    </row>
    <row r="65" spans="1:3" s="194" customFormat="1" ht="102" customHeight="1">
      <c r="A65" s="101" t="s">
        <v>334</v>
      </c>
      <c r="B65" s="102"/>
      <c r="C65" s="193"/>
    </row>
    <row r="66" spans="1:3" s="194" customFormat="1" ht="87" customHeight="1">
      <c r="A66" s="103" t="s">
        <v>353</v>
      </c>
      <c r="B66" s="104"/>
      <c r="C66" s="193"/>
    </row>
    <row r="67" spans="1:3" s="194" customFormat="1">
      <c r="A67" s="105" t="s">
        <v>61</v>
      </c>
      <c r="B67" s="106"/>
      <c r="C67" s="193"/>
    </row>
    <row r="68" spans="1:3" s="194" customFormat="1" ht="90.75" customHeight="1">
      <c r="A68" s="101" t="s">
        <v>354</v>
      </c>
      <c r="B68" s="102"/>
      <c r="C68" s="193"/>
    </row>
    <row r="69" spans="1:3" s="194" customFormat="1" ht="78.75" customHeight="1">
      <c r="A69" s="101" t="s">
        <v>355</v>
      </c>
      <c r="B69" s="102"/>
      <c r="C69" s="193"/>
    </row>
    <row r="70" spans="1:3" s="194" customFormat="1" ht="27.6">
      <c r="A70" s="101" t="s">
        <v>62</v>
      </c>
      <c r="B70" s="102"/>
      <c r="C70" s="193"/>
    </row>
    <row r="71" spans="1:3" s="194" customFormat="1">
      <c r="A71" s="105" t="s">
        <v>63</v>
      </c>
      <c r="B71" s="106"/>
      <c r="C71" s="193"/>
    </row>
    <row r="72" spans="1:3" s="194" customFormat="1" ht="27.6">
      <c r="A72" s="101" t="s">
        <v>64</v>
      </c>
      <c r="B72" s="102"/>
      <c r="C72" s="193"/>
    </row>
    <row r="73" spans="1:3" s="194" customFormat="1">
      <c r="A73" s="101" t="s">
        <v>65</v>
      </c>
      <c r="B73" s="102"/>
      <c r="C73" s="193"/>
    </row>
    <row r="74" spans="1:3" s="194" customFormat="1">
      <c r="A74" s="105" t="s">
        <v>66</v>
      </c>
      <c r="B74" s="106"/>
      <c r="C74" s="193"/>
    </row>
    <row r="75" spans="1:3" s="194" customFormat="1" ht="61.2" customHeight="1">
      <c r="A75" s="101" t="s">
        <v>67</v>
      </c>
      <c r="B75" s="102"/>
      <c r="C75" s="193"/>
    </row>
    <row r="76" spans="1:3" s="194" customFormat="1">
      <c r="A76" s="107" t="s">
        <v>68</v>
      </c>
      <c r="B76" s="104"/>
      <c r="C76" s="193"/>
    </row>
    <row r="77" spans="1:3" s="194" customFormat="1" ht="51" customHeight="1">
      <c r="A77" s="103" t="s">
        <v>69</v>
      </c>
      <c r="B77" s="104"/>
      <c r="C77" s="193"/>
    </row>
    <row r="78" spans="1:3" s="194" customFormat="1" ht="27.6">
      <c r="A78" s="103" t="s">
        <v>335</v>
      </c>
      <c r="B78" s="104"/>
      <c r="C78" s="193"/>
    </row>
    <row r="79" spans="1:3" s="194" customFormat="1" ht="27.6">
      <c r="A79" s="103" t="s">
        <v>70</v>
      </c>
      <c r="B79" s="104"/>
      <c r="C79" s="193"/>
    </row>
    <row r="80" spans="1:3" s="194" customFormat="1" ht="78.75" customHeight="1">
      <c r="A80" s="103" t="s">
        <v>71</v>
      </c>
      <c r="B80" s="104"/>
      <c r="C80" s="193"/>
    </row>
    <row r="81" spans="1:3" s="194" customFormat="1" ht="40.5" customHeight="1">
      <c r="A81" s="103" t="s">
        <v>72</v>
      </c>
      <c r="B81" s="104"/>
      <c r="C81" s="193"/>
    </row>
    <row r="82" spans="1:3" s="194" customFormat="1" ht="27.6">
      <c r="A82" s="103" t="s">
        <v>73</v>
      </c>
      <c r="B82" s="104"/>
      <c r="C82" s="193"/>
    </row>
    <row r="83" spans="1:3" s="194" customFormat="1">
      <c r="A83" s="103" t="s">
        <v>74</v>
      </c>
      <c r="B83" s="104"/>
      <c r="C83" s="193"/>
    </row>
    <row r="84" spans="1:3" s="194" customFormat="1" ht="27.6">
      <c r="A84" s="103" t="s">
        <v>75</v>
      </c>
      <c r="B84" s="104"/>
      <c r="C84" s="193"/>
    </row>
    <row r="85" spans="1:3" s="194" customFormat="1">
      <c r="A85" s="103" t="s">
        <v>76</v>
      </c>
      <c r="B85" s="104"/>
      <c r="C85" s="193"/>
    </row>
    <row r="86" spans="1:3" s="194" customFormat="1" ht="41.4">
      <c r="A86" s="103" t="s">
        <v>77</v>
      </c>
      <c r="B86" s="104"/>
      <c r="C86" s="193"/>
    </row>
    <row r="87" spans="1:3" s="194" customFormat="1" ht="41.4">
      <c r="A87" s="103" t="s">
        <v>356</v>
      </c>
      <c r="B87" s="104"/>
      <c r="C87" s="193"/>
    </row>
    <row r="88" spans="1:3" s="194" customFormat="1" ht="55.2">
      <c r="A88" s="108" t="s">
        <v>1285</v>
      </c>
      <c r="B88" s="109"/>
      <c r="C88" s="193"/>
    </row>
    <row r="89" spans="1:3" s="194" customFormat="1" ht="27.6">
      <c r="A89" s="103" t="s">
        <v>78</v>
      </c>
      <c r="B89" s="104"/>
      <c r="C89" s="193"/>
    </row>
    <row r="90" spans="1:3" s="194" customFormat="1">
      <c r="A90" s="110" t="s">
        <v>79</v>
      </c>
      <c r="B90" s="111"/>
      <c r="C90" s="193"/>
    </row>
    <row r="91" spans="1:3" s="194" customFormat="1" ht="41.4">
      <c r="A91" s="103" t="s">
        <v>80</v>
      </c>
      <c r="B91" s="104"/>
      <c r="C91" s="193"/>
    </row>
    <row r="92" spans="1:3" s="194" customFormat="1" ht="27.6">
      <c r="A92" s="103" t="s">
        <v>81</v>
      </c>
      <c r="B92" s="104"/>
      <c r="C92" s="193"/>
    </row>
    <row r="93" spans="1:3" s="194" customFormat="1">
      <c r="A93" s="103" t="s">
        <v>82</v>
      </c>
      <c r="B93" s="104"/>
      <c r="C93" s="193"/>
    </row>
    <row r="94" spans="1:3" s="194" customFormat="1" ht="60.6" customHeight="1">
      <c r="A94" s="103" t="s">
        <v>336</v>
      </c>
      <c r="B94" s="104"/>
      <c r="C94" s="193"/>
    </row>
    <row r="95" spans="1:3" s="194" customFormat="1">
      <c r="A95" s="96" t="s">
        <v>754</v>
      </c>
      <c r="B95" s="98"/>
      <c r="C95" s="193"/>
    </row>
    <row r="96" spans="1:3" s="194" customFormat="1" ht="74.400000000000006" customHeight="1">
      <c r="A96" s="99" t="s">
        <v>366</v>
      </c>
      <c r="B96" s="100"/>
      <c r="C96" s="193"/>
    </row>
    <row r="97" spans="1:3" s="194" customFormat="1">
      <c r="A97" s="96" t="s">
        <v>755</v>
      </c>
      <c r="B97" s="98"/>
      <c r="C97" s="193"/>
    </row>
    <row r="98" spans="1:3" s="194" customFormat="1" ht="230.25" customHeight="1">
      <c r="A98" s="94" t="s">
        <v>786</v>
      </c>
      <c r="B98" s="95"/>
      <c r="C98" s="193"/>
    </row>
    <row r="99" spans="1:3" s="194" customFormat="1">
      <c r="A99" s="96" t="s">
        <v>757</v>
      </c>
      <c r="B99" s="98"/>
      <c r="C99" s="193"/>
    </row>
    <row r="100" spans="1:3" s="194" customFormat="1" ht="276">
      <c r="A100" s="99" t="s">
        <v>756</v>
      </c>
      <c r="B100" s="100"/>
      <c r="C100" s="193"/>
    </row>
    <row r="101" spans="1:3" s="194" customFormat="1" ht="183.6" customHeight="1">
      <c r="A101" s="99" t="s">
        <v>83</v>
      </c>
      <c r="B101" s="100"/>
      <c r="C101" s="193"/>
    </row>
    <row r="102" spans="1:3" s="194" customFormat="1">
      <c r="A102" s="202" t="s">
        <v>764</v>
      </c>
      <c r="B102" s="98"/>
      <c r="C102" s="193"/>
    </row>
    <row r="103" spans="1:3" s="200" customFormat="1" ht="242.25" customHeight="1">
      <c r="A103" s="99" t="s">
        <v>337</v>
      </c>
      <c r="B103" s="100"/>
      <c r="C103" s="199"/>
    </row>
    <row r="104" spans="1:3" s="194" customFormat="1" ht="41.4">
      <c r="A104" s="94" t="s">
        <v>367</v>
      </c>
      <c r="B104" s="95"/>
      <c r="C104" s="193"/>
    </row>
    <row r="105" spans="1:3" s="194" customFormat="1" ht="27.6">
      <c r="A105" s="101" t="s">
        <v>670</v>
      </c>
      <c r="B105" s="102"/>
      <c r="C105" s="193"/>
    </row>
    <row r="106" spans="1:3" s="194" customFormat="1" ht="40.5" customHeight="1">
      <c r="A106" s="101" t="s">
        <v>84</v>
      </c>
      <c r="B106" s="102"/>
      <c r="C106" s="193"/>
    </row>
    <row r="107" spans="1:3" s="194" customFormat="1">
      <c r="A107" s="101" t="s">
        <v>368</v>
      </c>
      <c r="B107" s="102"/>
      <c r="C107" s="193"/>
    </row>
    <row r="108" spans="1:3" s="194" customFormat="1" ht="27.6">
      <c r="A108" s="101" t="s">
        <v>671</v>
      </c>
      <c r="B108" s="102"/>
      <c r="C108" s="193"/>
    </row>
    <row r="109" spans="1:3" s="194" customFormat="1" ht="27.6">
      <c r="A109" s="101" t="s">
        <v>672</v>
      </c>
      <c r="B109" s="102"/>
      <c r="C109" s="193"/>
    </row>
    <row r="110" spans="1:3" s="194" customFormat="1" ht="27.6">
      <c r="A110" s="101" t="s">
        <v>673</v>
      </c>
      <c r="B110" s="102"/>
      <c r="C110" s="193"/>
    </row>
    <row r="111" spans="1:3" s="194" customFormat="1" ht="27.6">
      <c r="A111" s="101" t="s">
        <v>674</v>
      </c>
      <c r="B111" s="102"/>
      <c r="C111" s="193"/>
    </row>
    <row r="112" spans="1:3" s="194" customFormat="1" ht="27.6">
      <c r="A112" s="101" t="s">
        <v>675</v>
      </c>
      <c r="B112" s="102"/>
      <c r="C112" s="193"/>
    </row>
    <row r="113" spans="1:3" s="194" customFormat="1" ht="27.6">
      <c r="A113" s="101" t="s">
        <v>676</v>
      </c>
      <c r="B113" s="102"/>
      <c r="C113" s="193"/>
    </row>
    <row r="114" spans="1:3" s="194" customFormat="1" ht="27.6">
      <c r="A114" s="101" t="s">
        <v>677</v>
      </c>
      <c r="B114" s="102"/>
      <c r="C114" s="193"/>
    </row>
    <row r="115" spans="1:3" s="194" customFormat="1" ht="25.5" customHeight="1">
      <c r="A115" s="101" t="s">
        <v>678</v>
      </c>
      <c r="B115" s="102"/>
      <c r="C115" s="193"/>
    </row>
    <row r="116" spans="1:3" s="194" customFormat="1" ht="27.75" customHeight="1">
      <c r="A116" s="101" t="s">
        <v>679</v>
      </c>
      <c r="B116" s="102"/>
      <c r="C116" s="193"/>
    </row>
    <row r="117" spans="1:3" s="194" customFormat="1" ht="31.5" customHeight="1">
      <c r="A117" s="101" t="s">
        <v>680</v>
      </c>
      <c r="B117" s="102"/>
      <c r="C117" s="193"/>
    </row>
    <row r="118" spans="1:3" s="194" customFormat="1" ht="36" customHeight="1">
      <c r="A118" s="101" t="s">
        <v>681</v>
      </c>
      <c r="B118" s="102"/>
      <c r="C118" s="193"/>
    </row>
    <row r="119" spans="1:3" s="194" customFormat="1" ht="27.6">
      <c r="A119" s="101" t="s">
        <v>682</v>
      </c>
      <c r="B119" s="102"/>
      <c r="C119" s="193"/>
    </row>
    <row r="120" spans="1:3" s="194" customFormat="1" ht="27.6">
      <c r="A120" s="101" t="s">
        <v>683</v>
      </c>
      <c r="B120" s="102"/>
      <c r="C120" s="193"/>
    </row>
    <row r="121" spans="1:3" s="194" customFormat="1" ht="27.6">
      <c r="A121" s="101" t="s">
        <v>684</v>
      </c>
      <c r="B121" s="102"/>
      <c r="C121" s="193"/>
    </row>
    <row r="122" spans="1:3" s="194" customFormat="1">
      <c r="A122" s="101" t="s">
        <v>685</v>
      </c>
      <c r="B122" s="102"/>
      <c r="C122" s="193"/>
    </row>
    <row r="123" spans="1:3" s="194" customFormat="1">
      <c r="A123" s="101" t="s">
        <v>686</v>
      </c>
      <c r="B123" s="102"/>
      <c r="C123" s="193"/>
    </row>
    <row r="124" spans="1:3" s="194" customFormat="1" ht="27.6">
      <c r="A124" s="101" t="s">
        <v>687</v>
      </c>
      <c r="B124" s="102"/>
      <c r="C124" s="193"/>
    </row>
    <row r="125" spans="1:3" s="194" customFormat="1">
      <c r="A125" s="101" t="s">
        <v>688</v>
      </c>
      <c r="B125" s="102"/>
      <c r="C125" s="193"/>
    </row>
    <row r="126" spans="1:3" s="194" customFormat="1" ht="27.6">
      <c r="A126" s="101" t="s">
        <v>689</v>
      </c>
      <c r="B126" s="102"/>
      <c r="C126" s="193"/>
    </row>
    <row r="127" spans="1:3" s="194" customFormat="1">
      <c r="A127" s="101" t="s">
        <v>690</v>
      </c>
      <c r="B127" s="102"/>
      <c r="C127" s="193"/>
    </row>
    <row r="128" spans="1:3" s="194" customFormat="1" ht="27.6">
      <c r="A128" s="101" t="s">
        <v>691</v>
      </c>
      <c r="B128" s="102"/>
      <c r="C128" s="193"/>
    </row>
    <row r="129" spans="1:3" s="194" customFormat="1" ht="27.6">
      <c r="A129" s="112" t="s">
        <v>787</v>
      </c>
      <c r="B129" s="102"/>
      <c r="C129" s="193"/>
    </row>
    <row r="130" spans="1:3" s="194" customFormat="1">
      <c r="A130" s="101" t="s">
        <v>765</v>
      </c>
      <c r="B130" s="102"/>
      <c r="C130" s="193"/>
    </row>
    <row r="131" spans="1:3" s="194" customFormat="1">
      <c r="A131" s="101" t="s">
        <v>766</v>
      </c>
      <c r="B131" s="102"/>
      <c r="C131" s="193"/>
    </row>
    <row r="132" spans="1:3" s="194" customFormat="1">
      <c r="A132" s="101" t="s">
        <v>767</v>
      </c>
      <c r="B132" s="102"/>
      <c r="C132" s="193"/>
    </row>
    <row r="133" spans="1:3" s="194" customFormat="1" ht="19.2" customHeight="1">
      <c r="A133" s="101" t="s">
        <v>768</v>
      </c>
      <c r="B133" s="102"/>
      <c r="C133" s="193"/>
    </row>
    <row r="134" spans="1:3" s="194" customFormat="1" ht="63" customHeight="1">
      <c r="A134" s="101" t="s">
        <v>85</v>
      </c>
      <c r="B134" s="102"/>
      <c r="C134" s="193"/>
    </row>
    <row r="135" spans="1:3" s="194" customFormat="1" ht="27.6">
      <c r="A135" s="101" t="s">
        <v>338</v>
      </c>
      <c r="B135" s="102"/>
      <c r="C135" s="193"/>
    </row>
    <row r="136" spans="1:3" s="194" customFormat="1">
      <c r="A136" s="101" t="s">
        <v>86</v>
      </c>
      <c r="B136" s="102"/>
      <c r="C136" s="193"/>
    </row>
    <row r="137" spans="1:3" s="194" customFormat="1" ht="46.95" customHeight="1">
      <c r="A137" s="101" t="s">
        <v>369</v>
      </c>
      <c r="B137" s="102"/>
      <c r="C137" s="193"/>
    </row>
    <row r="138" spans="1:3" s="194" customFormat="1" ht="27.6">
      <c r="A138" s="101" t="s">
        <v>87</v>
      </c>
      <c r="B138" s="102"/>
      <c r="C138" s="193"/>
    </row>
    <row r="139" spans="1:3" s="194" customFormat="1" ht="27.6">
      <c r="A139" s="101" t="s">
        <v>339</v>
      </c>
      <c r="B139" s="102"/>
      <c r="C139" s="193"/>
    </row>
    <row r="140" spans="1:3" s="194" customFormat="1" ht="63" customHeight="1">
      <c r="A140" s="101" t="s">
        <v>88</v>
      </c>
      <c r="B140" s="102"/>
      <c r="C140" s="193"/>
    </row>
    <row r="141" spans="1:3" s="194" customFormat="1">
      <c r="A141" s="101" t="s">
        <v>89</v>
      </c>
      <c r="B141" s="102"/>
      <c r="C141" s="193"/>
    </row>
    <row r="142" spans="1:3" s="194" customFormat="1" ht="27.6">
      <c r="A142" s="101" t="s">
        <v>90</v>
      </c>
      <c r="B142" s="102"/>
      <c r="C142" s="193"/>
    </row>
    <row r="143" spans="1:3" s="194" customFormat="1" ht="51" customHeight="1">
      <c r="A143" s="101" t="s">
        <v>91</v>
      </c>
      <c r="B143" s="102"/>
      <c r="C143" s="193"/>
    </row>
    <row r="144" spans="1:3" s="194" customFormat="1" ht="30" customHeight="1">
      <c r="A144" s="101" t="s">
        <v>92</v>
      </c>
      <c r="B144" s="102"/>
      <c r="C144" s="193"/>
    </row>
    <row r="145" spans="1:3" s="194" customFormat="1">
      <c r="A145" s="101" t="s">
        <v>93</v>
      </c>
      <c r="B145" s="102"/>
      <c r="C145" s="193"/>
    </row>
    <row r="146" spans="1:3" s="194" customFormat="1" ht="41.4">
      <c r="A146" s="101" t="s">
        <v>370</v>
      </c>
      <c r="B146" s="102"/>
      <c r="C146" s="193"/>
    </row>
    <row r="147" spans="1:3" s="194" customFormat="1" ht="39.75" customHeight="1">
      <c r="A147" s="101" t="s">
        <v>94</v>
      </c>
      <c r="B147" s="102"/>
      <c r="C147" s="193"/>
    </row>
    <row r="148" spans="1:3" s="194" customFormat="1" ht="27.6">
      <c r="A148" s="101" t="s">
        <v>692</v>
      </c>
      <c r="B148" s="102"/>
      <c r="C148" s="193"/>
    </row>
    <row r="149" spans="1:3" s="194" customFormat="1" ht="26.25" customHeight="1">
      <c r="A149" s="101" t="s">
        <v>693</v>
      </c>
      <c r="B149" s="102"/>
      <c r="C149" s="193"/>
    </row>
    <row r="150" spans="1:3" s="194" customFormat="1" ht="27.6">
      <c r="A150" s="101" t="s">
        <v>694</v>
      </c>
      <c r="B150" s="102"/>
      <c r="C150" s="193"/>
    </row>
    <row r="151" spans="1:3" s="194" customFormat="1" ht="27.6">
      <c r="A151" s="101" t="s">
        <v>695</v>
      </c>
      <c r="B151" s="102"/>
      <c r="C151" s="193"/>
    </row>
    <row r="152" spans="1:3" s="194" customFormat="1">
      <c r="A152" s="112" t="s">
        <v>95</v>
      </c>
      <c r="B152" s="102"/>
      <c r="C152" s="193"/>
    </row>
    <row r="153" spans="1:3" s="194" customFormat="1">
      <c r="A153" s="101" t="s">
        <v>96</v>
      </c>
      <c r="B153" s="102"/>
      <c r="C153" s="193"/>
    </row>
    <row r="154" spans="1:3" s="194" customFormat="1">
      <c r="A154" s="113" t="s">
        <v>696</v>
      </c>
      <c r="B154" s="114"/>
      <c r="C154" s="193"/>
    </row>
    <row r="155" spans="1:3" s="194" customFormat="1">
      <c r="A155" s="113" t="s">
        <v>697</v>
      </c>
      <c r="B155" s="114"/>
      <c r="C155" s="193"/>
    </row>
    <row r="156" spans="1:3" s="194" customFormat="1">
      <c r="A156" s="113" t="s">
        <v>698</v>
      </c>
      <c r="B156" s="114"/>
      <c r="C156" s="193"/>
    </row>
    <row r="157" spans="1:3" s="194" customFormat="1">
      <c r="A157" s="101" t="s">
        <v>97</v>
      </c>
      <c r="B157" s="102"/>
      <c r="C157" s="193"/>
    </row>
    <row r="158" spans="1:3" s="194" customFormat="1" ht="41.4">
      <c r="A158" s="101" t="s">
        <v>340</v>
      </c>
      <c r="B158" s="102"/>
      <c r="C158" s="193"/>
    </row>
    <row r="159" spans="1:3" s="194" customFormat="1">
      <c r="A159" s="112" t="s">
        <v>98</v>
      </c>
      <c r="B159" s="102"/>
      <c r="C159" s="193"/>
    </row>
    <row r="160" spans="1:3" s="194" customFormat="1">
      <c r="A160" s="113" t="s">
        <v>751</v>
      </c>
      <c r="B160" s="114"/>
      <c r="C160" s="193"/>
    </row>
    <row r="161" spans="1:3" s="194" customFormat="1">
      <c r="A161" s="113" t="s">
        <v>752</v>
      </c>
      <c r="B161" s="114"/>
      <c r="C161" s="193"/>
    </row>
    <row r="162" spans="1:3" s="194" customFormat="1">
      <c r="A162" s="112" t="s">
        <v>99</v>
      </c>
      <c r="B162" s="102"/>
      <c r="C162" s="193"/>
    </row>
    <row r="163" spans="1:3" s="194" customFormat="1" ht="27.6">
      <c r="A163" s="101" t="s">
        <v>100</v>
      </c>
      <c r="B163" s="102"/>
      <c r="C163" s="193"/>
    </row>
    <row r="164" spans="1:3" s="194" customFormat="1">
      <c r="A164" s="101" t="s">
        <v>101</v>
      </c>
      <c r="B164" s="102"/>
      <c r="C164" s="193"/>
    </row>
    <row r="165" spans="1:3" s="194" customFormat="1" ht="27.6">
      <c r="A165" s="101" t="s">
        <v>102</v>
      </c>
      <c r="B165" s="102"/>
      <c r="C165" s="193"/>
    </row>
    <row r="166" spans="1:3" s="194" customFormat="1" ht="27.6">
      <c r="A166" s="101" t="s">
        <v>103</v>
      </c>
      <c r="B166" s="102"/>
      <c r="C166" s="193"/>
    </row>
    <row r="167" spans="1:3" s="194" customFormat="1">
      <c r="A167" s="112" t="s">
        <v>104</v>
      </c>
      <c r="B167" s="102"/>
      <c r="C167" s="193"/>
    </row>
    <row r="168" spans="1:3" s="194" customFormat="1">
      <c r="A168" s="101" t="s">
        <v>105</v>
      </c>
      <c r="B168" s="102"/>
      <c r="C168" s="193"/>
    </row>
    <row r="169" spans="1:3" s="194" customFormat="1" ht="27.6">
      <c r="A169" s="101" t="s">
        <v>106</v>
      </c>
      <c r="B169" s="102"/>
      <c r="C169" s="193"/>
    </row>
    <row r="170" spans="1:3" s="194" customFormat="1" ht="39.75" customHeight="1">
      <c r="A170" s="101" t="s">
        <v>107</v>
      </c>
      <c r="B170" s="102"/>
      <c r="C170" s="193"/>
    </row>
    <row r="171" spans="1:3" s="194" customFormat="1" ht="19.2" customHeight="1">
      <c r="A171" s="101" t="s">
        <v>108</v>
      </c>
      <c r="B171" s="102"/>
      <c r="C171" s="193"/>
    </row>
    <row r="172" spans="1:3" s="194" customFormat="1">
      <c r="A172" s="101" t="s">
        <v>109</v>
      </c>
      <c r="B172" s="102"/>
      <c r="C172" s="193"/>
    </row>
    <row r="173" spans="1:3" s="194" customFormat="1" ht="27.6">
      <c r="A173" s="101" t="s">
        <v>110</v>
      </c>
      <c r="B173" s="102"/>
      <c r="C173" s="193"/>
    </row>
    <row r="174" spans="1:3" s="194" customFormat="1">
      <c r="A174" s="101" t="s">
        <v>699</v>
      </c>
      <c r="B174" s="102"/>
      <c r="C174" s="193"/>
    </row>
    <row r="175" spans="1:3" s="194" customFormat="1" ht="27.6">
      <c r="A175" s="101" t="s">
        <v>111</v>
      </c>
      <c r="B175" s="102"/>
      <c r="C175" s="193"/>
    </row>
    <row r="176" spans="1:3" s="194" customFormat="1">
      <c r="A176" s="101" t="s">
        <v>112</v>
      </c>
      <c r="B176" s="102"/>
      <c r="C176" s="193"/>
    </row>
    <row r="177" spans="1:3" s="194" customFormat="1">
      <c r="A177" s="101" t="s">
        <v>113</v>
      </c>
      <c r="B177" s="102"/>
      <c r="C177" s="193"/>
    </row>
    <row r="178" spans="1:3" s="194" customFormat="1">
      <c r="A178" s="101" t="s">
        <v>114</v>
      </c>
      <c r="B178" s="102"/>
      <c r="C178" s="193"/>
    </row>
    <row r="179" spans="1:3" s="194" customFormat="1" ht="53.25" customHeight="1">
      <c r="A179" s="101" t="s">
        <v>115</v>
      </c>
      <c r="B179" s="102"/>
      <c r="C179" s="193"/>
    </row>
    <row r="180" spans="1:3" s="194" customFormat="1" ht="74.25" customHeight="1">
      <c r="A180" s="101" t="s">
        <v>116</v>
      </c>
      <c r="B180" s="102"/>
      <c r="C180" s="193"/>
    </row>
    <row r="181" spans="1:3" s="194" customFormat="1">
      <c r="A181" s="101" t="s">
        <v>700</v>
      </c>
      <c r="B181" s="102"/>
      <c r="C181" s="193"/>
    </row>
    <row r="182" spans="1:3" s="194" customFormat="1" ht="41.4">
      <c r="A182" s="101" t="s">
        <v>341</v>
      </c>
      <c r="B182" s="102"/>
      <c r="C182" s="193"/>
    </row>
    <row r="183" spans="1:3" s="194" customFormat="1">
      <c r="A183" s="101" t="s">
        <v>117</v>
      </c>
      <c r="B183" s="102"/>
      <c r="C183" s="193"/>
    </row>
    <row r="184" spans="1:3" s="194" customFormat="1">
      <c r="A184" s="101" t="s">
        <v>118</v>
      </c>
      <c r="B184" s="102"/>
      <c r="C184" s="193"/>
    </row>
    <row r="185" spans="1:3" s="194" customFormat="1">
      <c r="A185" s="101" t="s">
        <v>119</v>
      </c>
      <c r="B185" s="102"/>
      <c r="C185" s="193"/>
    </row>
    <row r="186" spans="1:3" s="194" customFormat="1">
      <c r="A186" s="101" t="s">
        <v>120</v>
      </c>
      <c r="B186" s="102"/>
      <c r="C186" s="193"/>
    </row>
    <row r="187" spans="1:3" s="194" customFormat="1">
      <c r="A187" s="101" t="s">
        <v>121</v>
      </c>
      <c r="B187" s="102"/>
      <c r="C187" s="193"/>
    </row>
    <row r="188" spans="1:3" s="194" customFormat="1">
      <c r="A188" s="101" t="s">
        <v>122</v>
      </c>
      <c r="B188" s="102"/>
      <c r="C188" s="193"/>
    </row>
    <row r="189" spans="1:3" s="194" customFormat="1" ht="51.75" customHeight="1">
      <c r="A189" s="101" t="s">
        <v>342</v>
      </c>
      <c r="B189" s="102"/>
      <c r="C189" s="193"/>
    </row>
    <row r="190" spans="1:3" s="194" customFormat="1" ht="36.75" customHeight="1">
      <c r="A190" s="101" t="s">
        <v>123</v>
      </c>
      <c r="B190" s="102"/>
      <c r="C190" s="193"/>
    </row>
    <row r="191" spans="1:3" s="194" customFormat="1">
      <c r="A191" s="101" t="s">
        <v>124</v>
      </c>
      <c r="B191" s="102"/>
      <c r="C191" s="193"/>
    </row>
    <row r="192" spans="1:3" s="194" customFormat="1">
      <c r="A192" s="101" t="s">
        <v>125</v>
      </c>
      <c r="B192" s="102"/>
      <c r="C192" s="193"/>
    </row>
    <row r="193" spans="1:3" s="194" customFormat="1" ht="37.5" customHeight="1">
      <c r="A193" s="101" t="s">
        <v>371</v>
      </c>
      <c r="B193" s="102"/>
      <c r="C193" s="193"/>
    </row>
    <row r="194" spans="1:3" s="194" customFormat="1">
      <c r="A194" s="112" t="s">
        <v>126</v>
      </c>
      <c r="B194" s="102"/>
      <c r="C194" s="193"/>
    </row>
    <row r="195" spans="1:3" s="194" customFormat="1">
      <c r="A195" s="101" t="s">
        <v>127</v>
      </c>
      <c r="B195" s="102"/>
      <c r="C195" s="193"/>
    </row>
    <row r="196" spans="1:3" s="194" customFormat="1">
      <c r="A196" s="101" t="s">
        <v>128</v>
      </c>
      <c r="B196" s="102"/>
      <c r="C196" s="193"/>
    </row>
    <row r="197" spans="1:3" s="194" customFormat="1">
      <c r="A197" s="101" t="s">
        <v>129</v>
      </c>
      <c r="B197" s="102"/>
      <c r="C197" s="193"/>
    </row>
    <row r="198" spans="1:3" s="194" customFormat="1">
      <c r="A198" s="101" t="s">
        <v>130</v>
      </c>
      <c r="B198" s="102"/>
      <c r="C198" s="193"/>
    </row>
    <row r="199" spans="1:3" s="194" customFormat="1">
      <c r="A199" s="112" t="s">
        <v>131</v>
      </c>
      <c r="B199" s="102"/>
      <c r="C199" s="193"/>
    </row>
    <row r="200" spans="1:3" s="194" customFormat="1" ht="75" customHeight="1">
      <c r="A200" s="101" t="s">
        <v>132</v>
      </c>
      <c r="B200" s="102"/>
      <c r="C200" s="193"/>
    </row>
    <row r="201" spans="1:3" s="194" customFormat="1" ht="41.4">
      <c r="A201" s="101" t="s">
        <v>837</v>
      </c>
      <c r="B201" s="102"/>
      <c r="C201" s="193"/>
    </row>
    <row r="202" spans="1:3" s="194" customFormat="1">
      <c r="A202" s="112" t="s">
        <v>133</v>
      </c>
      <c r="B202" s="102"/>
      <c r="C202" s="193"/>
    </row>
    <row r="203" spans="1:3" s="194" customFormat="1" ht="39" customHeight="1">
      <c r="A203" s="101" t="s">
        <v>134</v>
      </c>
      <c r="B203" s="102"/>
      <c r="C203" s="193"/>
    </row>
    <row r="204" spans="1:3" s="194" customFormat="1">
      <c r="A204" s="112" t="s">
        <v>135</v>
      </c>
      <c r="B204" s="102"/>
      <c r="C204" s="193"/>
    </row>
    <row r="205" spans="1:3" s="194" customFormat="1" ht="63" customHeight="1">
      <c r="A205" s="101" t="s">
        <v>136</v>
      </c>
      <c r="B205" s="102"/>
      <c r="C205" s="193"/>
    </row>
    <row r="206" spans="1:3" s="194" customFormat="1" ht="27.6">
      <c r="A206" s="101" t="s">
        <v>137</v>
      </c>
      <c r="B206" s="102"/>
      <c r="C206" s="193"/>
    </row>
    <row r="207" spans="1:3" s="194" customFormat="1">
      <c r="A207" s="112" t="s">
        <v>138</v>
      </c>
      <c r="B207" s="102"/>
      <c r="C207" s="193"/>
    </row>
    <row r="208" spans="1:3" s="194" customFormat="1" ht="86.25" customHeight="1">
      <c r="A208" s="101" t="s">
        <v>343</v>
      </c>
      <c r="B208" s="102"/>
      <c r="C208" s="193"/>
    </row>
    <row r="209" spans="1:3" s="194" customFormat="1">
      <c r="A209" s="101" t="s">
        <v>139</v>
      </c>
      <c r="B209" s="102"/>
      <c r="C209" s="193"/>
    </row>
    <row r="210" spans="1:3" s="194" customFormat="1" ht="41.4">
      <c r="A210" s="101" t="s">
        <v>823</v>
      </c>
      <c r="B210" s="102"/>
      <c r="C210" s="193"/>
    </row>
    <row r="211" spans="1:3" s="194" customFormat="1" ht="27.6">
      <c r="A211" s="101" t="s">
        <v>701</v>
      </c>
      <c r="B211" s="102"/>
      <c r="C211" s="193"/>
    </row>
    <row r="212" spans="1:3" s="194" customFormat="1" ht="27.6">
      <c r="A212" s="101" t="s">
        <v>140</v>
      </c>
      <c r="B212" s="102"/>
      <c r="C212" s="193"/>
    </row>
    <row r="213" spans="1:3" s="194" customFormat="1" ht="50.25" customHeight="1">
      <c r="A213" s="101" t="s">
        <v>702</v>
      </c>
      <c r="B213" s="102"/>
      <c r="C213" s="193"/>
    </row>
    <row r="214" spans="1:3" s="194" customFormat="1">
      <c r="A214" s="201" t="s">
        <v>769</v>
      </c>
      <c r="B214" s="98"/>
      <c r="C214" s="193"/>
    </row>
    <row r="215" spans="1:3" s="194" customFormat="1" ht="400.2">
      <c r="A215" s="99" t="s">
        <v>703</v>
      </c>
      <c r="B215" s="100"/>
      <c r="C215" s="193"/>
    </row>
    <row r="216" spans="1:3" s="200" customFormat="1" ht="144.6" customHeight="1">
      <c r="A216" s="99" t="s">
        <v>358</v>
      </c>
      <c r="B216" s="100"/>
      <c r="C216" s="199"/>
    </row>
    <row r="217" spans="1:3" s="194" customFormat="1" ht="41.4">
      <c r="A217" s="101" t="s">
        <v>704</v>
      </c>
      <c r="B217" s="102"/>
      <c r="C217" s="193"/>
    </row>
    <row r="218" spans="1:3" s="194" customFormat="1">
      <c r="A218" s="112" t="s">
        <v>142</v>
      </c>
      <c r="B218" s="102"/>
      <c r="C218" s="193"/>
    </row>
    <row r="219" spans="1:3" s="194" customFormat="1" ht="41.4">
      <c r="A219" s="101" t="s">
        <v>143</v>
      </c>
      <c r="B219" s="102"/>
      <c r="C219" s="193"/>
    </row>
    <row r="220" spans="1:3" s="194" customFormat="1" ht="39" customHeight="1">
      <c r="A220" s="101" t="s">
        <v>144</v>
      </c>
      <c r="B220" s="102"/>
      <c r="C220" s="193"/>
    </row>
    <row r="221" spans="1:3" s="194" customFormat="1" ht="89.25" customHeight="1">
      <c r="A221" s="101" t="s">
        <v>344</v>
      </c>
      <c r="B221" s="102"/>
      <c r="C221" s="193"/>
    </row>
    <row r="222" spans="1:3" s="194" customFormat="1" ht="27.6">
      <c r="A222" s="101" t="s">
        <v>145</v>
      </c>
      <c r="B222" s="102"/>
      <c r="C222" s="193"/>
    </row>
    <row r="223" spans="1:3" s="194" customFormat="1">
      <c r="A223" s="92" t="s">
        <v>146</v>
      </c>
      <c r="B223" s="95"/>
      <c r="C223" s="193"/>
    </row>
    <row r="224" spans="1:3" s="194" customFormat="1" ht="21.6" customHeight="1">
      <c r="A224" s="94" t="s">
        <v>705</v>
      </c>
      <c r="B224" s="95"/>
      <c r="C224" s="193"/>
    </row>
    <row r="225" spans="1:3" s="194" customFormat="1">
      <c r="A225" s="94" t="s">
        <v>706</v>
      </c>
      <c r="B225" s="95"/>
      <c r="C225" s="193"/>
    </row>
    <row r="226" spans="1:3" s="194" customFormat="1">
      <c r="A226" s="94" t="s">
        <v>707</v>
      </c>
      <c r="B226" s="95"/>
      <c r="C226" s="193"/>
    </row>
    <row r="227" spans="1:3" s="194" customFormat="1" ht="24.75" customHeight="1">
      <c r="A227" s="101" t="s">
        <v>708</v>
      </c>
      <c r="B227" s="102"/>
      <c r="C227" s="193"/>
    </row>
    <row r="228" spans="1:3" s="194" customFormat="1">
      <c r="A228" s="92" t="s">
        <v>147</v>
      </c>
      <c r="B228" s="95"/>
      <c r="C228" s="193"/>
    </row>
    <row r="229" spans="1:3" s="194" customFormat="1">
      <c r="A229" s="94" t="s">
        <v>709</v>
      </c>
      <c r="B229" s="95"/>
      <c r="C229" s="193"/>
    </row>
    <row r="230" spans="1:3" s="194" customFormat="1">
      <c r="A230" s="101" t="s">
        <v>710</v>
      </c>
      <c r="B230" s="102"/>
      <c r="C230" s="193"/>
    </row>
    <row r="231" spans="1:3" s="194" customFormat="1">
      <c r="A231" s="112" t="s">
        <v>66</v>
      </c>
      <c r="B231" s="102"/>
      <c r="C231" s="193"/>
    </row>
    <row r="232" spans="1:3" s="194" customFormat="1" ht="77.25" customHeight="1">
      <c r="A232" s="101" t="s">
        <v>372</v>
      </c>
      <c r="B232" s="102"/>
      <c r="C232" s="193"/>
    </row>
    <row r="233" spans="1:3" s="194" customFormat="1">
      <c r="A233" s="201" t="s">
        <v>770</v>
      </c>
      <c r="B233" s="98"/>
      <c r="C233" s="193"/>
    </row>
    <row r="234" spans="1:3" s="200" customFormat="1" ht="180.6" customHeight="1">
      <c r="A234" s="99" t="s">
        <v>373</v>
      </c>
      <c r="B234" s="100"/>
      <c r="C234" s="199"/>
    </row>
    <row r="235" spans="1:3" s="194" customFormat="1" ht="55.2">
      <c r="A235" s="101" t="s">
        <v>374</v>
      </c>
      <c r="B235" s="102"/>
      <c r="C235" s="193"/>
    </row>
    <row r="236" spans="1:3" s="194" customFormat="1" ht="50.25" customHeight="1">
      <c r="A236" s="101" t="s">
        <v>345</v>
      </c>
      <c r="B236" s="102"/>
      <c r="C236" s="193"/>
    </row>
    <row r="237" spans="1:3" s="194" customFormat="1" ht="27.6">
      <c r="A237" s="101" t="s">
        <v>148</v>
      </c>
      <c r="B237" s="102"/>
      <c r="C237" s="193"/>
    </row>
    <row r="238" spans="1:3" s="194" customFormat="1" ht="41.4">
      <c r="A238" s="101" t="s">
        <v>375</v>
      </c>
      <c r="B238" s="102"/>
      <c r="C238" s="193"/>
    </row>
    <row r="239" spans="1:3" s="194" customFormat="1">
      <c r="A239" s="101" t="s">
        <v>149</v>
      </c>
      <c r="B239" s="115"/>
      <c r="C239" s="193"/>
    </row>
    <row r="240" spans="1:3" s="194" customFormat="1">
      <c r="A240" s="101" t="s">
        <v>711</v>
      </c>
      <c r="B240" s="115"/>
      <c r="C240" s="193"/>
    </row>
    <row r="241" spans="1:3" s="194" customFormat="1">
      <c r="A241" s="101" t="s">
        <v>712</v>
      </c>
      <c r="B241" s="115"/>
      <c r="C241" s="193"/>
    </row>
    <row r="242" spans="1:3" s="194" customFormat="1">
      <c r="A242" s="101" t="s">
        <v>713</v>
      </c>
      <c r="B242" s="115"/>
      <c r="C242" s="193"/>
    </row>
    <row r="243" spans="1:3" s="194" customFormat="1" ht="16.95" customHeight="1">
      <c r="A243" s="101" t="s">
        <v>824</v>
      </c>
      <c r="B243" s="115"/>
      <c r="C243" s="193"/>
    </row>
    <row r="244" spans="1:3" s="194" customFormat="1" ht="27.75" customHeight="1">
      <c r="A244" s="101" t="s">
        <v>714</v>
      </c>
      <c r="B244" s="115"/>
      <c r="C244" s="193"/>
    </row>
    <row r="245" spans="1:3" s="194" customFormat="1">
      <c r="A245" s="101" t="s">
        <v>715</v>
      </c>
      <c r="B245" s="115"/>
      <c r="C245" s="193"/>
    </row>
    <row r="246" spans="1:3" s="194" customFormat="1" ht="26.25" customHeight="1">
      <c r="A246" s="101" t="s">
        <v>716</v>
      </c>
      <c r="B246" s="115"/>
      <c r="C246" s="193"/>
    </row>
    <row r="247" spans="1:3" s="194" customFormat="1" ht="23.25" customHeight="1">
      <c r="A247" s="101" t="s">
        <v>717</v>
      </c>
      <c r="B247" s="115"/>
      <c r="C247" s="193"/>
    </row>
    <row r="248" spans="1:3" s="194" customFormat="1">
      <c r="A248" s="101" t="s">
        <v>718</v>
      </c>
      <c r="B248" s="115"/>
      <c r="C248" s="193"/>
    </row>
    <row r="249" spans="1:3" s="194" customFormat="1" ht="27" customHeight="1">
      <c r="A249" s="101" t="s">
        <v>395</v>
      </c>
      <c r="B249" s="115"/>
      <c r="C249" s="193"/>
    </row>
    <row r="250" spans="1:3" s="194" customFormat="1">
      <c r="A250" s="116" t="s">
        <v>66</v>
      </c>
      <c r="B250" s="115"/>
      <c r="C250" s="193"/>
    </row>
    <row r="251" spans="1:3" s="194" customFormat="1" ht="69">
      <c r="A251" s="101" t="s">
        <v>150</v>
      </c>
      <c r="B251" s="102"/>
      <c r="C251" s="193"/>
    </row>
    <row r="252" spans="1:3" s="194" customFormat="1">
      <c r="A252" s="112" t="s">
        <v>151</v>
      </c>
      <c r="B252" s="102"/>
      <c r="C252" s="193"/>
    </row>
    <row r="253" spans="1:3" s="194" customFormat="1" ht="41.4">
      <c r="A253" s="101" t="s">
        <v>359</v>
      </c>
      <c r="B253" s="102"/>
      <c r="C253" s="193"/>
    </row>
    <row r="254" spans="1:3" s="194" customFormat="1" ht="55.2">
      <c r="A254" s="101" t="s">
        <v>360</v>
      </c>
      <c r="B254" s="102"/>
      <c r="C254" s="193"/>
    </row>
    <row r="255" spans="1:3" s="194" customFormat="1" ht="89.4" customHeight="1">
      <c r="A255" s="101" t="s">
        <v>376</v>
      </c>
      <c r="B255" s="102"/>
      <c r="C255" s="193"/>
    </row>
    <row r="256" spans="1:3" s="194" customFormat="1" ht="55.2">
      <c r="A256" s="101" t="s">
        <v>152</v>
      </c>
      <c r="B256" s="102"/>
      <c r="C256" s="193"/>
    </row>
    <row r="257" spans="1:3" s="194" customFormat="1">
      <c r="A257" s="117" t="s">
        <v>203</v>
      </c>
      <c r="B257" s="115"/>
      <c r="C257" s="193"/>
    </row>
    <row r="258" spans="1:3" s="194" customFormat="1" ht="55.2">
      <c r="A258" s="101" t="s">
        <v>382</v>
      </c>
      <c r="B258" s="102"/>
      <c r="C258" s="193"/>
    </row>
    <row r="259" spans="1:3" s="194" customFormat="1">
      <c r="A259" s="117" t="s">
        <v>204</v>
      </c>
      <c r="B259" s="115"/>
      <c r="C259" s="193"/>
    </row>
    <row r="260" spans="1:3" s="194" customFormat="1" ht="27.6">
      <c r="A260" s="101" t="s">
        <v>205</v>
      </c>
      <c r="B260" s="102"/>
      <c r="C260" s="193"/>
    </row>
    <row r="261" spans="1:3" s="194" customFormat="1" ht="41.4">
      <c r="A261" s="101" t="s">
        <v>206</v>
      </c>
      <c r="B261" s="102"/>
      <c r="C261" s="193"/>
    </row>
    <row r="262" spans="1:3" s="194" customFormat="1">
      <c r="A262" s="116" t="s">
        <v>142</v>
      </c>
      <c r="B262" s="115"/>
      <c r="C262" s="193"/>
    </row>
    <row r="263" spans="1:3" s="194" customFormat="1" ht="15" customHeight="1">
      <c r="A263" s="117" t="s">
        <v>208</v>
      </c>
      <c r="B263" s="115"/>
      <c r="C263" s="193"/>
    </row>
    <row r="264" spans="1:3" s="194" customFormat="1" ht="39.75" customHeight="1">
      <c r="A264" s="101" t="s">
        <v>719</v>
      </c>
      <c r="B264" s="102"/>
      <c r="C264" s="193"/>
    </row>
    <row r="265" spans="1:3" s="194" customFormat="1" ht="27.6">
      <c r="A265" s="101" t="s">
        <v>720</v>
      </c>
      <c r="B265" s="102"/>
      <c r="C265" s="193"/>
    </row>
    <row r="266" spans="1:3" s="194" customFormat="1" ht="26.25" customHeight="1">
      <c r="A266" s="101" t="s">
        <v>825</v>
      </c>
      <c r="B266" s="102"/>
      <c r="C266" s="193"/>
    </row>
    <row r="267" spans="1:3" s="194" customFormat="1">
      <c r="A267" s="101" t="s">
        <v>721</v>
      </c>
      <c r="B267" s="102"/>
      <c r="C267" s="193"/>
    </row>
    <row r="268" spans="1:3" s="194" customFormat="1">
      <c r="A268" s="101" t="s">
        <v>722</v>
      </c>
      <c r="B268" s="102"/>
      <c r="C268" s="193"/>
    </row>
    <row r="269" spans="1:3" s="194" customFormat="1">
      <c r="A269" s="101" t="s">
        <v>723</v>
      </c>
      <c r="B269" s="102"/>
      <c r="C269" s="193"/>
    </row>
    <row r="270" spans="1:3" s="194" customFormat="1">
      <c r="A270" s="101" t="s">
        <v>724</v>
      </c>
      <c r="B270" s="102"/>
      <c r="C270" s="193"/>
    </row>
    <row r="271" spans="1:3" s="194" customFormat="1">
      <c r="A271" s="101" t="s">
        <v>725</v>
      </c>
      <c r="B271" s="102"/>
      <c r="C271" s="193"/>
    </row>
    <row r="272" spans="1:3" s="194" customFormat="1" ht="27.6">
      <c r="A272" s="101" t="s">
        <v>348</v>
      </c>
      <c r="B272" s="102"/>
      <c r="C272" s="193"/>
    </row>
    <row r="273" spans="1:3" s="194" customFormat="1">
      <c r="A273" s="101" t="s">
        <v>153</v>
      </c>
      <c r="B273" s="102"/>
      <c r="C273" s="193"/>
    </row>
    <row r="274" spans="1:3" s="194" customFormat="1">
      <c r="A274" s="113" t="s">
        <v>788</v>
      </c>
      <c r="B274" s="102"/>
      <c r="C274" s="193"/>
    </row>
    <row r="275" spans="1:3" s="194" customFormat="1">
      <c r="A275" s="113" t="s">
        <v>789</v>
      </c>
      <c r="B275" s="102"/>
      <c r="C275" s="193"/>
    </row>
    <row r="276" spans="1:3" s="194" customFormat="1">
      <c r="A276" s="101" t="s">
        <v>154</v>
      </c>
      <c r="B276" s="102"/>
      <c r="C276" s="193"/>
    </row>
    <row r="277" spans="1:3" s="194" customFormat="1">
      <c r="A277" s="101" t="s">
        <v>155</v>
      </c>
      <c r="B277" s="102"/>
      <c r="C277" s="193"/>
    </row>
    <row r="278" spans="1:3" s="194" customFormat="1">
      <c r="A278" s="101" t="s">
        <v>156</v>
      </c>
      <c r="B278" s="102"/>
      <c r="C278" s="193"/>
    </row>
    <row r="279" spans="1:3" s="194" customFormat="1">
      <c r="A279" s="101" t="s">
        <v>157</v>
      </c>
      <c r="B279" s="102"/>
      <c r="C279" s="193"/>
    </row>
    <row r="280" spans="1:3" s="194" customFormat="1">
      <c r="A280" s="101" t="s">
        <v>726</v>
      </c>
      <c r="B280" s="102"/>
      <c r="C280" s="193"/>
    </row>
    <row r="281" spans="1:3" s="194" customFormat="1">
      <c r="A281" s="101" t="s">
        <v>727</v>
      </c>
      <c r="B281" s="102"/>
      <c r="C281" s="193"/>
    </row>
    <row r="282" spans="1:3" s="194" customFormat="1">
      <c r="A282" s="101" t="s">
        <v>728</v>
      </c>
      <c r="B282" s="102"/>
      <c r="C282" s="193"/>
    </row>
    <row r="283" spans="1:3" s="194" customFormat="1" ht="25.5" customHeight="1">
      <c r="A283" s="101" t="s">
        <v>158</v>
      </c>
      <c r="B283" s="102"/>
      <c r="C283" s="193"/>
    </row>
    <row r="284" spans="1:3" s="194" customFormat="1" ht="41.4">
      <c r="A284" s="101" t="s">
        <v>159</v>
      </c>
      <c r="B284" s="102"/>
      <c r="C284" s="193"/>
    </row>
    <row r="285" spans="1:3" s="194" customFormat="1" ht="41.4">
      <c r="A285" s="101" t="s">
        <v>160</v>
      </c>
      <c r="B285" s="102"/>
      <c r="C285" s="193"/>
    </row>
    <row r="286" spans="1:3" s="194" customFormat="1" ht="51" customHeight="1">
      <c r="A286" s="101" t="s">
        <v>161</v>
      </c>
      <c r="B286" s="102"/>
      <c r="C286" s="193"/>
    </row>
    <row r="287" spans="1:3" s="194" customFormat="1" ht="27.6">
      <c r="A287" s="101" t="s">
        <v>162</v>
      </c>
      <c r="B287" s="118"/>
      <c r="C287" s="193"/>
    </row>
    <row r="288" spans="1:3" s="194" customFormat="1" ht="102" customHeight="1">
      <c r="A288" s="101" t="s">
        <v>163</v>
      </c>
      <c r="B288" s="102"/>
      <c r="C288" s="193"/>
    </row>
    <row r="289" spans="1:3" s="194" customFormat="1">
      <c r="A289" s="101" t="s">
        <v>164</v>
      </c>
      <c r="B289" s="102"/>
      <c r="C289" s="193"/>
    </row>
    <row r="290" spans="1:3" s="194" customFormat="1" ht="40.5" customHeight="1">
      <c r="A290" s="122" t="s">
        <v>1283</v>
      </c>
      <c r="B290" s="123"/>
      <c r="C290" s="193"/>
    </row>
    <row r="291" spans="1:3" s="194" customFormat="1" ht="53.25" customHeight="1">
      <c r="A291" s="101" t="s">
        <v>361</v>
      </c>
      <c r="B291" s="102"/>
      <c r="C291" s="193"/>
    </row>
    <row r="292" spans="1:3" s="194" customFormat="1" ht="63" customHeight="1">
      <c r="A292" s="101" t="s">
        <v>362</v>
      </c>
      <c r="B292" s="102"/>
      <c r="C292" s="193"/>
    </row>
    <row r="293" spans="1:3" s="194" customFormat="1" ht="74.400000000000006" customHeight="1">
      <c r="A293" s="101" t="s">
        <v>363</v>
      </c>
      <c r="B293" s="102"/>
      <c r="C293" s="193"/>
    </row>
    <row r="294" spans="1:3" s="194" customFormat="1" ht="81" customHeight="1">
      <c r="A294" s="101" t="s">
        <v>846</v>
      </c>
      <c r="B294" s="102"/>
      <c r="C294" s="193"/>
    </row>
    <row r="295" spans="1:3" s="194" customFormat="1" ht="51.75" customHeight="1">
      <c r="A295" s="101" t="s">
        <v>377</v>
      </c>
      <c r="B295" s="102"/>
      <c r="C295" s="193"/>
    </row>
    <row r="296" spans="1:3" s="194" customFormat="1" ht="41.4">
      <c r="A296" s="101" t="s">
        <v>378</v>
      </c>
      <c r="B296" s="102"/>
      <c r="C296" s="193"/>
    </row>
    <row r="297" spans="1:3" s="194" customFormat="1">
      <c r="A297" s="101" t="s">
        <v>165</v>
      </c>
      <c r="B297" s="102"/>
      <c r="C297" s="193"/>
    </row>
    <row r="298" spans="1:3" s="194" customFormat="1">
      <c r="A298" s="101" t="s">
        <v>166</v>
      </c>
      <c r="B298" s="102"/>
      <c r="C298" s="193"/>
    </row>
    <row r="299" spans="1:3" s="194" customFormat="1">
      <c r="A299" s="101" t="s">
        <v>168</v>
      </c>
      <c r="B299" s="102"/>
      <c r="C299" s="193"/>
    </row>
    <row r="300" spans="1:3" s="194" customFormat="1">
      <c r="A300" s="101" t="s">
        <v>169</v>
      </c>
      <c r="B300" s="102"/>
      <c r="C300" s="193"/>
    </row>
    <row r="301" spans="1:3" s="194" customFormat="1">
      <c r="A301" s="101" t="s">
        <v>170</v>
      </c>
      <c r="B301" s="102"/>
      <c r="C301" s="193"/>
    </row>
    <row r="302" spans="1:3" s="194" customFormat="1">
      <c r="A302" s="101" t="s">
        <v>171</v>
      </c>
      <c r="B302" s="102"/>
      <c r="C302" s="193"/>
    </row>
    <row r="303" spans="1:3" s="194" customFormat="1">
      <c r="A303" s="101" t="s">
        <v>172</v>
      </c>
      <c r="B303" s="102"/>
      <c r="C303" s="193"/>
    </row>
    <row r="304" spans="1:3" s="194" customFormat="1">
      <c r="A304" s="101" t="s">
        <v>173</v>
      </c>
      <c r="B304" s="102"/>
      <c r="C304" s="193"/>
    </row>
    <row r="305" spans="1:3" s="194" customFormat="1">
      <c r="A305" s="101" t="s">
        <v>174</v>
      </c>
      <c r="B305" s="102"/>
      <c r="C305" s="193"/>
    </row>
    <row r="306" spans="1:3" s="194" customFormat="1">
      <c r="A306" s="101" t="s">
        <v>175</v>
      </c>
      <c r="B306" s="102"/>
      <c r="C306" s="193"/>
    </row>
    <row r="307" spans="1:3" s="194" customFormat="1">
      <c r="A307" s="101" t="s">
        <v>176</v>
      </c>
      <c r="B307" s="102"/>
      <c r="C307" s="193"/>
    </row>
    <row r="308" spans="1:3" s="194" customFormat="1">
      <c r="A308" s="101" t="s">
        <v>177</v>
      </c>
      <c r="B308" s="102"/>
      <c r="C308" s="193"/>
    </row>
    <row r="309" spans="1:3" s="194" customFormat="1" ht="27.6">
      <c r="A309" s="101" t="s">
        <v>178</v>
      </c>
      <c r="B309" s="102"/>
      <c r="C309" s="193"/>
    </row>
    <row r="310" spans="1:3" s="194" customFormat="1" ht="85.95" customHeight="1">
      <c r="A310" s="101" t="s">
        <v>398</v>
      </c>
      <c r="B310" s="102"/>
      <c r="C310" s="193"/>
    </row>
    <row r="311" spans="1:3" s="194" customFormat="1" ht="51" customHeight="1">
      <c r="A311" s="101" t="s">
        <v>396</v>
      </c>
      <c r="B311" s="102"/>
      <c r="C311" s="193"/>
    </row>
    <row r="312" spans="1:3" s="194" customFormat="1" ht="41.4">
      <c r="A312" s="101" t="s">
        <v>179</v>
      </c>
      <c r="B312" s="102"/>
      <c r="C312" s="193"/>
    </row>
    <row r="313" spans="1:3" s="194" customFormat="1">
      <c r="A313" s="101" t="s">
        <v>165</v>
      </c>
      <c r="B313" s="102"/>
      <c r="C313" s="193"/>
    </row>
    <row r="314" spans="1:3" s="194" customFormat="1">
      <c r="A314" s="201" t="s">
        <v>771</v>
      </c>
      <c r="B314" s="98"/>
      <c r="C314" s="193"/>
    </row>
    <row r="315" spans="1:3" s="194" customFormat="1" ht="138.75" customHeight="1">
      <c r="A315" s="99" t="s">
        <v>729</v>
      </c>
      <c r="B315" s="100"/>
      <c r="C315" s="193"/>
    </row>
    <row r="316" spans="1:3" s="194" customFormat="1" ht="132" customHeight="1">
      <c r="A316" s="99" t="s">
        <v>181</v>
      </c>
      <c r="B316" s="100"/>
      <c r="C316" s="193"/>
    </row>
    <row r="317" spans="1:3" s="194" customFormat="1">
      <c r="A317" s="112" t="s">
        <v>182</v>
      </c>
      <c r="B317" s="102"/>
      <c r="C317" s="193"/>
    </row>
    <row r="318" spans="1:3" s="194" customFormat="1" ht="116.25" customHeight="1">
      <c r="A318" s="101" t="s">
        <v>826</v>
      </c>
      <c r="B318" s="102"/>
      <c r="C318" s="193"/>
    </row>
    <row r="319" spans="1:3" s="194" customFormat="1" ht="39" customHeight="1">
      <c r="A319" s="101" t="s">
        <v>183</v>
      </c>
      <c r="B319" s="102"/>
      <c r="C319" s="193"/>
    </row>
    <row r="320" spans="1:3" s="194" customFormat="1" ht="41.4">
      <c r="A320" s="101" t="s">
        <v>184</v>
      </c>
      <c r="B320" s="102"/>
      <c r="C320" s="193"/>
    </row>
    <row r="321" spans="1:3" s="194" customFormat="1" ht="41.4">
      <c r="A321" s="101" t="s">
        <v>185</v>
      </c>
      <c r="B321" s="102"/>
      <c r="C321" s="193"/>
    </row>
    <row r="322" spans="1:3" s="194" customFormat="1" ht="40.5" customHeight="1">
      <c r="A322" s="101" t="s">
        <v>380</v>
      </c>
      <c r="B322" s="102"/>
      <c r="C322" s="193"/>
    </row>
    <row r="323" spans="1:3" s="194" customFormat="1" ht="41.4">
      <c r="A323" s="101" t="s">
        <v>346</v>
      </c>
      <c r="B323" s="102"/>
      <c r="C323" s="193"/>
    </row>
    <row r="324" spans="1:3" s="194" customFormat="1" ht="65.25" customHeight="1">
      <c r="A324" s="101" t="s">
        <v>379</v>
      </c>
      <c r="B324" s="102"/>
      <c r="C324" s="193"/>
    </row>
    <row r="325" spans="1:3" s="194" customFormat="1" ht="55.2">
      <c r="A325" s="101" t="s">
        <v>186</v>
      </c>
      <c r="B325" s="102"/>
      <c r="C325" s="193"/>
    </row>
    <row r="326" spans="1:3" s="194" customFormat="1" ht="41.4">
      <c r="A326" s="94" t="s">
        <v>187</v>
      </c>
      <c r="B326" s="95"/>
      <c r="C326" s="193"/>
    </row>
    <row r="327" spans="1:3" s="194" customFormat="1" ht="38.25" customHeight="1">
      <c r="A327" s="94" t="s">
        <v>188</v>
      </c>
      <c r="B327" s="95"/>
      <c r="C327" s="193"/>
    </row>
    <row r="328" spans="1:3" s="194" customFormat="1" ht="63.75" customHeight="1">
      <c r="A328" s="94" t="s">
        <v>189</v>
      </c>
      <c r="B328" s="95"/>
      <c r="C328" s="193"/>
    </row>
    <row r="329" spans="1:3" s="194" customFormat="1" ht="43.5" customHeight="1">
      <c r="A329" s="94" t="s">
        <v>190</v>
      </c>
      <c r="B329" s="95"/>
      <c r="C329" s="193"/>
    </row>
    <row r="330" spans="1:3" s="194" customFormat="1" ht="41.25" customHeight="1">
      <c r="A330" s="94" t="s">
        <v>730</v>
      </c>
      <c r="B330" s="95"/>
      <c r="C330" s="193"/>
    </row>
    <row r="331" spans="1:3" s="194" customFormat="1" ht="102.75" customHeight="1">
      <c r="A331" s="94" t="s">
        <v>191</v>
      </c>
      <c r="B331" s="95"/>
      <c r="C331" s="193"/>
    </row>
    <row r="332" spans="1:3" s="194" customFormat="1" ht="27.6">
      <c r="A332" s="94" t="s">
        <v>192</v>
      </c>
      <c r="B332" s="95"/>
      <c r="C332" s="193"/>
    </row>
    <row r="333" spans="1:3" s="194" customFormat="1" ht="27.6">
      <c r="A333" s="94" t="s">
        <v>381</v>
      </c>
      <c r="B333" s="95"/>
      <c r="C333" s="193"/>
    </row>
    <row r="334" spans="1:3" s="194" customFormat="1" ht="27.6">
      <c r="A334" s="94" t="s">
        <v>193</v>
      </c>
      <c r="B334" s="95"/>
      <c r="C334" s="193"/>
    </row>
    <row r="335" spans="1:3" s="194" customFormat="1" ht="41.4">
      <c r="A335" s="101" t="s">
        <v>194</v>
      </c>
      <c r="B335" s="102"/>
      <c r="C335" s="193"/>
    </row>
    <row r="336" spans="1:3" s="194" customFormat="1">
      <c r="A336" s="101" t="s">
        <v>195</v>
      </c>
      <c r="B336" s="102"/>
      <c r="C336" s="193"/>
    </row>
    <row r="337" spans="1:3" s="194" customFormat="1" ht="55.2">
      <c r="A337" s="101" t="s">
        <v>196</v>
      </c>
      <c r="B337" s="102"/>
      <c r="C337" s="193"/>
    </row>
    <row r="338" spans="1:3" s="194" customFormat="1">
      <c r="A338" s="94" t="s">
        <v>197</v>
      </c>
      <c r="B338" s="95"/>
      <c r="C338" s="193"/>
    </row>
    <row r="339" spans="1:3" s="194" customFormat="1" ht="74.25" customHeight="1">
      <c r="A339" s="94" t="s">
        <v>731</v>
      </c>
      <c r="B339" s="95"/>
      <c r="C339" s="193"/>
    </row>
    <row r="340" spans="1:3" s="194" customFormat="1" ht="37.5" customHeight="1">
      <c r="A340" s="101" t="s">
        <v>732</v>
      </c>
      <c r="B340" s="102"/>
      <c r="C340" s="193"/>
    </row>
    <row r="341" spans="1:3" s="194" customFormat="1" ht="42" customHeight="1">
      <c r="A341" s="94" t="s">
        <v>733</v>
      </c>
      <c r="B341" s="95"/>
      <c r="C341" s="193"/>
    </row>
    <row r="342" spans="1:3" s="194" customFormat="1" ht="27.6">
      <c r="A342" s="101" t="s">
        <v>734</v>
      </c>
      <c r="B342" s="102"/>
      <c r="C342" s="193"/>
    </row>
    <row r="343" spans="1:3" s="194" customFormat="1">
      <c r="A343" s="112" t="s">
        <v>198</v>
      </c>
      <c r="B343" s="102"/>
      <c r="C343" s="193"/>
    </row>
    <row r="344" spans="1:3" s="194" customFormat="1" ht="27.6">
      <c r="A344" s="101" t="s">
        <v>199</v>
      </c>
      <c r="B344" s="102"/>
      <c r="C344" s="193"/>
    </row>
    <row r="345" spans="1:3" s="194" customFormat="1" ht="27.6">
      <c r="A345" s="101" t="s">
        <v>200</v>
      </c>
      <c r="B345" s="102"/>
      <c r="C345" s="193"/>
    </row>
    <row r="346" spans="1:3" s="194" customFormat="1">
      <c r="A346" s="112" t="s">
        <v>66</v>
      </c>
      <c r="B346" s="102"/>
      <c r="C346" s="193"/>
    </row>
    <row r="347" spans="1:3" s="194" customFormat="1" ht="27.6">
      <c r="A347" s="94" t="s">
        <v>383</v>
      </c>
      <c r="B347" s="95"/>
      <c r="C347" s="193"/>
    </row>
    <row r="348" spans="1:3" s="194" customFormat="1" ht="76.5" customHeight="1">
      <c r="A348" s="101" t="s">
        <v>201</v>
      </c>
      <c r="B348" s="102"/>
      <c r="C348" s="193"/>
    </row>
    <row r="349" spans="1:3" s="194" customFormat="1" ht="63" customHeight="1">
      <c r="A349" s="101" t="s">
        <v>202</v>
      </c>
      <c r="B349" s="102"/>
      <c r="C349" s="193"/>
    </row>
    <row r="350" spans="1:3" s="194" customFormat="1">
      <c r="A350" s="107" t="s">
        <v>394</v>
      </c>
      <c r="B350" s="104"/>
      <c r="C350" s="193"/>
    </row>
    <row r="351" spans="1:3" s="194" customFormat="1" ht="52.5" customHeight="1">
      <c r="A351" s="103" t="s">
        <v>399</v>
      </c>
      <c r="B351" s="104"/>
      <c r="C351" s="193"/>
    </row>
    <row r="352" spans="1:3" s="194" customFormat="1" ht="41.4">
      <c r="A352" s="103" t="s">
        <v>735</v>
      </c>
      <c r="B352" s="104"/>
      <c r="C352" s="193"/>
    </row>
    <row r="353" spans="1:3" s="194" customFormat="1" ht="66" customHeight="1">
      <c r="A353" s="103" t="s">
        <v>736</v>
      </c>
      <c r="B353" s="104"/>
      <c r="C353" s="193"/>
    </row>
    <row r="354" spans="1:3" s="194" customFormat="1" ht="27.6">
      <c r="A354" s="103" t="s">
        <v>790</v>
      </c>
      <c r="B354" s="104"/>
      <c r="C354" s="193"/>
    </row>
    <row r="355" spans="1:3" s="194" customFormat="1" ht="49.5" customHeight="1">
      <c r="A355" s="103" t="s">
        <v>827</v>
      </c>
      <c r="B355" s="104"/>
      <c r="C355" s="193"/>
    </row>
    <row r="356" spans="1:3" s="194" customFormat="1" ht="52.5" customHeight="1">
      <c r="A356" s="103" t="s">
        <v>215</v>
      </c>
      <c r="B356" s="104"/>
      <c r="C356" s="193"/>
    </row>
    <row r="357" spans="1:3" s="194" customFormat="1" ht="27.6">
      <c r="A357" s="103" t="s">
        <v>791</v>
      </c>
      <c r="B357" s="104"/>
      <c r="C357" s="193"/>
    </row>
    <row r="358" spans="1:3" s="194" customFormat="1" ht="26.25" customHeight="1">
      <c r="A358" s="103" t="s">
        <v>167</v>
      </c>
      <c r="B358" s="104"/>
      <c r="C358" s="193"/>
    </row>
    <row r="359" spans="1:3" s="194" customFormat="1">
      <c r="A359" s="101" t="s">
        <v>210</v>
      </c>
      <c r="B359" s="102"/>
      <c r="C359" s="193"/>
    </row>
    <row r="360" spans="1:3" s="194" customFormat="1">
      <c r="A360" s="101" t="s">
        <v>216</v>
      </c>
      <c r="B360" s="102"/>
      <c r="C360" s="193"/>
    </row>
    <row r="361" spans="1:3" s="194" customFormat="1">
      <c r="A361" s="101" t="s">
        <v>217</v>
      </c>
      <c r="B361" s="102"/>
      <c r="C361" s="193"/>
    </row>
    <row r="362" spans="1:3" s="194" customFormat="1">
      <c r="A362" s="101" t="s">
        <v>218</v>
      </c>
      <c r="B362" s="102"/>
      <c r="C362" s="193"/>
    </row>
    <row r="363" spans="1:3" s="194" customFormat="1">
      <c r="A363" s="103" t="s">
        <v>211</v>
      </c>
      <c r="B363" s="104"/>
      <c r="C363" s="193"/>
    </row>
    <row r="364" spans="1:3" s="194" customFormat="1">
      <c r="A364" s="101" t="s">
        <v>219</v>
      </c>
      <c r="B364" s="102"/>
      <c r="C364" s="193"/>
    </row>
    <row r="365" spans="1:3" s="194" customFormat="1">
      <c r="A365" s="103" t="s">
        <v>212</v>
      </c>
      <c r="B365" s="104"/>
      <c r="C365" s="193"/>
    </row>
    <row r="366" spans="1:3" s="194" customFormat="1">
      <c r="A366" s="103" t="s">
        <v>220</v>
      </c>
      <c r="B366" s="104"/>
      <c r="C366" s="193"/>
    </row>
    <row r="367" spans="1:3" s="194" customFormat="1">
      <c r="A367" s="103" t="s">
        <v>221</v>
      </c>
      <c r="B367" s="104"/>
      <c r="C367" s="193"/>
    </row>
    <row r="368" spans="1:3" s="194" customFormat="1">
      <c r="A368" s="103" t="s">
        <v>213</v>
      </c>
      <c r="B368" s="104"/>
      <c r="C368" s="193"/>
    </row>
    <row r="369" spans="1:3" s="194" customFormat="1">
      <c r="A369" s="103" t="s">
        <v>214</v>
      </c>
      <c r="B369" s="104"/>
      <c r="C369" s="193"/>
    </row>
    <row r="370" spans="1:3" s="194" customFormat="1">
      <c r="A370" s="103" t="s">
        <v>222</v>
      </c>
      <c r="B370" s="104"/>
      <c r="C370" s="193"/>
    </row>
    <row r="371" spans="1:3" s="194" customFormat="1">
      <c r="A371" s="103" t="s">
        <v>223</v>
      </c>
      <c r="B371" s="104"/>
      <c r="C371" s="193"/>
    </row>
    <row r="372" spans="1:3" s="194" customFormat="1">
      <c r="A372" s="103" t="s">
        <v>224</v>
      </c>
      <c r="B372" s="104"/>
      <c r="C372" s="193"/>
    </row>
    <row r="373" spans="1:3" s="194" customFormat="1">
      <c r="A373" s="103" t="s">
        <v>225</v>
      </c>
      <c r="B373" s="104"/>
      <c r="C373" s="193"/>
    </row>
    <row r="374" spans="1:3" s="194" customFormat="1">
      <c r="A374" s="103" t="s">
        <v>226</v>
      </c>
      <c r="B374" s="104"/>
      <c r="C374" s="193"/>
    </row>
    <row r="375" spans="1:3" s="194" customFormat="1" ht="41.4">
      <c r="A375" s="103" t="s">
        <v>227</v>
      </c>
      <c r="B375" s="104"/>
      <c r="C375" s="193"/>
    </row>
    <row r="376" spans="1:3" s="194" customFormat="1">
      <c r="A376" s="103" t="s">
        <v>174</v>
      </c>
      <c r="B376" s="104"/>
      <c r="C376" s="193"/>
    </row>
    <row r="377" spans="1:3" s="194" customFormat="1">
      <c r="A377" s="103" t="s">
        <v>228</v>
      </c>
      <c r="B377" s="104"/>
      <c r="C377" s="193"/>
    </row>
    <row r="378" spans="1:3" s="194" customFormat="1">
      <c r="A378" s="103" t="s">
        <v>229</v>
      </c>
      <c r="B378" s="104"/>
      <c r="C378" s="193"/>
    </row>
    <row r="379" spans="1:3" s="194" customFormat="1">
      <c r="A379" s="103" t="s">
        <v>177</v>
      </c>
      <c r="B379" s="104"/>
      <c r="C379" s="193"/>
    </row>
    <row r="380" spans="1:3" s="194" customFormat="1" ht="27.6">
      <c r="A380" s="103" t="s">
        <v>178</v>
      </c>
      <c r="B380" s="104"/>
      <c r="C380" s="193"/>
    </row>
    <row r="381" spans="1:3" s="194" customFormat="1" ht="48" customHeight="1">
      <c r="A381" s="103" t="s">
        <v>230</v>
      </c>
      <c r="B381" s="104"/>
      <c r="C381" s="193"/>
    </row>
    <row r="382" spans="1:3" s="194" customFormat="1">
      <c r="A382" s="101" t="s">
        <v>66</v>
      </c>
      <c r="B382" s="102"/>
      <c r="C382" s="193"/>
    </row>
    <row r="383" spans="1:3" s="194" customFormat="1" ht="75.599999999999994" customHeight="1">
      <c r="A383" s="101" t="s">
        <v>209</v>
      </c>
      <c r="B383" s="102"/>
      <c r="C383" s="193"/>
    </row>
    <row r="384" spans="1:3" s="194" customFormat="1">
      <c r="A384" s="121" t="s">
        <v>493</v>
      </c>
      <c r="B384" s="120"/>
      <c r="C384" s="193"/>
    </row>
    <row r="385" spans="1:3" s="194" customFormat="1" ht="50.25" customHeight="1">
      <c r="A385" s="101" t="s">
        <v>494</v>
      </c>
      <c r="B385" s="102"/>
      <c r="C385" s="193"/>
    </row>
    <row r="386" spans="1:3" s="194" customFormat="1" ht="87.6" customHeight="1">
      <c r="A386" s="101" t="s">
        <v>835</v>
      </c>
      <c r="B386" s="102"/>
      <c r="C386" s="193"/>
    </row>
    <row r="387" spans="1:3" s="194" customFormat="1">
      <c r="A387" s="101" t="s">
        <v>495</v>
      </c>
      <c r="B387" s="102"/>
      <c r="C387" s="193"/>
    </row>
    <row r="388" spans="1:3" s="194" customFormat="1" ht="29.25" customHeight="1">
      <c r="A388" s="101" t="s">
        <v>737</v>
      </c>
      <c r="B388" s="102"/>
      <c r="C388" s="193"/>
    </row>
    <row r="389" spans="1:3" s="194" customFormat="1" ht="28.5" customHeight="1">
      <c r="A389" s="101" t="s">
        <v>738</v>
      </c>
      <c r="B389" s="102"/>
      <c r="C389" s="193"/>
    </row>
    <row r="390" spans="1:3" s="194" customFormat="1">
      <c r="A390" s="101" t="s">
        <v>739</v>
      </c>
      <c r="B390" s="102"/>
      <c r="C390" s="193"/>
    </row>
    <row r="391" spans="1:3" s="194" customFormat="1">
      <c r="A391" s="101" t="s">
        <v>496</v>
      </c>
      <c r="B391" s="102"/>
      <c r="C391" s="193"/>
    </row>
    <row r="392" spans="1:3" s="194" customFormat="1">
      <c r="A392" s="101" t="s">
        <v>497</v>
      </c>
      <c r="B392" s="102"/>
      <c r="C392" s="193"/>
    </row>
    <row r="393" spans="1:3" s="194" customFormat="1">
      <c r="A393" s="101" t="s">
        <v>498</v>
      </c>
      <c r="B393" s="102"/>
      <c r="C393" s="193"/>
    </row>
    <row r="394" spans="1:3" s="194" customFormat="1">
      <c r="A394" s="101" t="s">
        <v>1284</v>
      </c>
      <c r="B394" s="102"/>
      <c r="C394" s="193"/>
    </row>
    <row r="395" spans="1:3" s="194" customFormat="1">
      <c r="A395" s="101" t="s">
        <v>740</v>
      </c>
      <c r="B395" s="102"/>
      <c r="C395" s="193"/>
    </row>
    <row r="396" spans="1:3" s="194" customFormat="1" ht="27.6">
      <c r="A396" s="101" t="s">
        <v>828</v>
      </c>
      <c r="B396" s="102"/>
      <c r="C396" s="193"/>
    </row>
    <row r="397" spans="1:3" s="194" customFormat="1">
      <c r="A397" s="101" t="s">
        <v>741</v>
      </c>
      <c r="B397" s="102"/>
      <c r="C397" s="193"/>
    </row>
    <row r="398" spans="1:3" s="194" customFormat="1">
      <c r="A398" s="101" t="s">
        <v>792</v>
      </c>
      <c r="B398" s="102"/>
      <c r="C398" s="193"/>
    </row>
    <row r="399" spans="1:3" s="194" customFormat="1">
      <c r="A399" s="101" t="s">
        <v>742</v>
      </c>
      <c r="B399" s="102"/>
      <c r="C399" s="193"/>
    </row>
    <row r="400" spans="1:3" s="194" customFormat="1">
      <c r="A400" s="101" t="s">
        <v>499</v>
      </c>
      <c r="B400" s="102"/>
      <c r="C400" s="193"/>
    </row>
    <row r="401" spans="1:3" s="194" customFormat="1" ht="55.2">
      <c r="A401" s="101" t="s">
        <v>743</v>
      </c>
      <c r="B401" s="102"/>
      <c r="C401" s="193"/>
    </row>
    <row r="402" spans="1:3" s="194" customFormat="1">
      <c r="A402" s="101" t="s">
        <v>500</v>
      </c>
      <c r="B402" s="102"/>
      <c r="C402" s="193"/>
    </row>
    <row r="403" spans="1:3" s="194" customFormat="1">
      <c r="A403" s="101" t="s">
        <v>744</v>
      </c>
      <c r="B403" s="102"/>
      <c r="C403" s="193"/>
    </row>
    <row r="404" spans="1:3" s="194" customFormat="1">
      <c r="A404" s="101" t="s">
        <v>501</v>
      </c>
      <c r="B404" s="102"/>
      <c r="C404" s="193"/>
    </row>
    <row r="405" spans="1:3" s="194" customFormat="1">
      <c r="A405" s="119" t="s">
        <v>502</v>
      </c>
      <c r="B405" s="120"/>
      <c r="C405" s="193"/>
    </row>
    <row r="406" spans="1:3" s="194" customFormat="1" ht="15.6">
      <c r="A406" s="119" t="s">
        <v>503</v>
      </c>
      <c r="B406" s="120"/>
      <c r="C406" s="193"/>
    </row>
    <row r="407" spans="1:3" s="194" customFormat="1" ht="55.5" customHeight="1">
      <c r="A407" s="119" t="s">
        <v>793</v>
      </c>
      <c r="B407" s="120"/>
      <c r="C407" s="193"/>
    </row>
    <row r="408" spans="1:3" s="194" customFormat="1" ht="41.4">
      <c r="A408" s="119" t="s">
        <v>794</v>
      </c>
      <c r="B408" s="120"/>
      <c r="C408" s="193"/>
    </row>
    <row r="409" spans="1:3" s="194" customFormat="1">
      <c r="A409" s="119" t="s">
        <v>795</v>
      </c>
      <c r="B409" s="120"/>
      <c r="C409" s="193"/>
    </row>
    <row r="410" spans="1:3" s="194" customFormat="1" ht="43.2">
      <c r="A410" s="119" t="s">
        <v>796</v>
      </c>
      <c r="B410" s="120"/>
      <c r="C410" s="193"/>
    </row>
    <row r="411" spans="1:3" s="194" customFormat="1">
      <c r="A411" s="119" t="s">
        <v>504</v>
      </c>
      <c r="B411" s="120"/>
      <c r="C411" s="193"/>
    </row>
    <row r="412" spans="1:3" s="194" customFormat="1" ht="67.5" customHeight="1">
      <c r="A412" s="119" t="s">
        <v>797</v>
      </c>
      <c r="B412" s="120"/>
      <c r="C412" s="193"/>
    </row>
    <row r="413" spans="1:3" s="194" customFormat="1" ht="39.75" customHeight="1">
      <c r="A413" s="119" t="s">
        <v>832</v>
      </c>
      <c r="B413" s="120"/>
      <c r="C413" s="193"/>
    </row>
    <row r="414" spans="1:3" s="194" customFormat="1" ht="28.5" customHeight="1">
      <c r="A414" s="119" t="s">
        <v>505</v>
      </c>
      <c r="B414" s="120"/>
      <c r="C414" s="193"/>
    </row>
    <row r="415" spans="1:3" s="194" customFormat="1" ht="27.6">
      <c r="A415" s="119" t="s">
        <v>506</v>
      </c>
      <c r="B415" s="120"/>
      <c r="C415" s="193"/>
    </row>
    <row r="416" spans="1:3" s="194" customFormat="1" ht="41.4">
      <c r="A416" s="119" t="s">
        <v>774</v>
      </c>
      <c r="B416" s="120"/>
      <c r="C416" s="193"/>
    </row>
    <row r="417" spans="1:3" s="194" customFormat="1" ht="27.6">
      <c r="A417" s="119" t="s">
        <v>773</v>
      </c>
      <c r="B417" s="120"/>
      <c r="C417" s="193"/>
    </row>
    <row r="418" spans="1:3" s="194" customFormat="1" ht="27.6">
      <c r="A418" s="119" t="s">
        <v>772</v>
      </c>
      <c r="B418" s="120"/>
      <c r="C418" s="193"/>
    </row>
    <row r="419" spans="1:3" s="194" customFormat="1" ht="27.6">
      <c r="A419" s="119" t="s">
        <v>829</v>
      </c>
      <c r="B419" s="120"/>
      <c r="C419" s="193"/>
    </row>
    <row r="420" spans="1:3" s="194" customFormat="1" ht="29.4">
      <c r="A420" s="119" t="s">
        <v>830</v>
      </c>
      <c r="B420" s="120"/>
      <c r="C420" s="193"/>
    </row>
    <row r="421" spans="1:3" s="194" customFormat="1" ht="27.6">
      <c r="A421" s="119" t="s">
        <v>775</v>
      </c>
      <c r="B421" s="120"/>
      <c r="C421" s="193"/>
    </row>
    <row r="422" spans="1:3" s="194" customFormat="1">
      <c r="A422" s="121" t="s">
        <v>507</v>
      </c>
      <c r="B422" s="120"/>
      <c r="C422" s="193"/>
    </row>
    <row r="423" spans="1:3" s="194" customFormat="1" ht="129.75" customHeight="1">
      <c r="A423" s="119" t="s">
        <v>798</v>
      </c>
      <c r="B423" s="120"/>
      <c r="C423" s="193"/>
    </row>
    <row r="424" spans="1:3" s="194" customFormat="1" ht="31.2">
      <c r="A424" s="119" t="s">
        <v>508</v>
      </c>
      <c r="B424" s="120"/>
      <c r="C424" s="193"/>
    </row>
    <row r="425" spans="1:3" s="194" customFormat="1">
      <c r="A425" s="119" t="s">
        <v>509</v>
      </c>
      <c r="B425" s="120"/>
      <c r="C425" s="193"/>
    </row>
    <row r="426" spans="1:3" s="194" customFormat="1" ht="38.25" customHeight="1">
      <c r="A426" s="119" t="s">
        <v>799</v>
      </c>
      <c r="B426" s="120"/>
      <c r="C426" s="193"/>
    </row>
    <row r="427" spans="1:3" s="194" customFormat="1" ht="27.6">
      <c r="A427" s="119" t="s">
        <v>800</v>
      </c>
      <c r="B427" s="120"/>
      <c r="C427" s="193"/>
    </row>
    <row r="428" spans="1:3" s="194" customFormat="1" ht="27.6">
      <c r="A428" s="119" t="s">
        <v>801</v>
      </c>
      <c r="B428" s="120"/>
      <c r="C428" s="193"/>
    </row>
    <row r="429" spans="1:3" s="194" customFormat="1" ht="29.25" customHeight="1">
      <c r="A429" s="119" t="s">
        <v>802</v>
      </c>
      <c r="B429" s="120"/>
      <c r="C429" s="193"/>
    </row>
    <row r="430" spans="1:3" s="194" customFormat="1" ht="27.6">
      <c r="A430" s="119" t="s">
        <v>803</v>
      </c>
      <c r="B430" s="120"/>
      <c r="C430" s="193"/>
    </row>
    <row r="431" spans="1:3" s="194" customFormat="1" ht="27.6">
      <c r="A431" s="119" t="s">
        <v>804</v>
      </c>
      <c r="B431" s="120"/>
      <c r="C431" s="193"/>
    </row>
    <row r="432" spans="1:3" s="194" customFormat="1">
      <c r="A432" s="121" t="s">
        <v>510</v>
      </c>
      <c r="B432" s="120"/>
      <c r="C432" s="193"/>
    </row>
    <row r="433" spans="1:3" s="194" customFormat="1">
      <c r="A433" s="119" t="s">
        <v>511</v>
      </c>
      <c r="B433" s="120"/>
      <c r="C433" s="193"/>
    </row>
    <row r="434" spans="1:3" s="194" customFormat="1">
      <c r="A434" s="119" t="s">
        <v>512</v>
      </c>
      <c r="B434" s="120"/>
      <c r="C434" s="193"/>
    </row>
    <row r="435" spans="1:3" s="194" customFormat="1">
      <c r="A435" s="119" t="s">
        <v>513</v>
      </c>
      <c r="B435" s="120"/>
      <c r="C435" s="193"/>
    </row>
    <row r="436" spans="1:3" s="194" customFormat="1">
      <c r="A436" s="119" t="s">
        <v>514</v>
      </c>
      <c r="B436" s="120"/>
      <c r="C436" s="193"/>
    </row>
    <row r="437" spans="1:3" s="194" customFormat="1">
      <c r="A437" s="119" t="s">
        <v>515</v>
      </c>
      <c r="B437" s="120"/>
      <c r="C437" s="193"/>
    </row>
    <row r="438" spans="1:3" s="194" customFormat="1" ht="41.4">
      <c r="A438" s="119" t="s">
        <v>516</v>
      </c>
      <c r="B438" s="120"/>
      <c r="C438" s="193"/>
    </row>
    <row r="439" spans="1:3" s="194" customFormat="1">
      <c r="A439" s="121" t="s">
        <v>517</v>
      </c>
      <c r="B439" s="120"/>
      <c r="C439" s="193"/>
    </row>
    <row r="440" spans="1:3" s="194" customFormat="1" ht="41.4">
      <c r="A440" s="119" t="s">
        <v>518</v>
      </c>
      <c r="B440" s="120"/>
      <c r="C440" s="193"/>
    </row>
    <row r="441" spans="1:3" s="194" customFormat="1" ht="0.6" customHeight="1">
      <c r="A441" s="119"/>
      <c r="B441" s="120"/>
      <c r="C441" s="193"/>
    </row>
    <row r="442" spans="1:3" s="194" customFormat="1">
      <c r="A442" s="119" t="s">
        <v>519</v>
      </c>
      <c r="B442" s="120"/>
      <c r="C442" s="193"/>
    </row>
    <row r="443" spans="1:3" s="194" customFormat="1" ht="3.6" customHeight="1">
      <c r="A443" s="119"/>
      <c r="B443" s="120"/>
      <c r="C443" s="193"/>
    </row>
    <row r="444" spans="1:3" s="194" customFormat="1" ht="55.5" customHeight="1">
      <c r="A444" s="119" t="s">
        <v>520</v>
      </c>
      <c r="B444" s="120"/>
      <c r="C444" s="193"/>
    </row>
    <row r="445" spans="1:3" s="194" customFormat="1" ht="41.25" customHeight="1">
      <c r="A445" s="119" t="s">
        <v>521</v>
      </c>
      <c r="B445" s="120"/>
      <c r="C445" s="193"/>
    </row>
    <row r="446" spans="1:3" s="194" customFormat="1" ht="3.6" customHeight="1">
      <c r="A446" s="119"/>
      <c r="B446" s="120"/>
      <c r="C446" s="193"/>
    </row>
    <row r="447" spans="1:3" s="194" customFormat="1">
      <c r="A447" s="121" t="s">
        <v>522</v>
      </c>
      <c r="B447" s="120"/>
      <c r="C447" s="193"/>
    </row>
    <row r="448" spans="1:3" s="194" customFormat="1" ht="3" customHeight="1">
      <c r="A448" s="119"/>
      <c r="B448" s="120"/>
      <c r="C448" s="193"/>
    </row>
    <row r="449" spans="1:3" s="194" customFormat="1" ht="55.5" customHeight="1">
      <c r="A449" s="119" t="s">
        <v>523</v>
      </c>
      <c r="B449" s="120"/>
      <c r="C449" s="193"/>
    </row>
    <row r="450" spans="1:3" ht="3.6" customHeight="1">
      <c r="A450" s="191"/>
      <c r="B450" s="190"/>
      <c r="C450" s="88"/>
    </row>
    <row r="451" spans="1:3" s="194" customFormat="1">
      <c r="A451" s="121" t="s">
        <v>524</v>
      </c>
      <c r="B451" s="120"/>
      <c r="C451" s="193"/>
    </row>
    <row r="452" spans="1:3" s="194" customFormat="1" ht="2.4" customHeight="1">
      <c r="A452" s="119"/>
      <c r="B452" s="120"/>
      <c r="C452" s="193"/>
    </row>
    <row r="453" spans="1:3" s="194" customFormat="1" ht="51" customHeight="1">
      <c r="A453" s="119" t="s">
        <v>525</v>
      </c>
      <c r="B453" s="120"/>
      <c r="C453" s="193"/>
    </row>
    <row r="454" spans="1:3" s="194" customFormat="1" ht="27.6">
      <c r="A454" s="119" t="s">
        <v>526</v>
      </c>
      <c r="B454" s="120"/>
      <c r="C454" s="193"/>
    </row>
    <row r="455" spans="1:3" s="194" customFormat="1" ht="52.5" customHeight="1">
      <c r="A455" s="119" t="s">
        <v>805</v>
      </c>
      <c r="B455" s="120"/>
      <c r="C455" s="193"/>
    </row>
    <row r="456" spans="1:3" s="194" customFormat="1">
      <c r="A456" s="121" t="s">
        <v>527</v>
      </c>
      <c r="B456" s="120"/>
      <c r="C456" s="193"/>
    </row>
    <row r="457" spans="1:3" s="194" customFormat="1" ht="27.6">
      <c r="A457" s="119" t="s">
        <v>528</v>
      </c>
      <c r="B457" s="120"/>
      <c r="C457" s="193"/>
    </row>
    <row r="458" spans="1:3" s="194" customFormat="1" ht="51.75" customHeight="1">
      <c r="A458" s="119" t="s">
        <v>529</v>
      </c>
      <c r="B458" s="120"/>
      <c r="C458" s="193"/>
    </row>
    <row r="459" spans="1:3" s="194" customFormat="1" ht="38.25" customHeight="1">
      <c r="A459" s="119" t="s">
        <v>530</v>
      </c>
      <c r="B459" s="120"/>
      <c r="C459" s="193"/>
    </row>
    <row r="460" spans="1:3" s="194" customFormat="1">
      <c r="A460" s="121" t="s">
        <v>531</v>
      </c>
      <c r="B460" s="120"/>
      <c r="C460" s="193"/>
    </row>
    <row r="461" spans="1:3" s="194" customFormat="1" ht="79.5" customHeight="1">
      <c r="A461" s="119" t="s">
        <v>806</v>
      </c>
      <c r="B461" s="120"/>
      <c r="C461" s="193"/>
    </row>
    <row r="462" spans="1:3" s="194" customFormat="1" ht="27.6">
      <c r="A462" s="119" t="s">
        <v>532</v>
      </c>
      <c r="B462" s="120"/>
      <c r="C462" s="193"/>
    </row>
    <row r="463" spans="1:3" s="194" customFormat="1" ht="3.6" customHeight="1">
      <c r="A463" s="119"/>
      <c r="B463" s="120"/>
      <c r="C463" s="193"/>
    </row>
    <row r="464" spans="1:3" s="194" customFormat="1">
      <c r="A464" s="121" t="s">
        <v>533</v>
      </c>
      <c r="B464" s="120"/>
      <c r="C464" s="193"/>
    </row>
    <row r="465" spans="1:3" s="194" customFormat="1" ht="31.5" customHeight="1">
      <c r="A465" s="119" t="s">
        <v>534</v>
      </c>
      <c r="B465" s="120"/>
      <c r="C465" s="193"/>
    </row>
    <row r="466" spans="1:3" s="194" customFormat="1" ht="27.6">
      <c r="A466" s="119" t="s">
        <v>776</v>
      </c>
      <c r="B466" s="120"/>
      <c r="C466" s="193"/>
    </row>
    <row r="467" spans="1:3" s="194" customFormat="1" ht="27.6">
      <c r="A467" s="119" t="s">
        <v>535</v>
      </c>
      <c r="B467" s="120"/>
      <c r="C467" s="193"/>
    </row>
    <row r="468" spans="1:3" s="194" customFormat="1" ht="1.95" customHeight="1">
      <c r="A468" s="119"/>
      <c r="B468" s="120"/>
      <c r="C468" s="193"/>
    </row>
    <row r="469" spans="1:3" s="194" customFormat="1">
      <c r="A469" s="121" t="s">
        <v>536</v>
      </c>
      <c r="B469" s="120"/>
      <c r="C469" s="193"/>
    </row>
    <row r="470" spans="1:3" s="194" customFormat="1" ht="55.5" customHeight="1">
      <c r="A470" s="119" t="s">
        <v>537</v>
      </c>
      <c r="B470" s="120"/>
      <c r="C470" s="193"/>
    </row>
    <row r="471" spans="1:3" s="194" customFormat="1" ht="27.6">
      <c r="A471" s="119" t="s">
        <v>538</v>
      </c>
      <c r="B471" s="120"/>
      <c r="C471" s="193"/>
    </row>
    <row r="472" spans="1:3" s="194" customFormat="1">
      <c r="A472" s="119" t="s">
        <v>831</v>
      </c>
      <c r="B472" s="120"/>
      <c r="C472" s="193"/>
    </row>
    <row r="473" spans="1:3" s="194" customFormat="1">
      <c r="A473" s="119" t="s">
        <v>539</v>
      </c>
      <c r="B473" s="120"/>
      <c r="C473" s="193"/>
    </row>
    <row r="474" spans="1:3" s="194" customFormat="1" ht="4.2" customHeight="1">
      <c r="A474" s="119" t="s">
        <v>207</v>
      </c>
      <c r="B474" s="120"/>
      <c r="C474" s="193"/>
    </row>
    <row r="475" spans="1:3" s="194" customFormat="1">
      <c r="A475" s="121" t="s">
        <v>540</v>
      </c>
      <c r="B475" s="120"/>
      <c r="C475" s="193"/>
    </row>
    <row r="476" spans="1:3" s="194" customFormat="1" ht="3" customHeight="1">
      <c r="A476" s="119"/>
      <c r="B476" s="120"/>
      <c r="C476" s="193"/>
    </row>
    <row r="477" spans="1:3" s="194" customFormat="1">
      <c r="A477" s="121" t="s">
        <v>541</v>
      </c>
      <c r="B477" s="120"/>
      <c r="C477" s="193"/>
    </row>
    <row r="478" spans="1:3" s="194" customFormat="1" ht="27.6">
      <c r="A478" s="119" t="s">
        <v>542</v>
      </c>
      <c r="B478" s="120"/>
      <c r="C478" s="193"/>
    </row>
    <row r="479" spans="1:3" s="194" customFormat="1" ht="2.4" customHeight="1">
      <c r="A479" s="119"/>
      <c r="B479" s="120"/>
      <c r="C479" s="193"/>
    </row>
    <row r="480" spans="1:3" s="194" customFormat="1">
      <c r="A480" s="121" t="s">
        <v>543</v>
      </c>
      <c r="B480" s="120"/>
      <c r="C480" s="193"/>
    </row>
    <row r="481" spans="1:3" s="194" customFormat="1" ht="27.6">
      <c r="A481" s="119" t="s">
        <v>544</v>
      </c>
      <c r="B481" s="120"/>
      <c r="C481" s="193"/>
    </row>
    <row r="482" spans="1:3" s="194" customFormat="1" ht="73.2" customHeight="1">
      <c r="A482" s="119" t="s">
        <v>545</v>
      </c>
      <c r="B482" s="120"/>
      <c r="C482" s="193"/>
    </row>
    <row r="483" spans="1:3" s="194" customFormat="1" ht="2.4" customHeight="1">
      <c r="A483" s="119"/>
      <c r="B483" s="120"/>
      <c r="C483" s="193"/>
    </row>
    <row r="484" spans="1:3" s="194" customFormat="1">
      <c r="A484" s="121" t="s">
        <v>546</v>
      </c>
      <c r="B484" s="120"/>
      <c r="C484" s="193"/>
    </row>
    <row r="485" spans="1:3" s="194" customFormat="1" ht="42" customHeight="1">
      <c r="A485" s="119" t="s">
        <v>547</v>
      </c>
      <c r="B485" s="120"/>
      <c r="C485" s="193"/>
    </row>
    <row r="486" spans="1:3" s="194" customFormat="1" ht="27.6">
      <c r="A486" s="119" t="s">
        <v>548</v>
      </c>
      <c r="B486" s="120"/>
      <c r="C486" s="193"/>
    </row>
    <row r="487" spans="1:3" s="194" customFormat="1" ht="67.5" customHeight="1">
      <c r="A487" s="119" t="s">
        <v>809</v>
      </c>
      <c r="B487" s="120"/>
      <c r="C487" s="193"/>
    </row>
    <row r="488" spans="1:3" s="194" customFormat="1" ht="69">
      <c r="A488" s="119" t="s">
        <v>549</v>
      </c>
      <c r="B488" s="120"/>
      <c r="C488" s="193"/>
    </row>
    <row r="489" spans="1:3" s="194" customFormat="1" ht="55.5" customHeight="1">
      <c r="A489" s="119" t="s">
        <v>807</v>
      </c>
      <c r="B489" s="120"/>
      <c r="C489" s="193"/>
    </row>
    <row r="490" spans="1:3" s="194" customFormat="1">
      <c r="A490" s="121" t="s">
        <v>550</v>
      </c>
      <c r="B490" s="120"/>
      <c r="C490" s="193"/>
    </row>
    <row r="491" spans="1:3" s="194" customFormat="1" ht="27.6">
      <c r="A491" s="119" t="s">
        <v>808</v>
      </c>
      <c r="B491" s="120"/>
      <c r="C491" s="193"/>
    </row>
    <row r="492" spans="1:3" s="194" customFormat="1" ht="27.6">
      <c r="A492" s="119" t="s">
        <v>551</v>
      </c>
      <c r="B492" s="120"/>
      <c r="C492" s="193"/>
    </row>
    <row r="493" spans="1:3" s="194" customFormat="1" ht="2.4" customHeight="1">
      <c r="A493" s="119"/>
      <c r="B493" s="120"/>
      <c r="C493" s="193"/>
    </row>
    <row r="494" spans="1:3" s="194" customFormat="1">
      <c r="A494" s="121" t="s">
        <v>552</v>
      </c>
      <c r="B494" s="120"/>
      <c r="C494" s="193"/>
    </row>
    <row r="495" spans="1:3" s="194" customFormat="1" ht="1.2" customHeight="1">
      <c r="A495" s="119"/>
      <c r="B495" s="120"/>
      <c r="C495" s="193"/>
    </row>
    <row r="496" spans="1:3" s="194" customFormat="1">
      <c r="A496" s="121" t="s">
        <v>553</v>
      </c>
      <c r="B496" s="120"/>
      <c r="C496" s="193"/>
    </row>
    <row r="497" spans="1:3" s="194" customFormat="1" ht="27.6">
      <c r="A497" s="119" t="s">
        <v>554</v>
      </c>
      <c r="B497" s="120"/>
      <c r="C497" s="193"/>
    </row>
    <row r="498" spans="1:3" s="194" customFormat="1">
      <c r="A498" s="119" t="s">
        <v>555</v>
      </c>
      <c r="B498" s="120"/>
      <c r="C498" s="193"/>
    </row>
    <row r="499" spans="1:3" s="194" customFormat="1" ht="41.4">
      <c r="A499" s="119" t="s">
        <v>556</v>
      </c>
      <c r="B499" s="120"/>
      <c r="C499" s="193"/>
    </row>
    <row r="500" spans="1:3" s="194" customFormat="1" ht="1.2" customHeight="1">
      <c r="A500" s="119"/>
      <c r="B500" s="120"/>
      <c r="C500" s="193"/>
    </row>
    <row r="501" spans="1:3" s="194" customFormat="1">
      <c r="A501" s="121" t="s">
        <v>557</v>
      </c>
      <c r="B501" s="120"/>
      <c r="C501" s="193"/>
    </row>
    <row r="502" spans="1:3" s="194" customFormat="1" ht="27.6">
      <c r="A502" s="119" t="s">
        <v>558</v>
      </c>
      <c r="B502" s="120"/>
      <c r="C502" s="193"/>
    </row>
    <row r="503" spans="1:3" s="194" customFormat="1" ht="1.95" customHeight="1">
      <c r="A503" s="119"/>
      <c r="B503" s="120"/>
      <c r="C503" s="193"/>
    </row>
    <row r="504" spans="1:3" s="194" customFormat="1">
      <c r="A504" s="121" t="s">
        <v>559</v>
      </c>
      <c r="B504" s="120"/>
      <c r="C504" s="193"/>
    </row>
    <row r="505" spans="1:3" s="194" customFormat="1" ht="51.75" customHeight="1">
      <c r="A505" s="119" t="s">
        <v>560</v>
      </c>
      <c r="B505" s="120"/>
      <c r="C505" s="193"/>
    </row>
    <row r="506" spans="1:3" s="194" customFormat="1">
      <c r="A506" s="119" t="s">
        <v>561</v>
      </c>
      <c r="B506" s="120"/>
      <c r="C506" s="193"/>
    </row>
    <row r="507" spans="1:3" s="194" customFormat="1">
      <c r="A507" s="119" t="s">
        <v>562</v>
      </c>
      <c r="B507" s="120"/>
      <c r="C507" s="193"/>
    </row>
    <row r="508" spans="1:3" s="194" customFormat="1">
      <c r="A508" s="119" t="s">
        <v>563</v>
      </c>
      <c r="B508" s="120"/>
      <c r="C508" s="193"/>
    </row>
    <row r="509" spans="1:3" s="194" customFormat="1">
      <c r="A509" s="119" t="s">
        <v>564</v>
      </c>
      <c r="B509" s="120"/>
      <c r="C509" s="193"/>
    </row>
    <row r="510" spans="1:3" s="194" customFormat="1" ht="53.25" customHeight="1">
      <c r="A510" s="119" t="s">
        <v>565</v>
      </c>
      <c r="B510" s="120"/>
      <c r="C510" s="193"/>
    </row>
    <row r="511" spans="1:3" s="194" customFormat="1" ht="27.6">
      <c r="A511" s="119" t="s">
        <v>745</v>
      </c>
      <c r="B511" s="120"/>
      <c r="C511" s="193"/>
    </row>
    <row r="512" spans="1:3" s="194" customFormat="1" ht="100.5" customHeight="1">
      <c r="A512" s="119" t="s">
        <v>566</v>
      </c>
      <c r="B512" s="120"/>
      <c r="C512" s="193"/>
    </row>
    <row r="513" spans="1:3" s="194" customFormat="1">
      <c r="A513" s="119" t="s">
        <v>838</v>
      </c>
      <c r="B513" s="120"/>
      <c r="C513" s="193"/>
    </row>
    <row r="514" spans="1:3" s="194" customFormat="1" ht="53.25" customHeight="1">
      <c r="A514" s="119" t="s">
        <v>839</v>
      </c>
      <c r="B514" s="120"/>
      <c r="C514" s="193"/>
    </row>
    <row r="515" spans="1:3" s="194" customFormat="1" ht="2.4" customHeight="1">
      <c r="A515" s="119"/>
      <c r="B515" s="120"/>
      <c r="C515" s="193"/>
    </row>
    <row r="516" spans="1:3" s="194" customFormat="1">
      <c r="A516" s="121" t="s">
        <v>567</v>
      </c>
      <c r="B516" s="120"/>
      <c r="C516" s="193"/>
    </row>
    <row r="517" spans="1:3" s="194" customFormat="1" ht="55.2" customHeight="1">
      <c r="A517" s="119" t="s">
        <v>568</v>
      </c>
      <c r="B517" s="120"/>
      <c r="C517" s="193"/>
    </row>
    <row r="518" spans="1:3" s="194" customFormat="1" ht="27.6">
      <c r="A518" s="119" t="s">
        <v>569</v>
      </c>
      <c r="B518" s="120"/>
      <c r="C518" s="193"/>
    </row>
    <row r="519" spans="1:3" s="194" customFormat="1" ht="27.6">
      <c r="A519" s="119" t="s">
        <v>570</v>
      </c>
      <c r="B519" s="120"/>
      <c r="C519" s="193"/>
    </row>
    <row r="520" spans="1:3" s="194" customFormat="1" ht="27.6">
      <c r="A520" s="119" t="s">
        <v>571</v>
      </c>
      <c r="B520" s="120"/>
      <c r="C520" s="193"/>
    </row>
    <row r="521" spans="1:3" s="194" customFormat="1">
      <c r="A521" s="121" t="s">
        <v>572</v>
      </c>
      <c r="B521" s="120"/>
      <c r="C521" s="193"/>
    </row>
    <row r="522" spans="1:3" s="194" customFormat="1">
      <c r="A522" s="119" t="s">
        <v>573</v>
      </c>
      <c r="B522" s="120"/>
      <c r="C522" s="193"/>
    </row>
    <row r="523" spans="1:3" s="194" customFormat="1" ht="98.4" customHeight="1">
      <c r="A523" s="119" t="s">
        <v>810</v>
      </c>
      <c r="B523" s="120"/>
      <c r="C523" s="193"/>
    </row>
    <row r="524" spans="1:3" s="194" customFormat="1" ht="26.25" customHeight="1">
      <c r="A524" s="119" t="s">
        <v>811</v>
      </c>
      <c r="B524" s="120"/>
      <c r="C524" s="193"/>
    </row>
    <row r="525" spans="1:3" s="194" customFormat="1" ht="27.6">
      <c r="A525" s="119" t="s">
        <v>574</v>
      </c>
      <c r="B525" s="120"/>
      <c r="C525" s="193"/>
    </row>
    <row r="526" spans="1:3" s="194" customFormat="1" ht="1.95" customHeight="1">
      <c r="A526" s="119"/>
      <c r="B526" s="120"/>
      <c r="C526" s="193"/>
    </row>
    <row r="527" spans="1:3" s="194" customFormat="1">
      <c r="A527" s="121" t="s">
        <v>575</v>
      </c>
      <c r="B527" s="120"/>
      <c r="C527" s="193"/>
    </row>
    <row r="528" spans="1:3" s="194" customFormat="1" ht="101.25" customHeight="1">
      <c r="A528" s="119" t="s">
        <v>576</v>
      </c>
      <c r="B528" s="120"/>
      <c r="C528" s="193"/>
    </row>
    <row r="529" spans="1:3" s="194" customFormat="1" ht="117.75" customHeight="1">
      <c r="A529" s="119" t="s">
        <v>577</v>
      </c>
      <c r="B529" s="120"/>
      <c r="C529" s="193"/>
    </row>
    <row r="530" spans="1:3" s="194" customFormat="1">
      <c r="A530" s="121" t="s">
        <v>578</v>
      </c>
      <c r="B530" s="120"/>
      <c r="C530" s="193"/>
    </row>
    <row r="531" spans="1:3" s="194" customFormat="1" ht="30" customHeight="1">
      <c r="A531" s="119" t="s">
        <v>579</v>
      </c>
      <c r="B531" s="120"/>
      <c r="C531" s="193"/>
    </row>
    <row r="532" spans="1:3" s="194" customFormat="1" ht="27.6">
      <c r="A532" s="119" t="s">
        <v>580</v>
      </c>
      <c r="B532" s="120"/>
      <c r="C532" s="193"/>
    </row>
    <row r="533" spans="1:3" s="194" customFormat="1" ht="55.2" customHeight="1">
      <c r="A533" s="119" t="s">
        <v>812</v>
      </c>
      <c r="B533" s="120"/>
      <c r="C533" s="193"/>
    </row>
    <row r="534" spans="1:3" s="194" customFormat="1" ht="3" customHeight="1">
      <c r="A534" s="119"/>
      <c r="B534" s="120"/>
      <c r="C534" s="193"/>
    </row>
    <row r="535" spans="1:3" s="194" customFormat="1">
      <c r="A535" s="121" t="s">
        <v>581</v>
      </c>
      <c r="B535" s="120"/>
      <c r="C535" s="193"/>
    </row>
    <row r="536" spans="1:3" s="194" customFormat="1" ht="27.6">
      <c r="A536" s="119" t="s">
        <v>582</v>
      </c>
      <c r="B536" s="120"/>
      <c r="C536" s="193"/>
    </row>
    <row r="537" spans="1:3" s="194" customFormat="1" ht="14.4" customHeight="1">
      <c r="A537" s="119" t="s">
        <v>583</v>
      </c>
      <c r="B537" s="120"/>
      <c r="C537" s="193"/>
    </row>
    <row r="538" spans="1:3" s="194" customFormat="1" ht="30" customHeight="1">
      <c r="A538" s="119" t="s">
        <v>584</v>
      </c>
      <c r="B538" s="120"/>
      <c r="C538" s="193"/>
    </row>
    <row r="539" spans="1:3" s="194" customFormat="1">
      <c r="A539" s="121" t="s">
        <v>585</v>
      </c>
      <c r="B539" s="120"/>
      <c r="C539" s="193"/>
    </row>
    <row r="540" spans="1:3" s="194" customFormat="1" ht="27.6">
      <c r="A540" s="119" t="s">
        <v>813</v>
      </c>
      <c r="B540" s="120"/>
      <c r="C540" s="193"/>
    </row>
    <row r="541" spans="1:3" s="194" customFormat="1" ht="52.5" customHeight="1">
      <c r="A541" s="119" t="s">
        <v>586</v>
      </c>
      <c r="B541" s="120"/>
      <c r="C541" s="193"/>
    </row>
    <row r="542" spans="1:3" s="194" customFormat="1">
      <c r="A542" s="121" t="s">
        <v>587</v>
      </c>
      <c r="B542" s="120"/>
      <c r="C542" s="193"/>
    </row>
    <row r="543" spans="1:3" s="194" customFormat="1">
      <c r="A543" s="119" t="s">
        <v>588</v>
      </c>
      <c r="B543" s="120"/>
      <c r="C543" s="193"/>
    </row>
    <row r="544" spans="1:3" s="194" customFormat="1">
      <c r="A544" s="119" t="s">
        <v>589</v>
      </c>
      <c r="B544" s="120"/>
      <c r="C544" s="193"/>
    </row>
    <row r="545" spans="1:3" s="194" customFormat="1">
      <c r="A545" s="119" t="s">
        <v>590</v>
      </c>
      <c r="B545" s="120"/>
      <c r="C545" s="193"/>
    </row>
    <row r="546" spans="1:3" s="194" customFormat="1">
      <c r="A546" s="119" t="s">
        <v>591</v>
      </c>
      <c r="B546" s="120"/>
      <c r="C546" s="193"/>
    </row>
    <row r="547" spans="1:3" s="194" customFormat="1">
      <c r="A547" s="119" t="s">
        <v>746</v>
      </c>
      <c r="B547" s="120"/>
      <c r="C547" s="193"/>
    </row>
    <row r="548" spans="1:3" s="194" customFormat="1">
      <c r="A548" s="119" t="s">
        <v>747</v>
      </c>
      <c r="B548" s="120"/>
      <c r="C548" s="193"/>
    </row>
    <row r="549" spans="1:3" s="194" customFormat="1">
      <c r="A549" s="119" t="s">
        <v>748</v>
      </c>
      <c r="B549" s="120"/>
      <c r="C549" s="193"/>
    </row>
    <row r="550" spans="1:3" s="194" customFormat="1">
      <c r="A550" s="119" t="s">
        <v>814</v>
      </c>
      <c r="B550" s="120"/>
      <c r="C550" s="193"/>
    </row>
    <row r="551" spans="1:3" s="194" customFormat="1" ht="78" customHeight="1">
      <c r="A551" s="119" t="s">
        <v>592</v>
      </c>
      <c r="B551" s="120"/>
      <c r="C551" s="193"/>
    </row>
    <row r="552" spans="1:3" s="194" customFormat="1" ht="39.75" customHeight="1">
      <c r="A552" s="119" t="s">
        <v>593</v>
      </c>
      <c r="B552" s="120"/>
      <c r="C552" s="193"/>
    </row>
    <row r="553" spans="1:3" s="194" customFormat="1" ht="42.75" customHeight="1">
      <c r="A553" s="119" t="s">
        <v>594</v>
      </c>
      <c r="B553" s="120"/>
      <c r="C553" s="193"/>
    </row>
    <row r="554" spans="1:3" s="194" customFormat="1" ht="27.6">
      <c r="A554" s="119" t="s">
        <v>595</v>
      </c>
      <c r="B554" s="120"/>
      <c r="C554" s="193"/>
    </row>
    <row r="555" spans="1:3" s="194" customFormat="1">
      <c r="A555" s="119" t="s">
        <v>596</v>
      </c>
      <c r="B555" s="120"/>
      <c r="C555" s="193"/>
    </row>
    <row r="556" spans="1:3" s="194" customFormat="1">
      <c r="A556" s="121" t="s">
        <v>597</v>
      </c>
      <c r="B556" s="120"/>
      <c r="C556" s="193"/>
    </row>
    <row r="557" spans="1:3" s="194" customFormat="1" ht="27.6">
      <c r="A557" s="119" t="s">
        <v>598</v>
      </c>
      <c r="B557" s="120"/>
      <c r="C557" s="193"/>
    </row>
    <row r="558" spans="1:3" s="194" customFormat="1" ht="27.6">
      <c r="A558" s="119" t="s">
        <v>599</v>
      </c>
      <c r="B558" s="120"/>
      <c r="C558" s="193"/>
    </row>
    <row r="559" spans="1:3" s="194" customFormat="1" ht="27.75" customHeight="1">
      <c r="A559" s="119" t="s">
        <v>600</v>
      </c>
      <c r="B559" s="120"/>
      <c r="C559" s="193"/>
    </row>
    <row r="560" spans="1:3" s="194" customFormat="1">
      <c r="A560" s="119" t="s">
        <v>601</v>
      </c>
      <c r="B560" s="120"/>
      <c r="C560" s="193"/>
    </row>
    <row r="561" spans="1:3" s="194" customFormat="1" ht="27" customHeight="1">
      <c r="A561" s="119" t="s">
        <v>602</v>
      </c>
      <c r="B561" s="120"/>
      <c r="C561" s="193"/>
    </row>
    <row r="562" spans="1:3" s="194" customFormat="1" ht="39.75" customHeight="1">
      <c r="A562" s="119" t="s">
        <v>603</v>
      </c>
      <c r="B562" s="120"/>
      <c r="C562" s="193"/>
    </row>
    <row r="563" spans="1:3" s="194" customFormat="1" ht="41.4">
      <c r="A563" s="119" t="s">
        <v>604</v>
      </c>
      <c r="B563" s="120"/>
      <c r="C563" s="193"/>
    </row>
    <row r="564" spans="1:3" s="194" customFormat="1" ht="39.75" customHeight="1">
      <c r="A564" s="119" t="s">
        <v>605</v>
      </c>
      <c r="B564" s="120"/>
      <c r="C564" s="193"/>
    </row>
    <row r="565" spans="1:3" s="194" customFormat="1">
      <c r="A565" s="119" t="s">
        <v>749</v>
      </c>
      <c r="B565" s="120"/>
      <c r="C565" s="193"/>
    </row>
    <row r="566" spans="1:3" s="194" customFormat="1">
      <c r="A566" s="119" t="s">
        <v>606</v>
      </c>
      <c r="B566" s="120"/>
      <c r="C566" s="193"/>
    </row>
    <row r="567" spans="1:3" s="194" customFormat="1" ht="1.95" customHeight="1">
      <c r="A567" s="119"/>
      <c r="B567" s="120"/>
      <c r="C567" s="193"/>
    </row>
    <row r="568" spans="1:3" s="194" customFormat="1">
      <c r="A568" s="121" t="s">
        <v>607</v>
      </c>
      <c r="B568" s="120"/>
      <c r="C568" s="193"/>
    </row>
    <row r="569" spans="1:3" s="194" customFormat="1" ht="48.75" customHeight="1">
      <c r="A569" s="119" t="s">
        <v>608</v>
      </c>
      <c r="B569" s="120"/>
      <c r="C569" s="193"/>
    </row>
    <row r="570" spans="1:3" s="194" customFormat="1">
      <c r="A570" s="121" t="s">
        <v>609</v>
      </c>
      <c r="B570" s="120"/>
      <c r="C570" s="193"/>
    </row>
    <row r="571" spans="1:3" s="194" customFormat="1" ht="42" customHeight="1">
      <c r="A571" s="119" t="s">
        <v>610</v>
      </c>
      <c r="B571" s="120"/>
      <c r="C571" s="193"/>
    </row>
    <row r="572" spans="1:3" s="194" customFormat="1" ht="68.25" customHeight="1">
      <c r="A572" s="119" t="s">
        <v>611</v>
      </c>
      <c r="B572" s="120"/>
      <c r="C572" s="193"/>
    </row>
    <row r="573" spans="1:3" s="194" customFormat="1" ht="55.2">
      <c r="A573" s="119" t="s">
        <v>612</v>
      </c>
      <c r="B573" s="120"/>
      <c r="C573" s="193"/>
    </row>
    <row r="574" spans="1:3" s="194" customFormat="1" ht="0.6" customHeight="1">
      <c r="A574" s="119"/>
      <c r="B574" s="120"/>
      <c r="C574" s="193"/>
    </row>
    <row r="575" spans="1:3" s="194" customFormat="1">
      <c r="A575" s="121" t="s">
        <v>613</v>
      </c>
      <c r="B575" s="120"/>
      <c r="C575" s="193"/>
    </row>
    <row r="576" spans="1:3" s="194" customFormat="1">
      <c r="A576" s="119" t="s">
        <v>614</v>
      </c>
      <c r="B576" s="120"/>
      <c r="C576" s="193"/>
    </row>
    <row r="577" spans="1:3" s="194" customFormat="1" ht="37.5" customHeight="1">
      <c r="A577" s="119" t="s">
        <v>615</v>
      </c>
      <c r="B577" s="120"/>
      <c r="C577" s="193"/>
    </row>
    <row r="578" spans="1:3" s="194" customFormat="1">
      <c r="A578" s="119" t="s">
        <v>616</v>
      </c>
      <c r="B578" s="120"/>
      <c r="C578" s="193"/>
    </row>
    <row r="579" spans="1:3" s="194" customFormat="1">
      <c r="A579" s="119" t="s">
        <v>617</v>
      </c>
      <c r="B579" s="120"/>
      <c r="C579" s="193"/>
    </row>
    <row r="580" spans="1:3" s="194" customFormat="1" ht="16.5" customHeight="1">
      <c r="A580" s="119" t="s">
        <v>618</v>
      </c>
      <c r="B580" s="120"/>
      <c r="C580" s="193"/>
    </row>
    <row r="581" spans="1:3" s="194" customFormat="1">
      <c r="A581" s="119" t="s">
        <v>619</v>
      </c>
      <c r="B581" s="120"/>
      <c r="C581" s="193"/>
    </row>
    <row r="582" spans="1:3" s="194" customFormat="1">
      <c r="A582" s="119" t="s">
        <v>620</v>
      </c>
      <c r="B582" s="120"/>
      <c r="C582" s="193"/>
    </row>
    <row r="583" spans="1:3" s="194" customFormat="1" ht="31.2">
      <c r="A583" s="119" t="s">
        <v>621</v>
      </c>
      <c r="B583" s="120"/>
      <c r="C583" s="193"/>
    </row>
    <row r="584" spans="1:3" s="194" customFormat="1">
      <c r="A584" s="119" t="s">
        <v>622</v>
      </c>
      <c r="B584" s="120"/>
      <c r="C584" s="193"/>
    </row>
    <row r="585" spans="1:3" s="194" customFormat="1">
      <c r="A585" s="119" t="s">
        <v>623</v>
      </c>
      <c r="B585" s="120"/>
      <c r="C585" s="193"/>
    </row>
    <row r="586" spans="1:3" s="194" customFormat="1" ht="27.6">
      <c r="A586" s="119" t="s">
        <v>624</v>
      </c>
      <c r="B586" s="120"/>
      <c r="C586" s="193"/>
    </row>
    <row r="587" spans="1:3" s="194" customFormat="1">
      <c r="A587" s="119" t="s">
        <v>625</v>
      </c>
      <c r="B587" s="120"/>
      <c r="C587" s="193"/>
    </row>
    <row r="588" spans="1:3" s="194" customFormat="1">
      <c r="A588" s="119" t="s">
        <v>626</v>
      </c>
      <c r="B588" s="120"/>
      <c r="C588" s="193"/>
    </row>
    <row r="589" spans="1:3" s="194" customFormat="1" ht="27.6">
      <c r="A589" s="119" t="s">
        <v>627</v>
      </c>
      <c r="B589" s="120"/>
      <c r="C589" s="193"/>
    </row>
    <row r="590" spans="1:3" s="194" customFormat="1">
      <c r="A590" s="119" t="s">
        <v>628</v>
      </c>
      <c r="B590" s="120"/>
      <c r="C590" s="193"/>
    </row>
    <row r="591" spans="1:3" s="194" customFormat="1">
      <c r="A591" s="119" t="s">
        <v>629</v>
      </c>
      <c r="B591" s="120"/>
      <c r="C591" s="193"/>
    </row>
    <row r="592" spans="1:3" s="194" customFormat="1" ht="43.2" customHeight="1">
      <c r="A592" s="119" t="s">
        <v>815</v>
      </c>
      <c r="B592" s="120"/>
      <c r="C592" s="193"/>
    </row>
    <row r="593" spans="1:3" s="194" customFormat="1" ht="69">
      <c r="A593" s="119" t="s">
        <v>630</v>
      </c>
      <c r="B593" s="120"/>
      <c r="C593" s="193"/>
    </row>
    <row r="594" spans="1:3" s="194" customFormat="1" ht="43.5" customHeight="1">
      <c r="A594" s="119" t="s">
        <v>816</v>
      </c>
      <c r="B594" s="120"/>
      <c r="C594" s="193"/>
    </row>
    <row r="595" spans="1:3" s="194" customFormat="1">
      <c r="A595" s="119" t="s">
        <v>631</v>
      </c>
      <c r="B595" s="120"/>
      <c r="C595" s="193"/>
    </row>
    <row r="596" spans="1:3" s="194" customFormat="1">
      <c r="A596" s="201" t="s">
        <v>777</v>
      </c>
      <c r="B596" s="98"/>
      <c r="C596" s="193"/>
    </row>
    <row r="597" spans="1:3" s="194" customFormat="1" ht="41.4">
      <c r="A597" s="101" t="s">
        <v>232</v>
      </c>
      <c r="B597" s="102"/>
      <c r="C597" s="193"/>
    </row>
    <row r="598" spans="1:3" s="194" customFormat="1">
      <c r="A598" s="101" t="s">
        <v>817</v>
      </c>
      <c r="B598" s="115"/>
      <c r="C598" s="193"/>
    </row>
    <row r="599" spans="1:3" s="194" customFormat="1">
      <c r="A599" s="101" t="s">
        <v>636</v>
      </c>
      <c r="B599" s="115"/>
      <c r="C599" s="193"/>
    </row>
    <row r="600" spans="1:3" s="194" customFormat="1" ht="27.6">
      <c r="A600" s="101" t="s">
        <v>233</v>
      </c>
      <c r="B600" s="102"/>
      <c r="C600" s="193"/>
    </row>
    <row r="601" spans="1:3" s="194" customFormat="1">
      <c r="A601" s="101" t="s">
        <v>234</v>
      </c>
      <c r="B601" s="115"/>
      <c r="C601" s="193"/>
    </row>
    <row r="602" spans="1:3" s="194" customFormat="1">
      <c r="A602" s="101" t="s">
        <v>637</v>
      </c>
      <c r="B602" s="115"/>
      <c r="C602" s="193"/>
    </row>
    <row r="603" spans="1:3" s="194" customFormat="1">
      <c r="A603" s="101" t="s">
        <v>638</v>
      </c>
      <c r="B603" s="115"/>
      <c r="C603" s="193"/>
    </row>
    <row r="604" spans="1:3" s="194" customFormat="1">
      <c r="A604" s="101" t="s">
        <v>639</v>
      </c>
      <c r="B604" s="115"/>
      <c r="C604" s="193"/>
    </row>
    <row r="605" spans="1:3" s="194" customFormat="1">
      <c r="A605" s="101" t="s">
        <v>640</v>
      </c>
      <c r="B605" s="115"/>
      <c r="C605" s="193"/>
    </row>
    <row r="606" spans="1:3" s="194" customFormat="1">
      <c r="A606" s="101" t="s">
        <v>641</v>
      </c>
      <c r="B606" s="115"/>
      <c r="C606" s="193"/>
    </row>
    <row r="607" spans="1:3" s="194" customFormat="1">
      <c r="A607" s="101" t="s">
        <v>642</v>
      </c>
      <c r="B607" s="115"/>
      <c r="C607" s="193"/>
    </row>
    <row r="608" spans="1:3" s="194" customFormat="1">
      <c r="A608" s="101" t="s">
        <v>643</v>
      </c>
      <c r="B608" s="115"/>
      <c r="C608" s="193"/>
    </row>
    <row r="609" spans="1:3" s="194" customFormat="1">
      <c r="A609" s="101" t="s">
        <v>644</v>
      </c>
      <c r="B609" s="115"/>
      <c r="C609" s="193"/>
    </row>
    <row r="610" spans="1:3" s="194" customFormat="1">
      <c r="A610" s="101" t="s">
        <v>645</v>
      </c>
      <c r="B610" s="115"/>
      <c r="C610" s="193"/>
    </row>
    <row r="611" spans="1:3" s="194" customFormat="1" ht="27.6">
      <c r="A611" s="101" t="s">
        <v>646</v>
      </c>
      <c r="B611" s="115"/>
      <c r="C611" s="193"/>
    </row>
    <row r="612" spans="1:3" s="194" customFormat="1" ht="15.6" customHeight="1">
      <c r="A612" s="101" t="s">
        <v>647</v>
      </c>
      <c r="B612" s="115"/>
      <c r="C612" s="193"/>
    </row>
    <row r="613" spans="1:3" s="194" customFormat="1" ht="16.95" customHeight="1">
      <c r="A613" s="101" t="s">
        <v>648</v>
      </c>
      <c r="B613" s="115"/>
      <c r="C613" s="193"/>
    </row>
    <row r="614" spans="1:3" s="194" customFormat="1">
      <c r="A614" s="101" t="s">
        <v>649</v>
      </c>
      <c r="B614" s="115"/>
      <c r="C614" s="193"/>
    </row>
    <row r="615" spans="1:3" s="194" customFormat="1">
      <c r="A615" s="101" t="s">
        <v>650</v>
      </c>
      <c r="B615" s="115"/>
      <c r="C615" s="193"/>
    </row>
    <row r="616" spans="1:3" s="194" customFormat="1">
      <c r="A616" s="101" t="s">
        <v>651</v>
      </c>
      <c r="B616" s="115"/>
      <c r="C616" s="193"/>
    </row>
    <row r="617" spans="1:3" s="194" customFormat="1">
      <c r="A617" s="101" t="s">
        <v>652</v>
      </c>
      <c r="B617" s="115"/>
      <c r="C617" s="193"/>
    </row>
    <row r="618" spans="1:3" s="194" customFormat="1">
      <c r="A618" s="101" t="s">
        <v>653</v>
      </c>
      <c r="B618" s="115"/>
      <c r="C618" s="193"/>
    </row>
    <row r="619" spans="1:3" s="194" customFormat="1">
      <c r="A619" s="101" t="s">
        <v>654</v>
      </c>
      <c r="B619" s="115"/>
      <c r="C619" s="193"/>
    </row>
    <row r="620" spans="1:3" s="194" customFormat="1" ht="69">
      <c r="A620" s="101" t="s">
        <v>818</v>
      </c>
      <c r="B620" s="102"/>
      <c r="C620" s="193"/>
    </row>
    <row r="621" spans="1:3" s="194" customFormat="1" ht="41.4">
      <c r="A621" s="101" t="s">
        <v>655</v>
      </c>
      <c r="B621" s="102"/>
      <c r="C621" s="193"/>
    </row>
    <row r="622" spans="1:3" s="194" customFormat="1" ht="54" customHeight="1">
      <c r="A622" s="101" t="s">
        <v>400</v>
      </c>
      <c r="B622" s="102"/>
      <c r="C622" s="193"/>
    </row>
    <row r="623" spans="1:3" s="194" customFormat="1">
      <c r="A623" s="116" t="s">
        <v>66</v>
      </c>
      <c r="B623" s="115"/>
      <c r="C623" s="193"/>
    </row>
    <row r="624" spans="1:3" s="194" customFormat="1" ht="69">
      <c r="A624" s="101" t="s">
        <v>819</v>
      </c>
      <c r="B624" s="102"/>
      <c r="C624" s="193"/>
    </row>
    <row r="625" spans="1:3" s="194" customFormat="1">
      <c r="A625" s="112" t="s">
        <v>235</v>
      </c>
      <c r="B625" s="102"/>
      <c r="C625" s="193"/>
    </row>
    <row r="626" spans="1:3" s="194" customFormat="1" ht="41.4">
      <c r="A626" s="101" t="s">
        <v>236</v>
      </c>
      <c r="B626" s="102"/>
      <c r="C626" s="193"/>
    </row>
    <row r="627" spans="1:3" s="194" customFormat="1" ht="55.2">
      <c r="A627" s="101" t="s">
        <v>237</v>
      </c>
      <c r="B627" s="102"/>
      <c r="C627" s="193"/>
    </row>
    <row r="628" spans="1:3" s="194" customFormat="1">
      <c r="A628" s="201" t="s">
        <v>778</v>
      </c>
      <c r="B628" s="98"/>
      <c r="C628" s="193"/>
    </row>
    <row r="629" spans="1:3" s="200" customFormat="1" ht="41.4">
      <c r="A629" s="122" t="s">
        <v>50</v>
      </c>
      <c r="B629" s="123"/>
      <c r="C629" s="199"/>
    </row>
    <row r="630" spans="1:3" s="200" customFormat="1">
      <c r="A630" s="122" t="s">
        <v>51</v>
      </c>
      <c r="B630" s="123"/>
      <c r="C630" s="199"/>
    </row>
    <row r="631" spans="1:3" s="200" customFormat="1" ht="74.400000000000006" customHeight="1">
      <c r="A631" s="122" t="s">
        <v>656</v>
      </c>
      <c r="B631" s="123"/>
      <c r="C631" s="199"/>
    </row>
    <row r="632" spans="1:3" s="200" customFormat="1" ht="140.25" customHeight="1">
      <c r="A632" s="122" t="s">
        <v>657</v>
      </c>
      <c r="B632" s="123"/>
      <c r="C632" s="199"/>
    </row>
    <row r="633" spans="1:3" s="200" customFormat="1">
      <c r="A633" s="122" t="s">
        <v>658</v>
      </c>
      <c r="B633" s="123"/>
      <c r="C633" s="199"/>
    </row>
    <row r="634" spans="1:3" s="200" customFormat="1">
      <c r="A634" s="122" t="s">
        <v>659</v>
      </c>
      <c r="B634" s="123"/>
      <c r="C634" s="199"/>
    </row>
    <row r="635" spans="1:3" s="200" customFormat="1">
      <c r="A635" s="122" t="s">
        <v>750</v>
      </c>
      <c r="B635" s="123"/>
      <c r="C635" s="199"/>
    </row>
    <row r="636" spans="1:3" s="200" customFormat="1">
      <c r="A636" s="122" t="s">
        <v>660</v>
      </c>
      <c r="B636" s="123"/>
      <c r="C636" s="199"/>
    </row>
    <row r="637" spans="1:3" s="200" customFormat="1" ht="41.4">
      <c r="A637" s="122" t="s">
        <v>661</v>
      </c>
      <c r="B637" s="123"/>
      <c r="C637" s="199"/>
    </row>
    <row r="638" spans="1:3" s="200" customFormat="1">
      <c r="A638" s="122" t="s">
        <v>52</v>
      </c>
      <c r="B638" s="123"/>
      <c r="C638" s="199"/>
    </row>
    <row r="639" spans="1:3" s="200" customFormat="1">
      <c r="A639" s="122" t="s">
        <v>53</v>
      </c>
      <c r="B639" s="123"/>
      <c r="C639" s="199"/>
    </row>
    <row r="640" spans="1:3" s="200" customFormat="1" ht="41.4">
      <c r="A640" s="122" t="s">
        <v>54</v>
      </c>
      <c r="B640" s="123"/>
      <c r="C640" s="199"/>
    </row>
    <row r="641" spans="1:3" s="200" customFormat="1" ht="27.6">
      <c r="A641" s="122" t="s">
        <v>55</v>
      </c>
      <c r="B641" s="123"/>
      <c r="C641" s="199"/>
    </row>
    <row r="642" spans="1:3" s="200" customFormat="1" ht="27.6">
      <c r="A642" s="122" t="s">
        <v>56</v>
      </c>
      <c r="B642" s="123"/>
      <c r="C642" s="199"/>
    </row>
    <row r="643" spans="1:3" s="200" customFormat="1" ht="27.6">
      <c r="A643" s="122" t="s">
        <v>57</v>
      </c>
      <c r="B643" s="123"/>
      <c r="C643" s="199"/>
    </row>
    <row r="644" spans="1:3" s="194" customFormat="1">
      <c r="A644" s="101" t="s">
        <v>238</v>
      </c>
      <c r="B644" s="102"/>
      <c r="C644" s="193"/>
    </row>
    <row r="645" spans="1:3" s="194" customFormat="1">
      <c r="A645" s="101" t="s">
        <v>239</v>
      </c>
      <c r="B645" s="102"/>
      <c r="C645" s="193"/>
    </row>
    <row r="646" spans="1:3" s="194" customFormat="1">
      <c r="A646" s="203" t="s">
        <v>779</v>
      </c>
      <c r="B646" s="204"/>
      <c r="C646" s="193"/>
    </row>
    <row r="647" spans="1:3" s="194" customFormat="1" ht="27.6">
      <c r="A647" s="101" t="s">
        <v>385</v>
      </c>
      <c r="B647" s="102"/>
      <c r="C647" s="193"/>
    </row>
    <row r="648" spans="1:3" s="194" customFormat="1" ht="106.5" customHeight="1">
      <c r="A648" s="101" t="s">
        <v>347</v>
      </c>
      <c r="B648" s="102"/>
      <c r="C648" s="193"/>
    </row>
    <row r="649" spans="1:3" s="194" customFormat="1" ht="181.5" customHeight="1">
      <c r="A649" s="124" t="s">
        <v>387</v>
      </c>
      <c r="B649" s="125"/>
      <c r="C649" s="193"/>
    </row>
    <row r="650" spans="1:3" s="194" customFormat="1" ht="145.5" customHeight="1">
      <c r="A650" s="124" t="s">
        <v>388</v>
      </c>
      <c r="B650" s="125"/>
      <c r="C650" s="193"/>
    </row>
    <row r="651" spans="1:3" s="194" customFormat="1" ht="142.5" customHeight="1">
      <c r="A651" s="124" t="s">
        <v>390</v>
      </c>
      <c r="B651" s="125"/>
      <c r="C651" s="193"/>
    </row>
    <row r="652" spans="1:3" s="194" customFormat="1" ht="78.75" customHeight="1">
      <c r="A652" s="124" t="s">
        <v>389</v>
      </c>
      <c r="B652" s="125"/>
      <c r="C652" s="193"/>
    </row>
    <row r="653" spans="1:3" s="194" customFormat="1" ht="69">
      <c r="A653" s="101" t="s">
        <v>240</v>
      </c>
      <c r="B653" s="102"/>
      <c r="C653" s="193"/>
    </row>
    <row r="654" spans="1:3" s="194" customFormat="1" ht="27.6">
      <c r="A654" s="101" t="s">
        <v>241</v>
      </c>
      <c r="B654" s="102"/>
      <c r="C654" s="193"/>
    </row>
    <row r="655" spans="1:3" s="194" customFormat="1" ht="41.4">
      <c r="A655" s="101" t="s">
        <v>242</v>
      </c>
      <c r="B655" s="102"/>
      <c r="C655" s="193"/>
    </row>
    <row r="656" spans="1:3" s="194" customFormat="1" ht="55.2">
      <c r="A656" s="101" t="s">
        <v>243</v>
      </c>
      <c r="B656" s="102"/>
      <c r="C656" s="193"/>
    </row>
    <row r="657" spans="1:3" s="194" customFormat="1">
      <c r="A657" s="101" t="s">
        <v>66</v>
      </c>
      <c r="B657" s="102"/>
      <c r="C657" s="193"/>
    </row>
    <row r="658" spans="1:3" s="194" customFormat="1" ht="77.25" customHeight="1">
      <c r="A658" s="101" t="s">
        <v>820</v>
      </c>
      <c r="B658" s="102"/>
      <c r="C658" s="193"/>
    </row>
    <row r="659" spans="1:3" s="194" customFormat="1">
      <c r="A659" s="107" t="s">
        <v>68</v>
      </c>
      <c r="B659" s="104"/>
      <c r="C659" s="193"/>
    </row>
    <row r="660" spans="1:3" s="194" customFormat="1" ht="27.6">
      <c r="A660" s="103" t="s">
        <v>384</v>
      </c>
      <c r="B660" s="104"/>
      <c r="C660" s="193"/>
    </row>
    <row r="661" spans="1:3" s="194" customFormat="1" ht="41.4">
      <c r="A661" s="103" t="s">
        <v>244</v>
      </c>
      <c r="B661" s="104"/>
      <c r="C661" s="193"/>
    </row>
    <row r="662" spans="1:3" s="194" customFormat="1">
      <c r="A662" s="203" t="s">
        <v>780</v>
      </c>
      <c r="B662" s="204"/>
      <c r="C662" s="193"/>
    </row>
    <row r="663" spans="1:3" s="194" customFormat="1" ht="69">
      <c r="A663" s="101" t="s">
        <v>386</v>
      </c>
      <c r="B663" s="102"/>
      <c r="C663" s="193"/>
    </row>
    <row r="664" spans="1:3" s="194" customFormat="1" ht="41.4">
      <c r="A664" s="101" t="s">
        <v>245</v>
      </c>
      <c r="B664" s="102"/>
      <c r="C664" s="193"/>
    </row>
    <row r="665" spans="1:3" s="194" customFormat="1" ht="27.6">
      <c r="A665" s="101" t="s">
        <v>246</v>
      </c>
      <c r="B665" s="102"/>
      <c r="C665" s="193"/>
    </row>
    <row r="666" spans="1:3" s="194" customFormat="1" ht="41.4">
      <c r="A666" s="101" t="s">
        <v>247</v>
      </c>
      <c r="B666" s="102"/>
      <c r="C666" s="193"/>
    </row>
    <row r="667" spans="1:3" s="194" customFormat="1" ht="248.4">
      <c r="A667" s="101" t="s">
        <v>391</v>
      </c>
      <c r="B667" s="102"/>
      <c r="C667" s="193"/>
    </row>
    <row r="668" spans="1:3" s="194" customFormat="1" ht="180" customHeight="1">
      <c r="A668" s="101" t="s">
        <v>392</v>
      </c>
      <c r="B668" s="102"/>
      <c r="C668" s="193"/>
    </row>
    <row r="669" spans="1:3" s="194" customFormat="1" ht="206.25" customHeight="1">
      <c r="A669" s="101" t="s">
        <v>393</v>
      </c>
      <c r="B669" s="102"/>
      <c r="C669" s="193"/>
    </row>
    <row r="670" spans="1:3" s="194" customFormat="1">
      <c r="A670" s="101" t="s">
        <v>66</v>
      </c>
      <c r="B670" s="102"/>
      <c r="C670" s="193"/>
    </row>
    <row r="671" spans="1:3" s="194" customFormat="1" ht="82.8">
      <c r="A671" s="101" t="s">
        <v>209</v>
      </c>
      <c r="B671" s="102"/>
      <c r="C671" s="193"/>
    </row>
    <row r="672" spans="1:3" s="194" customFormat="1">
      <c r="A672" s="107" t="s">
        <v>68</v>
      </c>
      <c r="B672" s="104"/>
      <c r="C672" s="193"/>
    </row>
    <row r="673" spans="1:3" s="194" customFormat="1" ht="55.2">
      <c r="A673" s="103" t="s">
        <v>248</v>
      </c>
      <c r="B673" s="104"/>
      <c r="C673" s="193"/>
    </row>
    <row r="674" spans="1:3" s="194" customFormat="1" ht="41.4">
      <c r="A674" s="103" t="s">
        <v>249</v>
      </c>
      <c r="B674" s="104"/>
      <c r="C674" s="193"/>
    </row>
    <row r="675" spans="1:3" s="194" customFormat="1" ht="41.4">
      <c r="A675" s="103" t="s">
        <v>821</v>
      </c>
      <c r="B675" s="104"/>
      <c r="C675" s="193"/>
    </row>
    <row r="676" spans="1:3" s="194" customFormat="1" ht="27.6">
      <c r="A676" s="103" t="s">
        <v>250</v>
      </c>
      <c r="B676" s="104"/>
      <c r="C676" s="193"/>
    </row>
    <row r="677" spans="1:3" s="194" customFormat="1" ht="27.6">
      <c r="A677" s="103" t="s">
        <v>251</v>
      </c>
      <c r="B677" s="104"/>
      <c r="C677" s="193"/>
    </row>
    <row r="678" spans="1:3" s="194" customFormat="1">
      <c r="A678" s="203" t="s">
        <v>781</v>
      </c>
      <c r="B678" s="204"/>
      <c r="C678" s="193"/>
    </row>
    <row r="679" spans="1:3" s="194" customFormat="1" ht="77.25" customHeight="1">
      <c r="A679" s="101" t="s">
        <v>662</v>
      </c>
      <c r="B679" s="102"/>
      <c r="C679" s="193"/>
    </row>
    <row r="680" spans="1:3" s="194" customFormat="1" ht="27.6">
      <c r="A680" s="101" t="s">
        <v>663</v>
      </c>
      <c r="B680" s="102"/>
      <c r="C680" s="193"/>
    </row>
    <row r="681" spans="1:3" s="194" customFormat="1" ht="55.2">
      <c r="A681" s="101" t="s">
        <v>405</v>
      </c>
      <c r="B681" s="102"/>
      <c r="C681" s="193"/>
    </row>
    <row r="682" spans="1:3" s="194" customFormat="1" ht="41.4">
      <c r="A682" s="101" t="s">
        <v>406</v>
      </c>
      <c r="B682" s="102"/>
      <c r="C682" s="193"/>
    </row>
    <row r="683" spans="1:3" s="194" customFormat="1" ht="41.4">
      <c r="A683" s="101" t="s">
        <v>407</v>
      </c>
      <c r="B683" s="102"/>
      <c r="C683" s="193"/>
    </row>
    <row r="684" spans="1:3" s="194" customFormat="1" ht="73.95" customHeight="1">
      <c r="A684" s="101" t="s">
        <v>414</v>
      </c>
      <c r="B684" s="102"/>
      <c r="C684" s="193"/>
    </row>
    <row r="685" spans="1:3" s="194" customFormat="1" ht="27.6">
      <c r="A685" s="101" t="s">
        <v>408</v>
      </c>
      <c r="B685" s="102"/>
      <c r="C685" s="193"/>
    </row>
    <row r="686" spans="1:3" s="194" customFormat="1" ht="66" customHeight="1">
      <c r="A686" s="101" t="s">
        <v>415</v>
      </c>
      <c r="B686" s="102"/>
      <c r="C686" s="193"/>
    </row>
    <row r="687" spans="1:3" s="194" customFormat="1" ht="41.4">
      <c r="A687" s="101" t="s">
        <v>409</v>
      </c>
      <c r="B687" s="102"/>
      <c r="C687" s="193"/>
    </row>
    <row r="688" spans="1:3" s="194" customFormat="1" ht="41.4">
      <c r="A688" s="101" t="s">
        <v>416</v>
      </c>
      <c r="B688" s="102"/>
      <c r="C688" s="193"/>
    </row>
    <row r="689" spans="1:3" s="194" customFormat="1" ht="51" customHeight="1">
      <c r="A689" s="101" t="s">
        <v>664</v>
      </c>
      <c r="B689" s="102"/>
      <c r="C689" s="193"/>
    </row>
    <row r="690" spans="1:3" s="194" customFormat="1" ht="69">
      <c r="A690" s="101" t="s">
        <v>665</v>
      </c>
      <c r="B690" s="102"/>
      <c r="C690" s="193"/>
    </row>
    <row r="691" spans="1:3" s="194" customFormat="1" ht="55.2">
      <c r="A691" s="101" t="s">
        <v>410</v>
      </c>
      <c r="B691" s="102"/>
      <c r="C691" s="193"/>
    </row>
    <row r="692" spans="1:3" s="194" customFormat="1" ht="27.6">
      <c r="A692" s="101" t="s">
        <v>417</v>
      </c>
      <c r="B692" s="102"/>
      <c r="C692" s="193"/>
    </row>
    <row r="693" spans="1:3" s="194" customFormat="1" ht="69">
      <c r="A693" s="101" t="s">
        <v>411</v>
      </c>
      <c r="B693" s="102"/>
      <c r="C693" s="193"/>
    </row>
    <row r="694" spans="1:3" s="194" customFormat="1" ht="41.4">
      <c r="A694" s="101" t="s">
        <v>666</v>
      </c>
      <c r="B694" s="102"/>
      <c r="C694" s="193"/>
    </row>
    <row r="695" spans="1:3" s="194" customFormat="1" ht="52.5" customHeight="1">
      <c r="A695" s="101" t="s">
        <v>667</v>
      </c>
      <c r="B695" s="102"/>
      <c r="C695" s="193"/>
    </row>
    <row r="696" spans="1:3" s="194" customFormat="1">
      <c r="A696" s="201" t="s">
        <v>418</v>
      </c>
      <c r="B696" s="205"/>
      <c r="C696" s="193"/>
    </row>
    <row r="697" spans="1:3" s="194" customFormat="1" ht="27.6">
      <c r="A697" s="101" t="s">
        <v>412</v>
      </c>
      <c r="B697" s="102"/>
      <c r="C697" s="193"/>
    </row>
    <row r="698" spans="1:3" s="194" customFormat="1">
      <c r="A698" s="101" t="s">
        <v>413</v>
      </c>
      <c r="B698" s="102"/>
      <c r="C698" s="193"/>
    </row>
    <row r="699" spans="1:3" s="194" customFormat="1" ht="89.25" customHeight="1">
      <c r="A699" s="101" t="s">
        <v>668</v>
      </c>
      <c r="B699" s="102"/>
      <c r="C699" s="193"/>
    </row>
    <row r="700" spans="1:3" s="194" customFormat="1" ht="255" customHeight="1">
      <c r="A700" s="101" t="s">
        <v>889</v>
      </c>
      <c r="B700" s="102"/>
      <c r="C700" s="193"/>
    </row>
    <row r="701" spans="1:3" s="194" customFormat="1" ht="393" customHeight="1">
      <c r="A701" s="101" t="s">
        <v>890</v>
      </c>
      <c r="B701" s="102"/>
      <c r="C701" s="193"/>
    </row>
    <row r="702" spans="1:3" s="194" customFormat="1" ht="354.75" customHeight="1">
      <c r="A702" s="101" t="s">
        <v>891</v>
      </c>
      <c r="B702" s="102"/>
      <c r="C702" s="193"/>
    </row>
    <row r="703" spans="1:3" s="194" customFormat="1" ht="369" customHeight="1">
      <c r="A703" s="101" t="s">
        <v>892</v>
      </c>
      <c r="B703" s="102"/>
      <c r="C703" s="193"/>
    </row>
    <row r="704" spans="1:3" s="194" customFormat="1" ht="408.75" customHeight="1">
      <c r="A704" s="101" t="s">
        <v>893</v>
      </c>
      <c r="B704" s="102"/>
      <c r="C704" s="193"/>
    </row>
    <row r="705" spans="1:3" s="194" customFormat="1" ht="292.5" customHeight="1">
      <c r="A705" s="101" t="s">
        <v>894</v>
      </c>
      <c r="B705" s="102"/>
      <c r="C705" s="193"/>
    </row>
    <row r="706" spans="1:3" s="194" customFormat="1" ht="218.25" customHeight="1">
      <c r="A706" s="101" t="s">
        <v>895</v>
      </c>
      <c r="B706" s="102"/>
      <c r="C706" s="193"/>
    </row>
    <row r="707" spans="1:3" s="194" customFormat="1" ht="369" customHeight="1">
      <c r="A707" s="101" t="s">
        <v>904</v>
      </c>
      <c r="B707" s="102"/>
      <c r="C707" s="193"/>
    </row>
    <row r="708" spans="1:3" s="194" customFormat="1" ht="206.25" customHeight="1">
      <c r="A708" s="101" t="s">
        <v>896</v>
      </c>
      <c r="B708" s="102"/>
      <c r="C708" s="193"/>
    </row>
    <row r="709" spans="1:3" s="194" customFormat="1" ht="228.75" customHeight="1">
      <c r="A709" s="101" t="s">
        <v>897</v>
      </c>
      <c r="B709" s="102"/>
      <c r="C709" s="193"/>
    </row>
    <row r="710" spans="1:3" s="194" customFormat="1" ht="355.5" customHeight="1">
      <c r="A710" s="101" t="s">
        <v>898</v>
      </c>
      <c r="B710" s="102"/>
      <c r="C710" s="193"/>
    </row>
    <row r="711" spans="1:3" s="194" customFormat="1" ht="165.6">
      <c r="A711" s="101" t="s">
        <v>899</v>
      </c>
      <c r="B711" s="102"/>
      <c r="C711" s="193"/>
    </row>
    <row r="712" spans="1:3" s="194" customFormat="1" ht="379.95" customHeight="1">
      <c r="A712" s="101" t="s">
        <v>900</v>
      </c>
      <c r="B712" s="102"/>
      <c r="C712" s="193"/>
    </row>
    <row r="713" spans="1:3" s="194" customFormat="1" ht="352.5" customHeight="1">
      <c r="A713" s="101" t="s">
        <v>905</v>
      </c>
      <c r="B713" s="102"/>
      <c r="C713" s="193"/>
    </row>
    <row r="714" spans="1:3" s="194" customFormat="1" ht="404.25" customHeight="1">
      <c r="A714" s="101" t="s">
        <v>901</v>
      </c>
      <c r="B714" s="102"/>
      <c r="C714" s="193"/>
    </row>
    <row r="715" spans="1:3" s="194" customFormat="1" ht="402.75" customHeight="1">
      <c r="A715" s="101" t="s">
        <v>902</v>
      </c>
      <c r="B715" s="102"/>
      <c r="C715" s="193"/>
    </row>
    <row r="716" spans="1:3" s="194" customFormat="1" ht="165.75" customHeight="1">
      <c r="A716" s="101" t="s">
        <v>903</v>
      </c>
      <c r="B716" s="102"/>
      <c r="C716" s="193"/>
    </row>
    <row r="717" spans="1:3" s="194" customFormat="1" ht="317.25" customHeight="1">
      <c r="A717" s="101" t="s">
        <v>906</v>
      </c>
      <c r="B717" s="102"/>
      <c r="C717" s="193"/>
    </row>
    <row r="718" spans="1:3" s="194" customFormat="1" ht="267" customHeight="1">
      <c r="A718" s="101" t="s">
        <v>907</v>
      </c>
      <c r="B718" s="102"/>
      <c r="C718" s="193"/>
    </row>
    <row r="719" spans="1:3" s="194" customFormat="1" ht="405" customHeight="1">
      <c r="A719" s="101" t="s">
        <v>910</v>
      </c>
      <c r="B719" s="102"/>
      <c r="C719" s="193"/>
    </row>
    <row r="720" spans="1:3" s="194" customFormat="1">
      <c r="A720" s="203" t="s">
        <v>782</v>
      </c>
      <c r="B720" s="204"/>
      <c r="C720" s="193"/>
    </row>
    <row r="721" spans="1:3" s="194" customFormat="1" ht="42.75" customHeight="1">
      <c r="A721" s="184" t="s">
        <v>421</v>
      </c>
      <c r="B721" s="192"/>
      <c r="C721" s="193"/>
    </row>
    <row r="722" spans="1:3" s="194" customFormat="1" ht="41.4">
      <c r="A722" s="184" t="s">
        <v>422</v>
      </c>
      <c r="B722" s="192"/>
      <c r="C722" s="193"/>
    </row>
    <row r="723" spans="1:3" s="194" customFormat="1" ht="27.6">
      <c r="A723" s="184" t="s">
        <v>423</v>
      </c>
      <c r="B723" s="192"/>
      <c r="C723" s="193"/>
    </row>
    <row r="724" spans="1:3" s="194" customFormat="1" ht="41.25" customHeight="1">
      <c r="A724" s="184" t="s">
        <v>424</v>
      </c>
      <c r="B724" s="192"/>
      <c r="C724" s="193"/>
    </row>
    <row r="725" spans="1:3" s="194" customFormat="1" ht="69">
      <c r="A725" s="184" t="s">
        <v>425</v>
      </c>
      <c r="B725" s="192"/>
      <c r="C725" s="193"/>
    </row>
    <row r="726" spans="1:3" s="194" customFormat="1" ht="96.6">
      <c r="A726" s="184" t="s">
        <v>420</v>
      </c>
      <c r="B726" s="192"/>
      <c r="C726" s="193"/>
    </row>
    <row r="727" spans="1:3" s="194" customFormat="1" ht="41.4">
      <c r="A727" s="94" t="s">
        <v>433</v>
      </c>
      <c r="B727" s="95"/>
      <c r="C727" s="193"/>
    </row>
    <row r="728" spans="1:3" s="194" customFormat="1" ht="27.6">
      <c r="A728" s="94" t="s">
        <v>434</v>
      </c>
      <c r="B728" s="95"/>
      <c r="C728" s="193"/>
    </row>
    <row r="729" spans="1:3" s="194" customFormat="1" ht="41.4">
      <c r="A729" s="94" t="s">
        <v>435</v>
      </c>
      <c r="B729" s="95"/>
      <c r="C729" s="193"/>
    </row>
    <row r="730" spans="1:3" s="194" customFormat="1" ht="27.6">
      <c r="A730" s="94" t="s">
        <v>436</v>
      </c>
      <c r="B730" s="95"/>
      <c r="C730" s="193"/>
    </row>
    <row r="731" spans="1:3" s="194" customFormat="1" ht="27.6">
      <c r="A731" s="94" t="s">
        <v>437</v>
      </c>
      <c r="B731" s="95"/>
      <c r="C731" s="193"/>
    </row>
    <row r="732" spans="1:3" s="194" customFormat="1" ht="27.6">
      <c r="A732" s="94" t="s">
        <v>438</v>
      </c>
      <c r="B732" s="95"/>
      <c r="C732" s="193"/>
    </row>
    <row r="733" spans="1:3" s="194" customFormat="1" ht="27.6">
      <c r="A733" s="94" t="s">
        <v>439</v>
      </c>
      <c r="B733" s="95"/>
      <c r="C733" s="193"/>
    </row>
    <row r="734" spans="1:3" s="194" customFormat="1" ht="41.4">
      <c r="A734" s="94" t="s">
        <v>440</v>
      </c>
      <c r="B734" s="95"/>
      <c r="C734" s="193"/>
    </row>
    <row r="735" spans="1:3" s="194" customFormat="1" ht="41.4">
      <c r="A735" s="101" t="s">
        <v>441</v>
      </c>
      <c r="B735" s="102"/>
      <c r="C735" s="193"/>
    </row>
    <row r="736" spans="1:3" s="194" customFormat="1" ht="27.6">
      <c r="A736" s="94" t="s">
        <v>442</v>
      </c>
      <c r="B736" s="95"/>
      <c r="C736" s="193"/>
    </row>
    <row r="737" spans="1:3" s="194" customFormat="1" ht="27.6">
      <c r="A737" s="94" t="s">
        <v>443</v>
      </c>
      <c r="B737" s="95"/>
      <c r="C737" s="193"/>
    </row>
    <row r="738" spans="1:3" s="194" customFormat="1" ht="14.4">
      <c r="A738" s="195" t="s">
        <v>444</v>
      </c>
      <c r="B738" s="196"/>
      <c r="C738" s="193"/>
    </row>
    <row r="739" spans="1:3" s="194" customFormat="1" ht="55.2">
      <c r="A739" s="126" t="s">
        <v>445</v>
      </c>
      <c r="B739" s="127"/>
      <c r="C739" s="193"/>
    </row>
    <row r="740" spans="1:3" s="194" customFormat="1" ht="0.6" customHeight="1">
      <c r="A740" s="128"/>
      <c r="B740" s="206"/>
      <c r="C740" s="193"/>
    </row>
    <row r="741" spans="1:3" s="194" customFormat="1" ht="54" customHeight="1">
      <c r="A741" s="126" t="s">
        <v>446</v>
      </c>
      <c r="B741" s="127"/>
      <c r="C741" s="193"/>
    </row>
    <row r="742" spans="1:3" s="194" customFormat="1" ht="51.75" customHeight="1">
      <c r="A742" s="126" t="s">
        <v>447</v>
      </c>
      <c r="B742" s="127"/>
      <c r="C742" s="193"/>
    </row>
    <row r="743" spans="1:3" s="194" customFormat="1" ht="55.2">
      <c r="A743" s="126" t="s">
        <v>448</v>
      </c>
      <c r="B743" s="127"/>
      <c r="C743" s="193"/>
    </row>
    <row r="744" spans="1:3" s="194" customFormat="1" ht="3" customHeight="1">
      <c r="A744" s="128"/>
      <c r="B744" s="129"/>
      <c r="C744" s="193"/>
    </row>
    <row r="745" spans="1:3" s="194" customFormat="1" ht="27.6">
      <c r="A745" s="126" t="s">
        <v>449</v>
      </c>
      <c r="B745" s="127"/>
      <c r="C745" s="193"/>
    </row>
    <row r="746" spans="1:3" s="194" customFormat="1" ht="54.75" customHeight="1">
      <c r="A746" s="126" t="s">
        <v>908</v>
      </c>
      <c r="B746" s="127"/>
      <c r="C746" s="193"/>
    </row>
    <row r="747" spans="1:3" s="194" customFormat="1" ht="42.6" customHeight="1">
      <c r="A747" s="126" t="s">
        <v>450</v>
      </c>
      <c r="B747" s="127"/>
      <c r="C747" s="193"/>
    </row>
    <row r="748" spans="1:3" s="194" customFormat="1" ht="41.4">
      <c r="A748" s="126" t="s">
        <v>451</v>
      </c>
      <c r="B748" s="127"/>
      <c r="C748" s="193"/>
    </row>
    <row r="749" spans="1:3" s="194" customFormat="1" ht="53.25" customHeight="1">
      <c r="A749" s="126" t="s">
        <v>452</v>
      </c>
      <c r="B749" s="127"/>
      <c r="C749" s="193"/>
    </row>
    <row r="750" spans="1:3" s="194" customFormat="1">
      <c r="A750" s="130" t="s">
        <v>461</v>
      </c>
      <c r="B750" s="207"/>
      <c r="C750" s="193"/>
    </row>
    <row r="751" spans="1:3" s="194" customFormat="1">
      <c r="A751" s="132" t="s">
        <v>462</v>
      </c>
      <c r="B751" s="207"/>
      <c r="C751" s="193"/>
    </row>
    <row r="752" spans="1:3" s="194" customFormat="1" ht="41.4">
      <c r="A752" s="132" t="s">
        <v>463</v>
      </c>
      <c r="B752" s="207"/>
      <c r="C752" s="193"/>
    </row>
    <row r="753" spans="1:3" s="194" customFormat="1" ht="15.75" customHeight="1">
      <c r="A753" s="132" t="s">
        <v>464</v>
      </c>
      <c r="B753" s="207"/>
      <c r="C753" s="193"/>
    </row>
    <row r="754" spans="1:3" s="194" customFormat="1" ht="14.4" customHeight="1">
      <c r="A754" s="132" t="s">
        <v>465</v>
      </c>
      <c r="B754" s="207"/>
      <c r="C754" s="193"/>
    </row>
    <row r="755" spans="1:3" s="194" customFormat="1" ht="0.6" customHeight="1">
      <c r="A755" s="132"/>
      <c r="B755" s="133"/>
      <c r="C755" s="193"/>
    </row>
    <row r="756" spans="1:3" s="194" customFormat="1">
      <c r="A756" s="132" t="s">
        <v>466</v>
      </c>
      <c r="B756" s="207"/>
      <c r="C756" s="193"/>
    </row>
    <row r="757" spans="1:3" s="194" customFormat="1" ht="1.2" customHeight="1">
      <c r="A757" s="132"/>
      <c r="B757" s="133"/>
      <c r="C757" s="193"/>
    </row>
    <row r="758" spans="1:3" s="194" customFormat="1">
      <c r="A758" s="132" t="s">
        <v>467</v>
      </c>
      <c r="B758" s="207"/>
      <c r="C758" s="193"/>
    </row>
    <row r="759" spans="1:3">
      <c r="A759" s="132" t="s">
        <v>468</v>
      </c>
      <c r="B759" s="131"/>
      <c r="C759" s="88"/>
    </row>
    <row r="760" spans="1:3">
      <c r="A760" s="132" t="s">
        <v>469</v>
      </c>
      <c r="B760" s="131"/>
      <c r="C760" s="88"/>
    </row>
    <row r="761" spans="1:3">
      <c r="A761" s="132" t="s">
        <v>470</v>
      </c>
      <c r="B761" s="131"/>
      <c r="C761" s="88"/>
    </row>
    <row r="762" spans="1:3">
      <c r="A762" s="132" t="s">
        <v>833</v>
      </c>
      <c r="B762" s="131"/>
      <c r="C762" s="88"/>
    </row>
    <row r="763" spans="1:3">
      <c r="A763" s="132" t="s">
        <v>471</v>
      </c>
      <c r="B763" s="131"/>
      <c r="C763" s="88"/>
    </row>
    <row r="764" spans="1:3">
      <c r="A764" s="132" t="s">
        <v>472</v>
      </c>
      <c r="B764" s="133"/>
      <c r="C764" s="88"/>
    </row>
    <row r="765" spans="1:3">
      <c r="A765" s="132" t="s">
        <v>473</v>
      </c>
      <c r="B765" s="133"/>
      <c r="C765" s="88"/>
    </row>
    <row r="766" spans="1:3">
      <c r="A766" s="132" t="s">
        <v>474</v>
      </c>
      <c r="B766" s="133"/>
      <c r="C766" s="88"/>
    </row>
    <row r="767" spans="1:3">
      <c r="A767" s="132" t="s">
        <v>475</v>
      </c>
      <c r="B767" s="133"/>
      <c r="C767" s="88"/>
    </row>
    <row r="768" spans="1:3">
      <c r="A768" s="132" t="s">
        <v>476</v>
      </c>
      <c r="B768" s="133"/>
      <c r="C768" s="88"/>
    </row>
    <row r="769" spans="1:3">
      <c r="A769" s="134" t="s">
        <v>477</v>
      </c>
      <c r="B769" s="135"/>
      <c r="C769" s="88"/>
    </row>
    <row r="770" spans="1:3" ht="51.75" customHeight="1">
      <c r="A770" s="136" t="s">
        <v>911</v>
      </c>
      <c r="B770" s="133"/>
      <c r="C770" s="88"/>
    </row>
    <row r="771" spans="1:3" ht="27.6">
      <c r="A771" s="136" t="s">
        <v>834</v>
      </c>
      <c r="B771" s="133"/>
      <c r="C771" s="88"/>
    </row>
    <row r="772" spans="1:3" ht="14.4">
      <c r="A772" s="137" t="s">
        <v>478</v>
      </c>
      <c r="B772" s="133"/>
      <c r="C772" s="88"/>
    </row>
    <row r="773" spans="1:3" ht="27.6">
      <c r="A773" s="136" t="s">
        <v>479</v>
      </c>
      <c r="B773" s="133"/>
      <c r="C773" s="88"/>
    </row>
    <row r="774" spans="1:3" ht="27.6">
      <c r="A774" s="136" t="s">
        <v>909</v>
      </c>
      <c r="B774" s="133"/>
      <c r="C774" s="88"/>
    </row>
    <row r="775" spans="1:3">
      <c r="A775" s="136" t="s">
        <v>480</v>
      </c>
      <c r="B775" s="133"/>
      <c r="C775" s="88"/>
    </row>
    <row r="776" spans="1:3">
      <c r="A776" s="136" t="s">
        <v>481</v>
      </c>
      <c r="B776" s="133"/>
      <c r="C776" s="88"/>
    </row>
    <row r="777" spans="1:3">
      <c r="A777" s="136" t="s">
        <v>482</v>
      </c>
      <c r="B777" s="133"/>
      <c r="C777" s="88"/>
    </row>
    <row r="778" spans="1:3">
      <c r="A778" s="136" t="s">
        <v>483</v>
      </c>
      <c r="B778" s="133"/>
      <c r="C778" s="88"/>
    </row>
    <row r="779" spans="1:3" ht="27.6">
      <c r="A779" s="136" t="s">
        <v>484</v>
      </c>
      <c r="B779" s="133"/>
      <c r="C779" s="88"/>
    </row>
    <row r="780" spans="1:3">
      <c r="A780" s="136" t="s">
        <v>485</v>
      </c>
      <c r="B780" s="133"/>
      <c r="C780" s="88"/>
    </row>
    <row r="781" spans="1:3">
      <c r="A781" s="136" t="s">
        <v>486</v>
      </c>
      <c r="B781" s="133"/>
      <c r="C781" s="88"/>
    </row>
    <row r="782" spans="1:3" ht="27.6">
      <c r="A782" s="136" t="s">
        <v>487</v>
      </c>
      <c r="B782" s="133"/>
      <c r="C782" s="88"/>
    </row>
    <row r="783" spans="1:3">
      <c r="A783" s="136" t="s">
        <v>488</v>
      </c>
      <c r="B783" s="133"/>
      <c r="C783" s="88"/>
    </row>
    <row r="784" spans="1:3" ht="27.6">
      <c r="A784" s="136" t="s">
        <v>489</v>
      </c>
      <c r="B784" s="133"/>
      <c r="C784" s="88"/>
    </row>
    <row r="785" spans="1:3">
      <c r="A785" s="136" t="s">
        <v>490</v>
      </c>
      <c r="B785" s="133"/>
      <c r="C785" s="88"/>
    </row>
    <row r="786" spans="1:3">
      <c r="A786" s="138" t="s">
        <v>491</v>
      </c>
      <c r="B786" s="139"/>
      <c r="C786" s="88"/>
    </row>
    <row r="787" spans="1:3">
      <c r="A787" s="47"/>
      <c r="B787" s="47"/>
    </row>
  </sheetData>
  <pageMargins left="0.98425196850393704" right="0.19685039370078741" top="0.74803149606299213" bottom="0.98425196850393704" header="0.19685039370078741" footer="0.19685039370078741"/>
  <pageSetup paperSize="9" scale="45" orientation="portrait" r:id="rId1"/>
  <headerFooter alignWithMargins="0">
    <oddHeader>&amp;L&amp;"-,Italic"&amp;9ARHINGTRADE d.o.o.
Gajeva 47, Zagreb&amp;C&amp;"Calibri,Italic"&amp;9OTU-Opći tehnički uvjeti izvođenja&amp;R&amp;"-,Italic"&amp;9RCK Tehnička škola Sisak
Lađarska 28A, Sisak.</oddHeader>
    <oddFooter>&amp;R&amp;8&amp;P</oddFooter>
  </headerFooter>
  <rowBreaks count="41" manualBreakCount="41">
    <brk id="11" max="1" man="1"/>
    <brk id="26" max="1" man="1"/>
    <brk id="40" max="1" man="1"/>
    <brk id="45" max="1" man="1"/>
    <brk id="57" max="1" man="1"/>
    <brk id="63" max="1" man="1"/>
    <brk id="79" max="1" man="1"/>
    <brk id="96" max="1" man="1"/>
    <brk id="101" max="1" man="1"/>
    <brk id="119" max="1" man="1"/>
    <brk id="146" max="1" man="1"/>
    <brk id="178" max="1" man="1"/>
    <brk id="205" max="1" man="1"/>
    <brk id="213" max="1" man="1"/>
    <brk id="241" max="1" man="1"/>
    <brk id="265" max="1" man="1"/>
    <brk id="291" max="1" man="1"/>
    <brk id="313" max="1" man="1"/>
    <brk id="324" max="1" man="1"/>
    <brk id="340" max="1" man="1"/>
    <brk id="363" max="1" man="1"/>
    <brk id="394" max="1" man="1"/>
    <brk id="449" max="1" man="1"/>
    <brk id="479" max="1" man="1"/>
    <brk id="508" max="1" man="1"/>
    <brk id="526" max="1" man="1"/>
    <brk id="551" max="1" man="1"/>
    <brk id="579" max="1" man="1"/>
    <brk id="616" max="1" man="1"/>
    <brk id="635" max="1" man="1"/>
    <brk id="649" max="1" man="1"/>
    <brk id="661" max="1" man="1"/>
    <brk id="667" max="1" man="1"/>
    <brk id="691" max="1" man="1"/>
    <brk id="700" max="1" man="1"/>
    <brk id="704" max="1" man="1"/>
    <brk id="709" max="1" man="1"/>
    <brk id="713" max="1" man="1"/>
    <brk id="717" max="1" man="1"/>
    <brk id="745" max="1" man="1"/>
    <brk id="768" max="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4"/>
  <sheetViews>
    <sheetView view="pageBreakPreview" topLeftCell="A22" zoomScaleNormal="100" zoomScaleSheetLayoutView="100" workbookViewId="0">
      <selection activeCell="A51" sqref="A51:XFD51"/>
    </sheetView>
  </sheetViews>
  <sheetFormatPr defaultRowHeight="13.2"/>
  <cols>
    <col min="3" max="3" width="28.6640625" bestFit="1" customWidth="1"/>
    <col min="4" max="4" width="27.5546875" bestFit="1" customWidth="1"/>
  </cols>
  <sheetData>
    <row r="1" spans="1:5" ht="13.8">
      <c r="A1" s="1"/>
      <c r="B1" s="2"/>
      <c r="C1" s="1"/>
      <c r="D1" s="3"/>
      <c r="E1" s="4"/>
    </row>
    <row r="2" spans="1:5" ht="13.8">
      <c r="A2" s="1"/>
      <c r="B2" s="2"/>
      <c r="C2" s="1" t="s">
        <v>8</v>
      </c>
      <c r="D2" s="5" t="s">
        <v>401</v>
      </c>
      <c r="E2" s="5"/>
    </row>
    <row r="3" spans="1:5" ht="13.8">
      <c r="A3" s="1"/>
      <c r="B3" s="2"/>
      <c r="C3" s="1"/>
      <c r="D3" s="1" t="s">
        <v>46</v>
      </c>
      <c r="E3" s="4"/>
    </row>
    <row r="4" spans="1:5" ht="13.8">
      <c r="A4" s="1"/>
      <c r="B4" s="2"/>
      <c r="C4" s="1"/>
      <c r="D4" s="1" t="s">
        <v>47</v>
      </c>
      <c r="E4" s="4"/>
    </row>
    <row r="5" spans="1:5" ht="13.8">
      <c r="A5" s="1"/>
      <c r="B5" s="2"/>
      <c r="C5" s="1"/>
      <c r="D5" s="543" t="s">
        <v>402</v>
      </c>
      <c r="E5" s="4"/>
    </row>
    <row r="6" spans="1:5" ht="13.8">
      <c r="A6" s="1"/>
      <c r="B6" s="2"/>
      <c r="C6" s="1"/>
      <c r="D6" s="543" t="s">
        <v>48</v>
      </c>
      <c r="E6" s="4"/>
    </row>
    <row r="7" spans="1:5" ht="13.8">
      <c r="A7" s="1"/>
      <c r="B7" s="2"/>
      <c r="C7" s="1"/>
      <c r="D7" s="543"/>
      <c r="E7" s="4"/>
    </row>
    <row r="8" spans="1:5" ht="21.6" customHeight="1">
      <c r="A8" s="1"/>
      <c r="B8" s="2"/>
      <c r="C8" s="1" t="s">
        <v>9</v>
      </c>
      <c r="D8" s="928" t="s">
        <v>888</v>
      </c>
      <c r="E8" s="928"/>
    </row>
    <row r="9" spans="1:5" ht="23.4" customHeight="1">
      <c r="A9" s="1"/>
      <c r="B9" s="1"/>
      <c r="C9" s="1"/>
      <c r="D9" s="928"/>
      <c r="E9" s="928"/>
    </row>
    <row r="10" spans="1:5" ht="13.8">
      <c r="A10" s="1"/>
      <c r="B10" s="2"/>
      <c r="C10" s="1"/>
      <c r="D10" s="543"/>
      <c r="E10" s="6"/>
    </row>
    <row r="11" spans="1:5" ht="13.8">
      <c r="A11" s="1"/>
      <c r="B11" s="2"/>
      <c r="C11" s="1" t="s">
        <v>10</v>
      </c>
      <c r="D11" s="929" t="s">
        <v>884</v>
      </c>
      <c r="E11" s="929"/>
    </row>
    <row r="12" spans="1:5" ht="13.8">
      <c r="A12" s="1"/>
      <c r="B12" s="2"/>
      <c r="C12" s="1"/>
      <c r="D12" s="929" t="s">
        <v>885</v>
      </c>
      <c r="E12" s="929"/>
    </row>
    <row r="13" spans="1:5" ht="13.8">
      <c r="A13" s="1"/>
      <c r="B13" s="2"/>
      <c r="C13" s="1"/>
      <c r="D13" s="543"/>
      <c r="E13" s="4"/>
    </row>
    <row r="14" spans="1:5" ht="13.8">
      <c r="A14" s="1"/>
      <c r="B14" s="2"/>
      <c r="C14" s="1" t="s">
        <v>403</v>
      </c>
      <c r="D14" s="930" t="s">
        <v>886</v>
      </c>
      <c r="E14" s="930"/>
    </row>
    <row r="15" spans="1:5" ht="13.8">
      <c r="A15" s="1"/>
      <c r="B15" s="2"/>
      <c r="C15" s="1"/>
      <c r="D15" s="543"/>
      <c r="E15" s="4"/>
    </row>
    <row r="16" spans="1:5" ht="13.8">
      <c r="A16" s="1"/>
      <c r="B16" s="2"/>
      <c r="C16" s="1"/>
      <c r="D16" s="543"/>
      <c r="E16" s="4"/>
    </row>
    <row r="17" spans="1:5" ht="13.8">
      <c r="A17" s="1"/>
      <c r="B17" s="2"/>
      <c r="C17" s="1"/>
      <c r="D17" s="543"/>
      <c r="E17" s="4"/>
    </row>
    <row r="18" spans="1:5" ht="13.8">
      <c r="A18" s="1"/>
      <c r="B18" s="2"/>
      <c r="C18" s="1"/>
      <c r="D18" s="543"/>
      <c r="E18" s="4"/>
    </row>
    <row r="19" spans="1:5" ht="13.8">
      <c r="A19" s="1"/>
      <c r="B19" s="2"/>
      <c r="C19" s="1"/>
      <c r="D19" s="543"/>
      <c r="E19" s="4"/>
    </row>
    <row r="20" spans="1:5" ht="13.8">
      <c r="A20" s="1"/>
      <c r="B20" s="2"/>
      <c r="C20" s="1"/>
      <c r="D20" s="543"/>
      <c r="E20" s="4"/>
    </row>
    <row r="21" spans="1:5" ht="13.8">
      <c r="A21" s="1"/>
      <c r="B21" s="2"/>
      <c r="C21" s="1"/>
      <c r="D21" s="543"/>
      <c r="E21" s="4"/>
    </row>
    <row r="22" spans="1:5" ht="13.8">
      <c r="A22" s="1"/>
      <c r="B22" s="2"/>
      <c r="C22" s="1"/>
      <c r="D22" s="543"/>
      <c r="E22" s="4"/>
    </row>
    <row r="23" spans="1:5" ht="13.8">
      <c r="A23" s="1"/>
      <c r="B23" s="2"/>
      <c r="C23" s="1"/>
      <c r="D23" s="543"/>
      <c r="E23" s="4"/>
    </row>
    <row r="24" spans="1:5" ht="13.8">
      <c r="A24" s="1"/>
      <c r="B24" s="2"/>
      <c r="C24" s="1"/>
      <c r="D24" s="543"/>
      <c r="E24" s="4"/>
    </row>
    <row r="25" spans="1:5" ht="13.8">
      <c r="A25" s="1"/>
      <c r="B25" s="2"/>
      <c r="C25" s="1"/>
      <c r="D25" s="543"/>
      <c r="E25" s="4"/>
    </row>
    <row r="26" spans="1:5" ht="13.8">
      <c r="A26" s="1"/>
      <c r="B26" s="2"/>
      <c r="C26" s="1"/>
      <c r="D26" s="543"/>
      <c r="E26" s="4"/>
    </row>
    <row r="27" spans="1:5" ht="13.8">
      <c r="A27" s="1"/>
      <c r="B27" s="2"/>
      <c r="C27" s="1"/>
      <c r="D27" s="543"/>
      <c r="E27" s="4"/>
    </row>
    <row r="28" spans="1:5" ht="13.8">
      <c r="A28" s="1"/>
      <c r="B28" s="2"/>
      <c r="C28" s="1"/>
      <c r="D28" s="543"/>
      <c r="E28" s="4"/>
    </row>
    <row r="29" spans="1:5" ht="13.8">
      <c r="A29" s="1"/>
      <c r="B29" s="2"/>
      <c r="C29" s="1"/>
      <c r="D29" s="543"/>
      <c r="E29" s="4"/>
    </row>
    <row r="30" spans="1:5" s="601" customFormat="1" ht="18">
      <c r="A30" s="931" t="s">
        <v>2362</v>
      </c>
      <c r="B30" s="931"/>
      <c r="C30" s="931"/>
      <c r="D30" s="931"/>
      <c r="E30" s="931"/>
    </row>
    <row r="31" spans="1:5" s="601" customFormat="1" ht="18">
      <c r="A31" s="931" t="s">
        <v>2363</v>
      </c>
      <c r="B31" s="931"/>
      <c r="C31" s="931"/>
      <c r="D31" s="931"/>
      <c r="E31" s="931"/>
    </row>
    <row r="32" spans="1:5" ht="13.8">
      <c r="A32" s="11"/>
      <c r="B32" s="11"/>
      <c r="C32" s="11"/>
      <c r="D32" s="11"/>
      <c r="E32" s="11"/>
    </row>
    <row r="33" spans="1:5" ht="13.8">
      <c r="A33" s="11"/>
      <c r="B33" s="11"/>
      <c r="C33" s="11"/>
      <c r="D33" s="11"/>
      <c r="E33" s="11"/>
    </row>
    <row r="34" spans="1:5" ht="13.8">
      <c r="A34" s="11"/>
      <c r="B34" s="11"/>
      <c r="C34" s="11"/>
      <c r="D34" s="11"/>
      <c r="E34" s="11"/>
    </row>
    <row r="35" spans="1:5" ht="13.8">
      <c r="A35" s="11"/>
      <c r="B35" s="11"/>
      <c r="C35" s="11"/>
      <c r="D35" s="11"/>
      <c r="E35" s="11"/>
    </row>
    <row r="36" spans="1:5" ht="13.8">
      <c r="A36" s="11"/>
      <c r="B36" s="11"/>
      <c r="C36" s="11"/>
      <c r="D36" s="11"/>
      <c r="E36" s="11"/>
    </row>
    <row r="37" spans="1:5" ht="13.8">
      <c r="A37" s="11"/>
      <c r="B37" s="11"/>
      <c r="C37" s="11"/>
      <c r="D37" s="11"/>
      <c r="E37" s="11"/>
    </row>
    <row r="38" spans="1:5" ht="13.8">
      <c r="A38" s="1"/>
      <c r="B38" s="2"/>
      <c r="C38" s="7"/>
      <c r="D38" s="3"/>
      <c r="E38" s="4"/>
    </row>
    <row r="39" spans="1:5" ht="13.8">
      <c r="A39" s="1"/>
      <c r="B39" s="2"/>
      <c r="C39" s="7"/>
      <c r="D39" s="3"/>
      <c r="E39" s="4"/>
    </row>
    <row r="40" spans="1:5" ht="13.8">
      <c r="A40" s="1"/>
      <c r="B40" s="2"/>
      <c r="C40" s="7"/>
      <c r="D40" s="3"/>
      <c r="E40" s="4"/>
    </row>
    <row r="41" spans="1:5" ht="13.8">
      <c r="A41" s="1"/>
      <c r="B41" s="1" t="s">
        <v>11</v>
      </c>
      <c r="D41" s="926"/>
      <c r="E41" s="926"/>
    </row>
    <row r="42" spans="1:5" ht="13.8">
      <c r="A42" s="1"/>
      <c r="B42" s="1"/>
      <c r="D42" s="543"/>
      <c r="E42" s="6"/>
    </row>
    <row r="43" spans="1:5" ht="13.8">
      <c r="A43" s="1"/>
      <c r="B43" s="1" t="s">
        <v>887</v>
      </c>
      <c r="D43" s="543"/>
      <c r="E43" s="4"/>
    </row>
    <row r="44" spans="1:5" ht="13.8">
      <c r="A44" s="1"/>
      <c r="B44" s="2"/>
      <c r="C44" s="1"/>
      <c r="D44" s="543"/>
      <c r="E44" s="4"/>
    </row>
    <row r="45" spans="1:5" ht="13.8">
      <c r="A45" s="1"/>
      <c r="B45" s="2"/>
      <c r="C45" s="1"/>
      <c r="D45" s="543"/>
      <c r="E45" s="4"/>
    </row>
    <row r="46" spans="1:5" ht="13.8">
      <c r="A46" s="1"/>
      <c r="B46" s="2"/>
      <c r="C46" s="1"/>
      <c r="D46" s="543"/>
      <c r="E46" s="4"/>
    </row>
    <row r="47" spans="1:5" ht="13.8">
      <c r="A47" s="1"/>
      <c r="B47" s="2"/>
      <c r="C47" s="1"/>
      <c r="D47" s="543"/>
      <c r="E47" s="4"/>
    </row>
    <row r="48" spans="1:5" ht="13.8">
      <c r="A48" s="1"/>
      <c r="B48" s="2"/>
      <c r="C48" s="1"/>
      <c r="D48" s="543"/>
      <c r="E48" s="4"/>
    </row>
    <row r="49" spans="1:5" ht="13.8">
      <c r="A49" s="1"/>
      <c r="B49" s="2"/>
      <c r="C49" s="1"/>
      <c r="D49" s="927" t="s">
        <v>2646</v>
      </c>
      <c r="E49" s="927"/>
    </row>
    <row r="50" spans="1:5" s="912" customFormat="1" ht="13.8">
      <c r="A50" s="907"/>
      <c r="B50" s="908"/>
      <c r="C50" s="909"/>
      <c r="D50" s="910" t="s">
        <v>2691</v>
      </c>
      <c r="E50" s="911"/>
    </row>
    <row r="51" spans="1:5" ht="13.8">
      <c r="A51" s="1"/>
      <c r="B51" s="2"/>
      <c r="C51" s="7"/>
      <c r="D51" s="3"/>
      <c r="E51" s="4"/>
    </row>
    <row r="52" spans="1:5" ht="13.8">
      <c r="A52" s="1"/>
      <c r="B52" s="2"/>
      <c r="C52" s="7"/>
      <c r="D52" s="3"/>
      <c r="E52" s="4"/>
    </row>
    <row r="53" spans="1:5" ht="13.8">
      <c r="A53" s="1"/>
      <c r="B53" s="2"/>
      <c r="C53" s="7"/>
      <c r="D53" s="3"/>
      <c r="E53" s="4"/>
    </row>
    <row r="54" spans="1:5" ht="13.8">
      <c r="A54" s="5"/>
      <c r="B54" s="8"/>
      <c r="C54" s="5"/>
      <c r="D54" s="9"/>
      <c r="E54" s="10"/>
    </row>
  </sheetData>
  <mergeCells count="8">
    <mergeCell ref="D41:E41"/>
    <mergeCell ref="D49:E49"/>
    <mergeCell ref="D8:E9"/>
    <mergeCell ref="D11:E11"/>
    <mergeCell ref="D12:E12"/>
    <mergeCell ref="D14:E14"/>
    <mergeCell ref="A30:E30"/>
    <mergeCell ref="A31:E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pageSetUpPr fitToPage="1"/>
  </sheetPr>
  <dimension ref="A1:G1213"/>
  <sheetViews>
    <sheetView showZeros="0" tabSelected="1" view="pageBreakPreview" topLeftCell="A1041" zoomScaleNormal="100" zoomScaleSheetLayoutView="100" workbookViewId="0">
      <selection activeCell="M607" sqref="M607"/>
    </sheetView>
  </sheetViews>
  <sheetFormatPr defaultColWidth="8.88671875" defaultRowHeight="13.2"/>
  <cols>
    <col min="1" max="1" width="4.88671875" style="69" bestFit="1" customWidth="1"/>
    <col min="2" max="2" width="6" style="69" customWidth="1"/>
    <col min="3" max="3" width="31.6640625" style="69" customWidth="1"/>
    <col min="4" max="4" width="7.44140625" style="147" bestFit="1" customWidth="1"/>
    <col min="5" max="6" width="9.88671875" style="69" bestFit="1" customWidth="1"/>
    <col min="7" max="7" width="13.33203125" style="69" customWidth="1"/>
    <col min="8" max="16384" width="8.88671875" style="69"/>
  </cols>
  <sheetData>
    <row r="1" spans="1:7" ht="22.95" customHeight="1">
      <c r="A1" s="936" t="s">
        <v>427</v>
      </c>
      <c r="B1" s="936"/>
      <c r="C1" s="66" t="s">
        <v>428</v>
      </c>
      <c r="D1" s="151" t="s">
        <v>429</v>
      </c>
      <c r="E1" s="67" t="s">
        <v>430</v>
      </c>
      <c r="F1" s="13" t="s">
        <v>431</v>
      </c>
      <c r="G1" s="68" t="s">
        <v>432</v>
      </c>
    </row>
    <row r="2" spans="1:7" ht="13.8">
      <c r="A2" s="15"/>
      <c r="B2" s="15"/>
      <c r="C2" s="15"/>
      <c r="D2" s="142"/>
      <c r="E2" s="16"/>
      <c r="F2" s="15"/>
      <c r="G2" s="15"/>
    </row>
    <row r="3" spans="1:7" ht="13.8">
      <c r="A3" s="60" t="s">
        <v>868</v>
      </c>
      <c r="B3" s="55"/>
      <c r="C3" s="14" t="s">
        <v>870</v>
      </c>
      <c r="D3" s="142"/>
      <c r="E3" s="16"/>
      <c r="F3" s="15"/>
      <c r="G3" s="15"/>
    </row>
    <row r="4" spans="1:7" ht="13.8">
      <c r="A4" s="15"/>
      <c r="B4" s="175"/>
      <c r="C4" s="15"/>
      <c r="D4" s="142"/>
      <c r="E4" s="16"/>
      <c r="F4" s="15"/>
      <c r="G4" s="15"/>
    </row>
    <row r="5" spans="1:7" ht="13.8">
      <c r="A5" s="60" t="s">
        <v>868</v>
      </c>
      <c r="B5" s="176" t="s">
        <v>871</v>
      </c>
      <c r="C5" s="174" t="s">
        <v>912</v>
      </c>
      <c r="D5" s="142"/>
      <c r="E5" s="16"/>
      <c r="F5" s="15"/>
      <c r="G5" s="15"/>
    </row>
    <row r="6" spans="1:7" ht="13.8">
      <c r="A6" s="15"/>
      <c r="B6" s="47"/>
      <c r="C6" s="15"/>
      <c r="D6" s="142"/>
      <c r="E6" s="16"/>
      <c r="F6" s="15"/>
      <c r="G6" s="15"/>
    </row>
    <row r="7" spans="1:7" s="178" customFormat="1" ht="13.8">
      <c r="A7" s="60"/>
      <c r="B7" s="177" t="s">
        <v>0</v>
      </c>
      <c r="C7" s="14" t="s">
        <v>1022</v>
      </c>
      <c r="D7" s="179"/>
      <c r="E7" s="180"/>
      <c r="F7" s="14"/>
      <c r="G7" s="14"/>
    </row>
    <row r="8" spans="1:7" ht="181.5" customHeight="1">
      <c r="A8" s="61"/>
      <c r="B8" s="19" t="s">
        <v>252</v>
      </c>
      <c r="C8" s="20" t="s">
        <v>881</v>
      </c>
      <c r="D8" s="21"/>
      <c r="E8" s="16"/>
      <c r="F8" s="15"/>
      <c r="G8" s="15"/>
    </row>
    <row r="9" spans="1:7" s="160" customFormat="1" ht="67.5" customHeight="1">
      <c r="A9" s="15"/>
      <c r="B9" s="15"/>
      <c r="C9" s="20" t="s">
        <v>882</v>
      </c>
      <c r="D9" s="152"/>
      <c r="E9" s="16"/>
      <c r="F9" s="15"/>
      <c r="G9" s="15"/>
    </row>
    <row r="10" spans="1:7" ht="27.6">
      <c r="A10" s="15"/>
      <c r="B10" s="15"/>
      <c r="C10" s="22" t="s">
        <v>255</v>
      </c>
      <c r="D10" s="21" t="s">
        <v>256</v>
      </c>
      <c r="E10" s="16">
        <v>250</v>
      </c>
      <c r="F10" s="12">
        <v>15</v>
      </c>
      <c r="G10" s="85">
        <f>E10*F10</f>
        <v>3750</v>
      </c>
    </row>
    <row r="11" spans="1:7" ht="13.8">
      <c r="A11" s="15"/>
      <c r="B11" s="15"/>
      <c r="C11" s="15"/>
      <c r="D11" s="142"/>
      <c r="E11" s="16"/>
      <c r="F11" s="15"/>
      <c r="G11" s="15"/>
    </row>
    <row r="12" spans="1:7" ht="119.25" customHeight="1">
      <c r="A12" s="61"/>
      <c r="B12" s="19" t="s">
        <v>254</v>
      </c>
      <c r="C12" s="24" t="s">
        <v>2756</v>
      </c>
      <c r="D12" s="21"/>
      <c r="E12" s="12"/>
      <c r="F12" s="15"/>
      <c r="G12" s="15"/>
    </row>
    <row r="13" spans="1:7" ht="12.75" customHeight="1">
      <c r="A13" s="15"/>
      <c r="B13" s="15"/>
      <c r="C13" s="37"/>
      <c r="D13" s="21" t="s">
        <v>253</v>
      </c>
      <c r="E13" s="12">
        <v>1</v>
      </c>
      <c r="F13" s="12">
        <v>1000</v>
      </c>
      <c r="G13" s="85">
        <f>E13*F13</f>
        <v>1000</v>
      </c>
    </row>
    <row r="14" spans="1:7" ht="13.8">
      <c r="A14" s="15"/>
      <c r="B14" s="15"/>
      <c r="C14" s="15"/>
      <c r="D14" s="142"/>
      <c r="E14" s="16"/>
      <c r="F14" s="15"/>
      <c r="G14" s="15"/>
    </row>
    <row r="15" spans="1:7" s="160" customFormat="1" ht="363" customHeight="1">
      <c r="A15" s="17"/>
      <c r="B15" s="19" t="s">
        <v>257</v>
      </c>
      <c r="C15" s="24" t="s">
        <v>2757</v>
      </c>
      <c r="D15" s="142"/>
      <c r="E15" s="16"/>
      <c r="F15" s="15"/>
      <c r="G15" s="15"/>
    </row>
    <row r="16" spans="1:7" s="160" customFormat="1" ht="27.6">
      <c r="A16" s="15"/>
      <c r="B16" s="15"/>
      <c r="C16" s="25" t="s">
        <v>878</v>
      </c>
      <c r="D16" s="776" t="s">
        <v>253</v>
      </c>
      <c r="E16" s="778">
        <v>1</v>
      </c>
      <c r="F16" s="778"/>
      <c r="G16" s="802"/>
    </row>
    <row r="17" spans="1:7" s="172" customFormat="1" ht="30.75" customHeight="1">
      <c r="A17" s="171"/>
      <c r="B17" s="171"/>
      <c r="C17" s="902" t="s">
        <v>2774</v>
      </c>
      <c r="D17" s="169"/>
      <c r="E17" s="170"/>
      <c r="F17" s="171"/>
      <c r="G17" s="171"/>
    </row>
    <row r="18" spans="1:7" s="172" customFormat="1" ht="27.6">
      <c r="A18" s="171"/>
      <c r="B18" s="171"/>
      <c r="C18" s="902" t="s">
        <v>2775</v>
      </c>
      <c r="D18" s="169"/>
      <c r="E18" s="170"/>
      <c r="F18" s="171"/>
      <c r="G18" s="171"/>
    </row>
    <row r="19" spans="1:7" s="160" customFormat="1" ht="41.4">
      <c r="A19" s="15"/>
      <c r="B19" s="15"/>
      <c r="C19" s="900" t="s">
        <v>2776</v>
      </c>
      <c r="D19" s="776" t="s">
        <v>253</v>
      </c>
      <c r="E19" s="778">
        <v>1</v>
      </c>
      <c r="F19" s="778"/>
      <c r="G19" s="802"/>
    </row>
    <row r="20" spans="1:7" s="809" customFormat="1" ht="30" customHeight="1">
      <c r="A20" s="837"/>
      <c r="B20" s="837"/>
      <c r="C20" s="900" t="s">
        <v>2758</v>
      </c>
      <c r="D20" s="813" t="s">
        <v>253</v>
      </c>
      <c r="E20" s="815">
        <v>1</v>
      </c>
      <c r="F20" s="815">
        <v>5000</v>
      </c>
      <c r="G20" s="816">
        <f>E20*F20</f>
        <v>5000</v>
      </c>
    </row>
    <row r="21" spans="1:7" s="172" customFormat="1" ht="13.8">
      <c r="A21" s="171"/>
      <c r="B21" s="171"/>
      <c r="C21" s="171"/>
      <c r="D21" s="169"/>
      <c r="E21" s="170"/>
      <c r="F21" s="171"/>
      <c r="G21" s="171"/>
    </row>
    <row r="22" spans="1:7" ht="13.8">
      <c r="A22" s="60"/>
      <c r="B22" s="177" t="s">
        <v>4</v>
      </c>
      <c r="C22" s="14" t="s">
        <v>867</v>
      </c>
      <c r="D22" s="142"/>
      <c r="E22" s="16"/>
      <c r="F22" s="15"/>
      <c r="G22" s="15"/>
    </row>
    <row r="23" spans="1:7" ht="181.5" customHeight="1">
      <c r="A23" s="61"/>
      <c r="B23" s="19" t="s">
        <v>260</v>
      </c>
      <c r="C23" s="20" t="s">
        <v>881</v>
      </c>
      <c r="D23" s="21"/>
      <c r="E23" s="16"/>
      <c r="F23" s="15"/>
      <c r="G23" s="15"/>
    </row>
    <row r="24" spans="1:7" s="160" customFormat="1" ht="67.5" customHeight="1">
      <c r="A24" s="15"/>
      <c r="B24" s="15"/>
      <c r="C24" s="20" t="s">
        <v>882</v>
      </c>
      <c r="D24" s="152"/>
      <c r="E24" s="16"/>
      <c r="F24" s="15"/>
      <c r="G24" s="15"/>
    </row>
    <row r="25" spans="1:7" s="160" customFormat="1" ht="27.6">
      <c r="A25" s="15"/>
      <c r="B25" s="15"/>
      <c r="C25" s="22" t="s">
        <v>255</v>
      </c>
      <c r="D25" s="21" t="s">
        <v>256</v>
      </c>
      <c r="E25" s="16">
        <v>1400</v>
      </c>
      <c r="F25" s="12">
        <v>15</v>
      </c>
      <c r="G25" s="85">
        <f>E25*F25</f>
        <v>21000</v>
      </c>
    </row>
    <row r="26" spans="1:7" ht="13.8">
      <c r="A26" s="15"/>
      <c r="B26" s="15"/>
      <c r="C26" s="15"/>
      <c r="D26" s="142"/>
      <c r="E26" s="16"/>
      <c r="F26" s="15"/>
      <c r="G26" s="15"/>
    </row>
    <row r="27" spans="1:7" s="303" customFormat="1" ht="90" customHeight="1">
      <c r="A27" s="17"/>
      <c r="B27" s="19" t="s">
        <v>261</v>
      </c>
      <c r="C27" s="915" t="s">
        <v>2772</v>
      </c>
      <c r="D27" s="21"/>
      <c r="E27" s="12"/>
      <c r="F27" s="15"/>
      <c r="G27" s="15"/>
    </row>
    <row r="28" spans="1:7" ht="41.4">
      <c r="A28" s="15"/>
      <c r="B28" s="15"/>
      <c r="C28" s="916" t="s">
        <v>1040</v>
      </c>
      <c r="D28" s="21"/>
      <c r="E28" s="16"/>
      <c r="F28" s="12"/>
      <c r="G28" s="209"/>
    </row>
    <row r="29" spans="1:7" ht="157.5" customHeight="1">
      <c r="A29" s="15"/>
      <c r="B29" s="15"/>
      <c r="C29" s="902" t="s">
        <v>2777</v>
      </c>
      <c r="D29" s="142"/>
      <c r="E29" s="16"/>
      <c r="F29" s="15"/>
      <c r="G29" s="15"/>
    </row>
    <row r="30" spans="1:7" ht="28.5" customHeight="1">
      <c r="A30" s="15"/>
      <c r="B30" s="15"/>
      <c r="C30" s="32" t="s">
        <v>2769</v>
      </c>
      <c r="D30" s="813" t="s">
        <v>253</v>
      </c>
      <c r="E30" s="16">
        <v>1</v>
      </c>
      <c r="F30" s="12">
        <v>1000</v>
      </c>
      <c r="G30" s="85">
        <f>E30*F30</f>
        <v>1000</v>
      </c>
    </row>
    <row r="31" spans="1:7" ht="13.8">
      <c r="A31" s="15"/>
      <c r="B31" s="175"/>
      <c r="C31" s="15"/>
      <c r="D31" s="142"/>
      <c r="E31" s="16"/>
      <c r="F31" s="15"/>
      <c r="G31" s="15"/>
    </row>
    <row r="32" spans="1:7" ht="192.75" customHeight="1">
      <c r="A32" s="15"/>
      <c r="B32" s="19" t="s">
        <v>262</v>
      </c>
      <c r="C32" s="25" t="s">
        <v>1184</v>
      </c>
      <c r="D32" s="21"/>
      <c r="E32" s="26"/>
      <c r="F32" s="15"/>
      <c r="G32" s="15"/>
    </row>
    <row r="33" spans="1:7" ht="110.4">
      <c r="A33" s="15"/>
      <c r="B33" s="15"/>
      <c r="C33" s="36" t="s">
        <v>920</v>
      </c>
      <c r="D33" s="142"/>
      <c r="E33" s="16"/>
      <c r="F33" s="15"/>
      <c r="G33" s="15"/>
    </row>
    <row r="34" spans="1:7" ht="96.6">
      <c r="A34" s="15"/>
      <c r="B34" s="175"/>
      <c r="C34" s="36" t="s">
        <v>921</v>
      </c>
      <c r="D34" s="142"/>
      <c r="E34" s="16"/>
      <c r="F34" s="15"/>
      <c r="G34" s="15"/>
    </row>
    <row r="35" spans="1:7" s="160" customFormat="1" ht="41.4">
      <c r="A35" s="15"/>
      <c r="B35" s="15"/>
      <c r="C35" s="36" t="s">
        <v>2759</v>
      </c>
      <c r="D35" s="21" t="s">
        <v>253</v>
      </c>
      <c r="E35" s="16">
        <v>1</v>
      </c>
      <c r="F35" s="12">
        <v>500</v>
      </c>
      <c r="G35" s="85">
        <f>E35*F35</f>
        <v>500</v>
      </c>
    </row>
    <row r="36" spans="1:7" s="160" customFormat="1" ht="13.8">
      <c r="A36" s="15"/>
      <c r="B36" s="175"/>
      <c r="C36" s="15"/>
      <c r="D36" s="142"/>
      <c r="E36" s="16"/>
      <c r="F36" s="15"/>
      <c r="G36" s="15"/>
    </row>
    <row r="37" spans="1:7" s="160" customFormat="1" ht="55.2">
      <c r="A37" s="15"/>
      <c r="B37" s="19" t="s">
        <v>263</v>
      </c>
      <c r="C37" s="36" t="s">
        <v>922</v>
      </c>
      <c r="D37" s="21" t="s">
        <v>253</v>
      </c>
      <c r="E37" s="16">
        <v>1</v>
      </c>
      <c r="F37" s="12">
        <v>2500</v>
      </c>
      <c r="G37" s="85">
        <f>E37*F37</f>
        <v>2500</v>
      </c>
    </row>
    <row r="38" spans="1:7" ht="13.8">
      <c r="A38" s="15"/>
      <c r="B38" s="175"/>
      <c r="C38" s="15"/>
      <c r="D38" s="142"/>
      <c r="E38" s="16"/>
      <c r="F38" s="15"/>
      <c r="G38" s="15"/>
    </row>
    <row r="39" spans="1:7" ht="13.8">
      <c r="A39" s="82" t="s">
        <v>868</v>
      </c>
      <c r="B39" s="53" t="s">
        <v>871</v>
      </c>
      <c r="C39" s="54" t="s">
        <v>913</v>
      </c>
      <c r="D39" s="153"/>
      <c r="E39" s="54"/>
      <c r="F39" s="54"/>
      <c r="G39" s="84">
        <f>SUM(G10:G37)</f>
        <v>34750</v>
      </c>
    </row>
    <row r="40" spans="1:7" ht="13.8">
      <c r="A40" s="15"/>
      <c r="B40" s="15"/>
      <c r="C40" s="15"/>
      <c r="D40" s="142"/>
      <c r="E40" s="16"/>
      <c r="F40" s="15"/>
      <c r="G40" s="15"/>
    </row>
    <row r="41" spans="1:7" ht="13.8">
      <c r="A41" s="15"/>
      <c r="B41" s="175"/>
      <c r="C41" s="15"/>
      <c r="D41" s="142"/>
      <c r="E41" s="16"/>
      <c r="F41" s="15"/>
      <c r="G41" s="15"/>
    </row>
    <row r="42" spans="1:7" ht="13.8">
      <c r="A42" s="60" t="s">
        <v>868</v>
      </c>
      <c r="B42" s="176" t="s">
        <v>872</v>
      </c>
      <c r="C42" s="174" t="s">
        <v>914</v>
      </c>
      <c r="D42" s="142"/>
      <c r="E42" s="16"/>
      <c r="F42" s="15"/>
      <c r="G42" s="15"/>
    </row>
    <row r="43" spans="1:7" ht="13.8">
      <c r="A43" s="15"/>
      <c r="B43" s="47"/>
      <c r="C43" s="15"/>
      <c r="D43" s="142"/>
      <c r="E43" s="16"/>
      <c r="F43" s="15"/>
      <c r="G43" s="15"/>
    </row>
    <row r="44" spans="1:7" s="178" customFormat="1" ht="13.8">
      <c r="A44" s="60"/>
      <c r="B44" s="177" t="s">
        <v>0</v>
      </c>
      <c r="C44" s="14" t="s">
        <v>1022</v>
      </c>
      <c r="D44" s="179"/>
      <c r="E44" s="180"/>
      <c r="F44" s="14"/>
      <c r="G44" s="14"/>
    </row>
    <row r="45" spans="1:7" s="160" customFormat="1" ht="221.25" customHeight="1">
      <c r="A45" s="17"/>
      <c r="B45" s="18" t="s">
        <v>252</v>
      </c>
      <c r="C45" s="24" t="s">
        <v>364</v>
      </c>
      <c r="D45" s="21"/>
      <c r="E45" s="29"/>
      <c r="F45" s="15"/>
      <c r="G45" s="15"/>
    </row>
    <row r="46" spans="1:7" s="160" customFormat="1" ht="13.8">
      <c r="A46" s="15"/>
      <c r="B46" s="15"/>
      <c r="C46" s="30" t="s">
        <v>851</v>
      </c>
      <c r="D46" s="21" t="s">
        <v>266</v>
      </c>
      <c r="E46" s="29">
        <v>10</v>
      </c>
      <c r="F46" s="12">
        <v>500</v>
      </c>
      <c r="G46" s="85">
        <f>F46*E46</f>
        <v>5000</v>
      </c>
    </row>
    <row r="47" spans="1:7" s="160" customFormat="1" ht="13.8">
      <c r="A47" s="15"/>
      <c r="B47" s="15"/>
      <c r="C47" s="30" t="s">
        <v>852</v>
      </c>
      <c r="D47" s="21" t="s">
        <v>253</v>
      </c>
      <c r="E47" s="29">
        <v>1</v>
      </c>
      <c r="F47" s="12">
        <v>3000</v>
      </c>
      <c r="G47" s="85">
        <f>F47*E47</f>
        <v>3000</v>
      </c>
    </row>
    <row r="48" spans="1:7" s="160" customFormat="1" ht="13.8">
      <c r="A48" s="15"/>
      <c r="B48" s="15"/>
      <c r="C48" s="15"/>
      <c r="D48" s="142"/>
      <c r="E48" s="16"/>
      <c r="F48" s="15"/>
      <c r="G48" s="15"/>
    </row>
    <row r="49" spans="1:7" s="160" customFormat="1" ht="207" customHeight="1">
      <c r="A49" s="15"/>
      <c r="B49" s="18" t="s">
        <v>254</v>
      </c>
      <c r="C49" s="24" t="s">
        <v>419</v>
      </c>
      <c r="D49" s="142"/>
      <c r="E49" s="43"/>
      <c r="F49" s="43"/>
      <c r="G49" s="43"/>
    </row>
    <row r="50" spans="1:7" s="160" customFormat="1" ht="13.8">
      <c r="A50" s="15"/>
      <c r="B50" s="15"/>
      <c r="C50" s="30" t="s">
        <v>851</v>
      </c>
      <c r="D50" s="21" t="s">
        <v>266</v>
      </c>
      <c r="E50" s="29">
        <v>5</v>
      </c>
      <c r="F50" s="12">
        <v>500</v>
      </c>
      <c r="G50" s="85">
        <f>E50*F50</f>
        <v>2500</v>
      </c>
    </row>
    <row r="51" spans="1:7" s="160" customFormat="1" ht="13.8">
      <c r="A51" s="15"/>
      <c r="B51" s="15"/>
      <c r="C51" s="30" t="s">
        <v>852</v>
      </c>
      <c r="D51" s="21" t="s">
        <v>253</v>
      </c>
      <c r="E51" s="29">
        <v>1</v>
      </c>
      <c r="F51" s="12">
        <v>3000</v>
      </c>
      <c r="G51" s="85">
        <f>E51*F51</f>
        <v>3000</v>
      </c>
    </row>
    <row r="52" spans="1:7" ht="13.8">
      <c r="A52" s="15"/>
      <c r="B52" s="15"/>
      <c r="C52" s="15"/>
      <c r="D52" s="142"/>
      <c r="E52" s="16"/>
      <c r="F52" s="15"/>
      <c r="G52" s="15"/>
    </row>
    <row r="53" spans="1:7" ht="13.8">
      <c r="A53" s="82" t="s">
        <v>868</v>
      </c>
      <c r="B53" s="53" t="s">
        <v>872</v>
      </c>
      <c r="C53" s="54" t="s">
        <v>915</v>
      </c>
      <c r="D53" s="153"/>
      <c r="E53" s="54"/>
      <c r="F53" s="54"/>
      <c r="G53" s="84">
        <f>SUM(G46:G51)</f>
        <v>13500</v>
      </c>
    </row>
    <row r="54" spans="1:7" ht="12.75" customHeight="1">
      <c r="A54" s="15"/>
      <c r="B54" s="175"/>
      <c r="C54" s="15"/>
      <c r="D54" s="142"/>
      <c r="E54" s="16"/>
      <c r="F54" s="15"/>
      <c r="G54" s="15"/>
    </row>
    <row r="55" spans="1:7" ht="13.8">
      <c r="A55" s="80"/>
      <c r="B55" s="81"/>
      <c r="C55" s="51"/>
      <c r="D55" s="154"/>
      <c r="E55" s="51"/>
      <c r="F55" s="51"/>
      <c r="G55" s="52"/>
    </row>
    <row r="56" spans="1:7" s="178" customFormat="1" ht="13.8">
      <c r="A56" s="59" t="s">
        <v>868</v>
      </c>
      <c r="B56" s="33" t="s">
        <v>874</v>
      </c>
      <c r="C56" s="937" t="s">
        <v>259</v>
      </c>
      <c r="D56" s="938"/>
      <c r="E56" s="141"/>
      <c r="F56" s="141"/>
      <c r="G56" s="28"/>
    </row>
    <row r="57" spans="1:7" ht="13.8">
      <c r="A57" s="15"/>
      <c r="B57" s="47"/>
      <c r="C57" s="15"/>
      <c r="D57" s="142"/>
      <c r="E57" s="16"/>
      <c r="F57" s="15"/>
      <c r="G57" s="15"/>
    </row>
    <row r="58" spans="1:7" s="178" customFormat="1" ht="13.8">
      <c r="A58" s="60"/>
      <c r="B58" s="177" t="s">
        <v>0</v>
      </c>
      <c r="C58" s="14" t="s">
        <v>1022</v>
      </c>
      <c r="D58" s="179"/>
      <c r="E58" s="180"/>
      <c r="F58" s="14"/>
      <c r="G58" s="14"/>
    </row>
    <row r="59" spans="1:7" s="772" customFormat="1" ht="86.25" customHeight="1">
      <c r="A59" s="766"/>
      <c r="B59" s="767" t="s">
        <v>252</v>
      </c>
      <c r="C59" s="768" t="s">
        <v>2650</v>
      </c>
      <c r="D59" s="776" t="s">
        <v>291</v>
      </c>
      <c r="E59" s="777">
        <v>1</v>
      </c>
      <c r="F59" s="778"/>
      <c r="G59" s="802"/>
    </row>
    <row r="60" spans="1:7" ht="13.8">
      <c r="A60" s="61"/>
      <c r="B60" s="18"/>
      <c r="C60" s="140"/>
      <c r="D60" s="155"/>
      <c r="E60" s="141"/>
      <c r="F60" s="141"/>
      <c r="G60" s="28"/>
    </row>
    <row r="61" spans="1:7" s="809" customFormat="1" ht="108" customHeight="1">
      <c r="A61" s="803"/>
      <c r="B61" s="804" t="s">
        <v>252</v>
      </c>
      <c r="C61" s="901" t="s">
        <v>2773</v>
      </c>
      <c r="D61" s="813" t="s">
        <v>291</v>
      </c>
      <c r="E61" s="814">
        <v>1</v>
      </c>
      <c r="F61" s="815">
        <v>1000</v>
      </c>
      <c r="G61" s="816">
        <f>E61*F61</f>
        <v>1000</v>
      </c>
    </row>
    <row r="62" spans="1:7" ht="13.8">
      <c r="A62" s="61"/>
      <c r="B62" s="18"/>
      <c r="C62" s="140"/>
      <c r="D62" s="155"/>
      <c r="E62" s="141"/>
      <c r="F62" s="141"/>
      <c r="G62" s="28"/>
    </row>
    <row r="63" spans="1:7" ht="222" customHeight="1">
      <c r="A63" s="61"/>
      <c r="B63" s="18" t="s">
        <v>254</v>
      </c>
      <c r="C63" s="24" t="s">
        <v>968</v>
      </c>
      <c r="D63" s="21"/>
      <c r="E63" s="31"/>
      <c r="F63" s="15"/>
      <c r="G63" s="15"/>
    </row>
    <row r="64" spans="1:7" ht="13.8">
      <c r="A64" s="15"/>
      <c r="B64" s="15"/>
      <c r="C64" s="167"/>
      <c r="D64" s="21" t="s">
        <v>256</v>
      </c>
      <c r="E64" s="29">
        <v>250</v>
      </c>
      <c r="F64" s="12">
        <v>20</v>
      </c>
      <c r="G64" s="85">
        <f>E64*F64</f>
        <v>5000</v>
      </c>
    </row>
    <row r="65" spans="1:7" ht="13.8">
      <c r="A65" s="61"/>
      <c r="B65" s="18"/>
      <c r="C65" s="140"/>
      <c r="D65" s="155"/>
      <c r="E65" s="141"/>
      <c r="F65" s="141"/>
      <c r="G65" s="28"/>
    </row>
    <row r="66" spans="1:7" ht="81" customHeight="1">
      <c r="A66" s="61"/>
      <c r="B66" s="18" t="s">
        <v>257</v>
      </c>
      <c r="C66" s="32" t="s">
        <v>847</v>
      </c>
      <c r="D66" s="21"/>
      <c r="E66" s="31"/>
      <c r="F66" s="15"/>
      <c r="G66" s="15"/>
    </row>
    <row r="67" spans="1:7" ht="13.8">
      <c r="A67" s="15"/>
      <c r="B67" s="15"/>
      <c r="C67" s="32" t="s">
        <v>300</v>
      </c>
      <c r="D67" s="71" t="s">
        <v>273</v>
      </c>
      <c r="E67" s="29">
        <v>10</v>
      </c>
      <c r="F67" s="12">
        <v>500</v>
      </c>
      <c r="G67" s="85">
        <f>E67*F67</f>
        <v>5000</v>
      </c>
    </row>
    <row r="68" spans="1:7" ht="13.8">
      <c r="A68" s="61"/>
      <c r="B68" s="18"/>
      <c r="C68" s="140"/>
      <c r="D68" s="155"/>
      <c r="E68" s="141"/>
      <c r="F68" s="141"/>
      <c r="G68" s="28"/>
    </row>
    <row r="69" spans="1:7" ht="82.8">
      <c r="A69" s="61"/>
      <c r="B69" s="18" t="s">
        <v>304</v>
      </c>
      <c r="C69" s="32" t="s">
        <v>969</v>
      </c>
      <c r="D69" s="71"/>
      <c r="E69" s="31"/>
      <c r="F69" s="15"/>
      <c r="G69" s="15"/>
    </row>
    <row r="70" spans="1:7" ht="13.8">
      <c r="A70" s="15"/>
      <c r="B70" s="15"/>
      <c r="C70" s="32" t="s">
        <v>999</v>
      </c>
      <c r="D70" s="71" t="s">
        <v>265</v>
      </c>
      <c r="E70" s="29">
        <v>55</v>
      </c>
      <c r="F70" s="12">
        <v>5</v>
      </c>
      <c r="G70" s="85">
        <f>E70*F70</f>
        <v>275</v>
      </c>
    </row>
    <row r="71" spans="1:7" ht="13.8">
      <c r="A71" s="15"/>
      <c r="B71" s="15"/>
      <c r="C71" s="32" t="s">
        <v>1000</v>
      </c>
      <c r="D71" s="142" t="s">
        <v>266</v>
      </c>
      <c r="E71" s="29">
        <v>55</v>
      </c>
      <c r="F71" s="12">
        <v>5</v>
      </c>
      <c r="G71" s="85">
        <f>E71*F71</f>
        <v>275</v>
      </c>
    </row>
    <row r="72" spans="1:7" ht="13.8">
      <c r="A72" s="15"/>
      <c r="B72" s="15"/>
      <c r="C72" s="30"/>
      <c r="D72" s="21"/>
      <c r="E72" s="31"/>
      <c r="F72" s="15"/>
      <c r="G72" s="15"/>
    </row>
    <row r="73" spans="1:7" ht="108" customHeight="1">
      <c r="A73" s="61"/>
      <c r="B73" s="18" t="s">
        <v>319</v>
      </c>
      <c r="C73" s="32" t="s">
        <v>934</v>
      </c>
      <c r="D73" s="71"/>
      <c r="E73" s="31"/>
      <c r="F73" s="15"/>
      <c r="G73" s="15"/>
    </row>
    <row r="74" spans="1:7" ht="13.8">
      <c r="A74" s="15"/>
      <c r="B74" s="15"/>
      <c r="C74" s="32" t="s">
        <v>1001</v>
      </c>
      <c r="D74" s="71" t="s">
        <v>268</v>
      </c>
      <c r="E74" s="29">
        <v>12</v>
      </c>
      <c r="F74" s="12">
        <v>5</v>
      </c>
      <c r="G74" s="85">
        <f>F74*E74</f>
        <v>60</v>
      </c>
    </row>
    <row r="75" spans="1:7" ht="13.8">
      <c r="A75" s="15"/>
      <c r="B75" s="15"/>
      <c r="C75" s="32" t="s">
        <v>998</v>
      </c>
      <c r="D75" s="142" t="s">
        <v>266</v>
      </c>
      <c r="E75" s="29">
        <v>12</v>
      </c>
      <c r="F75" s="12">
        <v>5</v>
      </c>
      <c r="G75" s="85">
        <f>F75*E75</f>
        <v>60</v>
      </c>
    </row>
    <row r="76" spans="1:7" ht="13.8">
      <c r="A76" s="61"/>
      <c r="B76" s="18"/>
      <c r="C76" s="140"/>
      <c r="D76" s="155"/>
      <c r="E76" s="141"/>
      <c r="F76" s="141"/>
      <c r="G76" s="28"/>
    </row>
    <row r="77" spans="1:7" ht="207.75" customHeight="1">
      <c r="A77" s="61"/>
      <c r="B77" s="18" t="s">
        <v>307</v>
      </c>
      <c r="C77" s="32" t="s">
        <v>848</v>
      </c>
      <c r="D77" s="71"/>
      <c r="E77" s="31"/>
      <c r="F77" s="15"/>
      <c r="G77" s="15"/>
    </row>
    <row r="78" spans="1:7" ht="13.8">
      <c r="A78" s="15"/>
      <c r="B78" s="15"/>
      <c r="C78" s="32" t="s">
        <v>270</v>
      </c>
      <c r="D78" s="71" t="s">
        <v>268</v>
      </c>
      <c r="E78" s="29">
        <v>12</v>
      </c>
      <c r="F78" s="12">
        <v>5</v>
      </c>
      <c r="G78" s="85">
        <f>E78*F78</f>
        <v>60</v>
      </c>
    </row>
    <row r="79" spans="1:7" ht="13.8">
      <c r="A79" s="61"/>
      <c r="B79" s="18"/>
      <c r="C79" s="140"/>
      <c r="D79" s="155"/>
      <c r="E79" s="141"/>
      <c r="F79" s="141"/>
      <c r="G79" s="28"/>
    </row>
    <row r="80" spans="1:7" ht="96.6">
      <c r="A80" s="61"/>
      <c r="B80" s="18" t="s">
        <v>308</v>
      </c>
      <c r="C80" s="32" t="s">
        <v>935</v>
      </c>
      <c r="D80" s="71"/>
      <c r="E80" s="31"/>
      <c r="F80" s="15"/>
      <c r="G80" s="15"/>
    </row>
    <row r="81" spans="1:7" ht="27.6">
      <c r="A81" s="15"/>
      <c r="B81" s="15"/>
      <c r="C81" s="32" t="s">
        <v>272</v>
      </c>
      <c r="D81" s="71" t="s">
        <v>273</v>
      </c>
      <c r="E81" s="29">
        <v>2</v>
      </c>
      <c r="F81" s="12">
        <v>1000</v>
      </c>
      <c r="G81" s="85">
        <f>E81*F81</f>
        <v>2000</v>
      </c>
    </row>
    <row r="82" spans="1:7" ht="13.8">
      <c r="A82" s="61"/>
      <c r="B82" s="18"/>
      <c r="C82" s="140"/>
      <c r="D82" s="155"/>
      <c r="E82" s="141"/>
      <c r="F82" s="141"/>
      <c r="G82" s="28"/>
    </row>
    <row r="83" spans="1:7" s="160" customFormat="1" ht="111.6" customHeight="1">
      <c r="A83" s="17"/>
      <c r="B83" s="18" t="s">
        <v>320</v>
      </c>
      <c r="C83" s="183" t="s">
        <v>917</v>
      </c>
      <c r="D83" s="71"/>
      <c r="E83" s="31"/>
      <c r="F83" s="15"/>
      <c r="G83" s="15"/>
    </row>
    <row r="84" spans="1:7" s="160" customFormat="1" ht="13.8">
      <c r="A84" s="15"/>
      <c r="B84" s="15"/>
      <c r="C84" s="32" t="s">
        <v>274</v>
      </c>
      <c r="D84" s="71" t="s">
        <v>256</v>
      </c>
      <c r="E84" s="29">
        <v>220</v>
      </c>
      <c r="F84" s="12">
        <v>15</v>
      </c>
      <c r="G84" s="85">
        <f>E84*F84</f>
        <v>3300</v>
      </c>
    </row>
    <row r="85" spans="1:7" ht="13.8">
      <c r="A85" s="61"/>
      <c r="B85" s="18"/>
      <c r="C85" s="140"/>
      <c r="D85" s="155"/>
      <c r="E85" s="141"/>
      <c r="F85" s="141"/>
      <c r="G85" s="28"/>
    </row>
    <row r="86" spans="1:7" ht="138">
      <c r="A86" s="61"/>
      <c r="B86" s="18" t="s">
        <v>321</v>
      </c>
      <c r="C86" s="32" t="s">
        <v>879</v>
      </c>
      <c r="D86" s="142"/>
      <c r="E86" s="31"/>
      <c r="F86" s="15"/>
      <c r="G86" s="15"/>
    </row>
    <row r="87" spans="1:7" ht="13.8">
      <c r="A87" s="15"/>
      <c r="B87" s="15"/>
      <c r="C87" s="32" t="s">
        <v>277</v>
      </c>
      <c r="D87" s="142" t="s">
        <v>273</v>
      </c>
      <c r="E87" s="29">
        <v>6</v>
      </c>
      <c r="F87" s="12">
        <v>300</v>
      </c>
      <c r="G87" s="85">
        <f>E87*F87</f>
        <v>1800</v>
      </c>
    </row>
    <row r="88" spans="1:7" ht="13.8">
      <c r="A88" s="59"/>
      <c r="B88" s="33"/>
      <c r="C88" s="141"/>
      <c r="D88" s="156"/>
      <c r="E88" s="141"/>
      <c r="F88" s="141"/>
      <c r="G88" s="28"/>
    </row>
    <row r="89" spans="1:7" s="160" customFormat="1" ht="106.5" customHeight="1">
      <c r="A89" s="17"/>
      <c r="B89" s="18" t="s">
        <v>322</v>
      </c>
      <c r="C89" s="183" t="s">
        <v>1064</v>
      </c>
      <c r="D89" s="71"/>
      <c r="E89" s="31"/>
      <c r="F89" s="15"/>
      <c r="G89" s="15"/>
    </row>
    <row r="90" spans="1:7" s="160" customFormat="1" ht="13.8">
      <c r="A90" s="15"/>
      <c r="B90" s="15"/>
      <c r="C90" s="32" t="s">
        <v>274</v>
      </c>
      <c r="D90" s="71" t="s">
        <v>256</v>
      </c>
      <c r="E90" s="29">
        <v>220</v>
      </c>
      <c r="F90" s="12">
        <v>30</v>
      </c>
      <c r="G90" s="85">
        <f>E90*F90</f>
        <v>6600</v>
      </c>
    </row>
    <row r="91" spans="1:7" ht="13.8">
      <c r="A91" s="15"/>
      <c r="B91" s="15"/>
      <c r="C91" s="32"/>
      <c r="D91" s="71"/>
      <c r="E91" s="31"/>
      <c r="F91" s="15"/>
      <c r="G91" s="15"/>
    </row>
    <row r="92" spans="1:7" ht="138">
      <c r="A92" s="61"/>
      <c r="B92" s="18" t="s">
        <v>324</v>
      </c>
      <c r="C92" s="32" t="s">
        <v>936</v>
      </c>
      <c r="D92" s="142"/>
      <c r="E92" s="31"/>
      <c r="F92" s="15"/>
      <c r="G92" s="15"/>
    </row>
    <row r="93" spans="1:7" ht="13.8">
      <c r="A93" s="15"/>
      <c r="B93" s="15"/>
      <c r="C93" s="32" t="s">
        <v>278</v>
      </c>
      <c r="D93" s="142" t="s">
        <v>273</v>
      </c>
      <c r="E93" s="29">
        <v>24</v>
      </c>
      <c r="F93" s="12">
        <v>200</v>
      </c>
      <c r="G93" s="85">
        <f>E93*F93</f>
        <v>4800</v>
      </c>
    </row>
    <row r="94" spans="1:7" ht="13.8">
      <c r="A94" s="15"/>
      <c r="B94" s="15"/>
      <c r="C94" s="32"/>
      <c r="D94" s="142"/>
      <c r="E94" s="29"/>
      <c r="F94" s="12"/>
      <c r="G94" s="23"/>
    </row>
    <row r="95" spans="1:7" ht="93.75" customHeight="1">
      <c r="A95" s="61"/>
      <c r="B95" s="18" t="s">
        <v>873</v>
      </c>
      <c r="C95" s="32" t="s">
        <v>970</v>
      </c>
      <c r="D95" s="71"/>
      <c r="E95" s="29"/>
      <c r="F95" s="12"/>
      <c r="G95" s="23"/>
    </row>
    <row r="96" spans="1:7" ht="13.8">
      <c r="A96" s="15"/>
      <c r="B96" s="15"/>
      <c r="C96" s="32"/>
      <c r="D96" s="71" t="s">
        <v>268</v>
      </c>
      <c r="E96" s="29">
        <v>6</v>
      </c>
      <c r="F96" s="12">
        <v>10</v>
      </c>
      <c r="G96" s="85">
        <f>E96*F96</f>
        <v>60</v>
      </c>
    </row>
    <row r="97" spans="1:7" ht="13.8">
      <c r="A97" s="59"/>
      <c r="B97" s="27"/>
      <c r="C97" s="141"/>
      <c r="D97" s="156"/>
      <c r="E97" s="141"/>
      <c r="F97" s="141"/>
      <c r="G97" s="28"/>
    </row>
    <row r="98" spans="1:7" ht="312" customHeight="1">
      <c r="A98" s="61"/>
      <c r="B98" s="18" t="s">
        <v>876</v>
      </c>
      <c r="C98" s="22" t="s">
        <v>301</v>
      </c>
      <c r="D98" s="156"/>
      <c r="E98" s="141"/>
      <c r="F98" s="141"/>
      <c r="G98" s="28"/>
    </row>
    <row r="99" spans="1:7" ht="41.4">
      <c r="A99" s="59"/>
      <c r="B99" s="27"/>
      <c r="C99" s="25" t="s">
        <v>850</v>
      </c>
      <c r="D99" s="21" t="s">
        <v>268</v>
      </c>
      <c r="E99" s="12">
        <v>6</v>
      </c>
      <c r="F99" s="12">
        <v>100</v>
      </c>
      <c r="G99" s="85">
        <f>E99*F99</f>
        <v>600</v>
      </c>
    </row>
    <row r="100" spans="1:7" ht="13.8">
      <c r="A100" s="15"/>
      <c r="B100" s="15"/>
      <c r="C100" s="15"/>
      <c r="D100" s="142"/>
      <c r="E100" s="16"/>
      <c r="F100" s="15"/>
      <c r="G100" s="15"/>
    </row>
    <row r="101" spans="1:7" ht="94.5" customHeight="1">
      <c r="A101" s="70"/>
      <c r="B101" s="18" t="s">
        <v>877</v>
      </c>
      <c r="C101" s="64" t="s">
        <v>967</v>
      </c>
      <c r="D101" s="144"/>
      <c r="E101" s="73"/>
      <c r="F101" s="41"/>
      <c r="G101" s="73"/>
    </row>
    <row r="102" spans="1:7" ht="55.5" customHeight="1">
      <c r="A102" s="70"/>
      <c r="B102" s="18"/>
      <c r="C102" s="64" t="s">
        <v>286</v>
      </c>
      <c r="D102" s="144"/>
      <c r="E102" s="73"/>
      <c r="F102" s="41"/>
      <c r="G102" s="73"/>
    </row>
    <row r="103" spans="1:7" ht="17.25" customHeight="1">
      <c r="A103" s="70"/>
      <c r="B103" s="18"/>
      <c r="C103" s="64" t="s">
        <v>287</v>
      </c>
      <c r="D103" s="144" t="s">
        <v>256</v>
      </c>
      <c r="E103" s="158">
        <v>240</v>
      </c>
      <c r="F103" s="41">
        <v>20</v>
      </c>
      <c r="G103" s="87">
        <f>E103*F103</f>
        <v>4800</v>
      </c>
    </row>
    <row r="104" spans="1:7" ht="13.8">
      <c r="A104" s="70"/>
      <c r="B104" s="18"/>
      <c r="C104" s="64"/>
      <c r="D104" s="144"/>
      <c r="E104" s="73"/>
      <c r="F104" s="41"/>
      <c r="G104" s="73"/>
    </row>
    <row r="105" spans="1:7" ht="69">
      <c r="A105" s="70"/>
      <c r="B105" s="18" t="s">
        <v>880</v>
      </c>
      <c r="C105" s="64" t="s">
        <v>854</v>
      </c>
      <c r="D105" s="144"/>
      <c r="E105" s="73"/>
      <c r="F105" s="41"/>
      <c r="G105" s="73"/>
    </row>
    <row r="106" spans="1:7" ht="56.25" customHeight="1">
      <c r="A106" s="70"/>
      <c r="B106" s="18"/>
      <c r="C106" s="64" t="s">
        <v>843</v>
      </c>
      <c r="D106" s="144"/>
      <c r="E106" s="73"/>
      <c r="F106" s="41"/>
      <c r="G106" s="73"/>
    </row>
    <row r="107" spans="1:7" ht="16.5" customHeight="1">
      <c r="A107" s="70"/>
      <c r="B107" s="18"/>
      <c r="C107" s="64" t="s">
        <v>453</v>
      </c>
      <c r="D107" s="144" t="s">
        <v>273</v>
      </c>
      <c r="E107" s="73">
        <v>30</v>
      </c>
      <c r="F107" s="41">
        <v>500</v>
      </c>
      <c r="G107" s="87">
        <f>E107*F107</f>
        <v>15000</v>
      </c>
    </row>
    <row r="108" spans="1:7" ht="13.8">
      <c r="A108" s="15"/>
      <c r="B108" s="15"/>
      <c r="C108" s="15"/>
      <c r="D108" s="142"/>
      <c r="E108" s="16"/>
      <c r="F108" s="15"/>
      <c r="G108" s="15"/>
    </row>
    <row r="109" spans="1:7" ht="156" customHeight="1">
      <c r="A109" s="61"/>
      <c r="B109" s="18" t="s">
        <v>916</v>
      </c>
      <c r="C109" s="182" t="s">
        <v>2760</v>
      </c>
      <c r="D109" s="156"/>
      <c r="E109" s="141"/>
      <c r="F109" s="141"/>
      <c r="G109" s="28"/>
    </row>
    <row r="110" spans="1:7" ht="18" customHeight="1">
      <c r="A110" s="59"/>
      <c r="B110" s="33"/>
      <c r="C110" s="32" t="s">
        <v>1077</v>
      </c>
      <c r="D110" s="21" t="s">
        <v>266</v>
      </c>
      <c r="E110" s="29">
        <v>7</v>
      </c>
      <c r="F110" s="12">
        <v>200</v>
      </c>
      <c r="G110" s="85">
        <f>E110*F110</f>
        <v>1400</v>
      </c>
    </row>
    <row r="111" spans="1:7" ht="13.8">
      <c r="A111" s="59"/>
      <c r="B111" s="33"/>
      <c r="C111" s="32" t="s">
        <v>996</v>
      </c>
      <c r="D111" s="21" t="s">
        <v>266</v>
      </c>
      <c r="E111" s="29">
        <v>1</v>
      </c>
      <c r="F111" s="12">
        <v>100</v>
      </c>
      <c r="G111" s="85">
        <f>E111*F111</f>
        <v>100</v>
      </c>
    </row>
    <row r="112" spans="1:7" s="160" customFormat="1" ht="27.6">
      <c r="A112" s="181"/>
      <c r="B112" s="33"/>
      <c r="C112" s="32" t="s">
        <v>1002</v>
      </c>
      <c r="D112" s="71" t="s">
        <v>266</v>
      </c>
      <c r="E112" s="233">
        <v>1</v>
      </c>
      <c r="F112" s="35">
        <v>300</v>
      </c>
      <c r="G112" s="85">
        <f>E112*F112</f>
        <v>300</v>
      </c>
    </row>
    <row r="113" spans="1:7" s="160" customFormat="1" ht="27.6">
      <c r="A113" s="181"/>
      <c r="B113" s="33"/>
      <c r="C113" s="32" t="s">
        <v>1003</v>
      </c>
      <c r="D113" s="71" t="s">
        <v>266</v>
      </c>
      <c r="E113" s="233">
        <v>1</v>
      </c>
      <c r="F113" s="35">
        <v>200</v>
      </c>
      <c r="G113" s="85">
        <f>E113*F113</f>
        <v>200</v>
      </c>
    </row>
    <row r="114" spans="1:7" s="160" customFormat="1" ht="13.8">
      <c r="A114" s="181"/>
      <c r="B114" s="33"/>
      <c r="C114" s="32" t="s">
        <v>1004</v>
      </c>
      <c r="D114" s="71" t="s">
        <v>266</v>
      </c>
      <c r="E114" s="233">
        <v>2</v>
      </c>
      <c r="F114" s="35">
        <v>250</v>
      </c>
      <c r="G114" s="85">
        <f>E114*F114</f>
        <v>500</v>
      </c>
    </row>
    <row r="115" spans="1:7" ht="13.8">
      <c r="A115" s="15"/>
      <c r="B115" s="15"/>
      <c r="C115" s="15"/>
      <c r="D115" s="142"/>
      <c r="E115" s="16"/>
      <c r="F115" s="15"/>
      <c r="G115" s="15"/>
    </row>
    <row r="116" spans="1:7" ht="68.25" customHeight="1">
      <c r="A116" s="61"/>
      <c r="B116" s="18" t="s">
        <v>918</v>
      </c>
      <c r="C116" s="182" t="s">
        <v>919</v>
      </c>
      <c r="D116" s="156"/>
      <c r="E116" s="141"/>
      <c r="F116" s="141"/>
      <c r="G116" s="28"/>
    </row>
    <row r="117" spans="1:7" ht="13.8">
      <c r="A117" s="59"/>
      <c r="B117" s="33"/>
      <c r="C117" s="32" t="s">
        <v>997</v>
      </c>
      <c r="D117" s="21" t="s">
        <v>266</v>
      </c>
      <c r="E117" s="29">
        <v>13</v>
      </c>
      <c r="F117" s="12">
        <v>50</v>
      </c>
      <c r="G117" s="85">
        <f>E117*F117</f>
        <v>650</v>
      </c>
    </row>
    <row r="118" spans="1:7" ht="13.8">
      <c r="A118" s="80"/>
      <c r="B118" s="81"/>
      <c r="C118" s="51"/>
      <c r="D118" s="154"/>
      <c r="E118" s="51"/>
      <c r="F118" s="51"/>
      <c r="G118" s="52"/>
    </row>
    <row r="119" spans="1:7" s="160" customFormat="1" ht="27.6">
      <c r="A119" s="17"/>
      <c r="B119" s="18" t="s">
        <v>925</v>
      </c>
      <c r="C119" s="36" t="s">
        <v>944</v>
      </c>
      <c r="D119" s="142"/>
      <c r="E119" s="43"/>
      <c r="F119" s="43"/>
      <c r="G119" s="43"/>
    </row>
    <row r="120" spans="1:7" s="160" customFormat="1" ht="220.8">
      <c r="A120" s="17"/>
      <c r="B120" s="18"/>
      <c r="C120" s="36" t="s">
        <v>2761</v>
      </c>
      <c r="D120" s="142"/>
      <c r="E120" s="43"/>
      <c r="F120" s="43"/>
      <c r="G120" s="43"/>
    </row>
    <row r="121" spans="1:7" s="809" customFormat="1" ht="27.6">
      <c r="A121" s="803"/>
      <c r="B121" s="804"/>
      <c r="C121" s="902" t="s">
        <v>2762</v>
      </c>
      <c r="D121" s="903" t="s">
        <v>256</v>
      </c>
      <c r="E121" s="43">
        <v>150</v>
      </c>
      <c r="F121" s="43">
        <v>40</v>
      </c>
      <c r="G121" s="86">
        <f>F121*E121</f>
        <v>6000</v>
      </c>
    </row>
    <row r="122" spans="1:7" ht="13.8">
      <c r="A122" s="74"/>
      <c r="B122" s="33"/>
      <c r="C122" s="141"/>
      <c r="D122" s="156"/>
      <c r="E122" s="141"/>
      <c r="F122" s="141"/>
      <c r="G122" s="28"/>
    </row>
    <row r="123" spans="1:7" s="160" customFormat="1" ht="51.75" customHeight="1">
      <c r="A123" s="17"/>
      <c r="B123" s="18" t="s">
        <v>926</v>
      </c>
      <c r="C123" s="36" t="s">
        <v>927</v>
      </c>
      <c r="D123" s="142"/>
      <c r="E123" s="43"/>
      <c r="F123" s="43"/>
      <c r="G123" s="43"/>
    </row>
    <row r="124" spans="1:7" s="160" customFormat="1" ht="151.80000000000001">
      <c r="A124" s="15"/>
      <c r="B124" s="15"/>
      <c r="C124" s="36" t="s">
        <v>928</v>
      </c>
      <c r="D124" s="142"/>
      <c r="E124" s="43"/>
      <c r="F124" s="43"/>
      <c r="G124" s="43"/>
    </row>
    <row r="125" spans="1:7" s="160" customFormat="1" ht="27.6">
      <c r="A125" s="15"/>
      <c r="B125" s="15"/>
      <c r="C125" s="36" t="s">
        <v>456</v>
      </c>
      <c r="D125" s="142" t="s">
        <v>273</v>
      </c>
      <c r="E125" s="43">
        <v>75</v>
      </c>
      <c r="F125" s="43">
        <v>300</v>
      </c>
      <c r="G125" s="86">
        <f>F125*E125</f>
        <v>22500</v>
      </c>
    </row>
    <row r="126" spans="1:7" ht="13.8">
      <c r="A126" s="59"/>
      <c r="B126" s="27"/>
      <c r="C126" s="141"/>
      <c r="D126" s="156"/>
      <c r="E126" s="141"/>
      <c r="F126" s="141"/>
      <c r="G126" s="28"/>
    </row>
    <row r="127" spans="1:7" ht="13.8">
      <c r="A127" s="82" t="s">
        <v>868</v>
      </c>
      <c r="B127" s="49" t="s">
        <v>874</v>
      </c>
      <c r="C127" s="54" t="s">
        <v>760</v>
      </c>
      <c r="D127" s="153"/>
      <c r="E127" s="54"/>
      <c r="F127" s="54"/>
      <c r="G127" s="84">
        <f>SUM(G61:G125)</f>
        <v>82340</v>
      </c>
    </row>
    <row r="128" spans="1:7" ht="13.8">
      <c r="A128" s="15"/>
      <c r="B128" s="15"/>
      <c r="C128" s="38"/>
      <c r="D128" s="21"/>
      <c r="E128" s="26"/>
      <c r="F128" s="15"/>
      <c r="G128" s="15"/>
    </row>
    <row r="129" spans="1:7" ht="13.8">
      <c r="A129" s="80"/>
      <c r="B129" s="81"/>
      <c r="C129" s="51"/>
      <c r="D129" s="154"/>
      <c r="E129" s="51"/>
      <c r="F129" s="51"/>
      <c r="G129" s="52"/>
    </row>
    <row r="130" spans="1:7" s="178" customFormat="1" ht="13.8">
      <c r="A130" s="59" t="s">
        <v>868</v>
      </c>
      <c r="B130" s="33" t="s">
        <v>939</v>
      </c>
      <c r="C130" s="939" t="s">
        <v>875</v>
      </c>
      <c r="D130" s="939"/>
      <c r="E130" s="141"/>
      <c r="F130" s="141"/>
      <c r="G130" s="28"/>
    </row>
    <row r="131" spans="1:7" ht="13.8">
      <c r="A131" s="47"/>
      <c r="B131" s="47"/>
      <c r="C131" s="47"/>
      <c r="D131" s="143"/>
      <c r="E131" s="48"/>
      <c r="F131" s="47"/>
      <c r="G131" s="47"/>
    </row>
    <row r="132" spans="1:7" s="160" customFormat="1" ht="13.8">
      <c r="A132" s="219"/>
      <c r="B132" s="234"/>
      <c r="C132" s="227" t="s">
        <v>235</v>
      </c>
      <c r="D132" s="222"/>
      <c r="E132" s="221"/>
      <c r="F132" s="221"/>
      <c r="G132" s="223"/>
    </row>
    <row r="133" spans="1:7" s="160" customFormat="1" ht="82.8">
      <c r="A133" s="15"/>
      <c r="B133" s="47"/>
      <c r="C133" s="36" t="s">
        <v>923</v>
      </c>
      <c r="D133" s="142"/>
      <c r="E133" s="16"/>
      <c r="F133" s="15"/>
      <c r="G133" s="15"/>
    </row>
    <row r="134" spans="1:7" s="160" customFormat="1" ht="33" customHeight="1">
      <c r="A134" s="47"/>
      <c r="B134" s="47"/>
      <c r="C134" s="208" t="s">
        <v>924</v>
      </c>
      <c r="D134" s="143"/>
      <c r="E134" s="48"/>
      <c r="F134" s="47"/>
      <c r="G134" s="47"/>
    </row>
    <row r="135" spans="1:7" s="160" customFormat="1" ht="41.4">
      <c r="A135" s="15"/>
      <c r="B135" s="47"/>
      <c r="C135" s="36" t="s">
        <v>1012</v>
      </c>
      <c r="D135" s="142"/>
      <c r="E135" s="16"/>
      <c r="F135" s="15"/>
      <c r="G135" s="15"/>
    </row>
    <row r="136" spans="1:7" ht="13.8">
      <c r="A136" s="47"/>
      <c r="B136" s="47"/>
      <c r="C136" s="47"/>
      <c r="D136" s="143"/>
      <c r="E136" s="48"/>
      <c r="F136" s="47"/>
      <c r="G136" s="47"/>
    </row>
    <row r="137" spans="1:7" s="178" customFormat="1" ht="13.8">
      <c r="A137" s="60"/>
      <c r="B137" s="177" t="s">
        <v>0</v>
      </c>
      <c r="C137" s="14" t="s">
        <v>1022</v>
      </c>
      <c r="D137" s="179"/>
      <c r="E137" s="180"/>
      <c r="F137" s="14"/>
      <c r="G137" s="14"/>
    </row>
    <row r="138" spans="1:7" s="160" customFormat="1" ht="169.5" customHeight="1">
      <c r="A138" s="17"/>
      <c r="B138" s="18" t="s">
        <v>252</v>
      </c>
      <c r="C138" s="36" t="s">
        <v>1207</v>
      </c>
      <c r="D138" s="142"/>
      <c r="E138" s="16"/>
      <c r="F138" s="15"/>
      <c r="G138" s="15"/>
    </row>
    <row r="139" spans="1:7" s="160" customFormat="1" ht="96.6">
      <c r="A139" s="15"/>
      <c r="B139" s="15"/>
      <c r="C139" s="36" t="s">
        <v>929</v>
      </c>
      <c r="D139" s="142"/>
      <c r="E139" s="16"/>
      <c r="F139" s="15"/>
      <c r="G139" s="15"/>
    </row>
    <row r="140" spans="1:7" s="160" customFormat="1" ht="82.8">
      <c r="A140" s="15"/>
      <c r="B140" s="15"/>
      <c r="C140" s="36" t="s">
        <v>937</v>
      </c>
      <c r="D140" s="142"/>
      <c r="E140" s="16"/>
      <c r="F140" s="15"/>
      <c r="G140" s="15"/>
    </row>
    <row r="141" spans="1:7" s="160" customFormat="1" ht="54.75" customHeight="1">
      <c r="A141" s="15"/>
      <c r="B141" s="15"/>
      <c r="C141" s="36" t="s">
        <v>2770</v>
      </c>
      <c r="D141" s="142" t="s">
        <v>273</v>
      </c>
      <c r="E141" s="41">
        <v>45</v>
      </c>
      <c r="F141" s="41">
        <v>40</v>
      </c>
      <c r="G141" s="86">
        <f>F141*E141</f>
        <v>1800</v>
      </c>
    </row>
    <row r="142" spans="1:7" s="160" customFormat="1" ht="13.8">
      <c r="A142" s="15"/>
      <c r="B142" s="15"/>
      <c r="C142" s="15"/>
      <c r="D142" s="142"/>
      <c r="E142" s="41"/>
      <c r="F142" s="41"/>
      <c r="G142" s="41"/>
    </row>
    <row r="143" spans="1:7" s="160" customFormat="1" ht="195" customHeight="1">
      <c r="A143" s="17"/>
      <c r="B143" s="18" t="s">
        <v>254</v>
      </c>
      <c r="C143" s="36" t="s">
        <v>1208</v>
      </c>
      <c r="D143" s="142"/>
      <c r="E143" s="16"/>
      <c r="F143" s="15"/>
      <c r="G143" s="15"/>
    </row>
    <row r="144" spans="1:7" s="160" customFormat="1" ht="96.6">
      <c r="A144" s="15"/>
      <c r="B144" s="15"/>
      <c r="C144" s="36" t="s">
        <v>929</v>
      </c>
      <c r="D144" s="142"/>
      <c r="E144" s="16"/>
      <c r="F144" s="15"/>
      <c r="G144" s="15"/>
    </row>
    <row r="145" spans="1:7" s="160" customFormat="1" ht="82.8">
      <c r="A145" s="15"/>
      <c r="B145" s="15"/>
      <c r="C145" s="36" t="s">
        <v>937</v>
      </c>
      <c r="D145" s="142"/>
      <c r="E145" s="16"/>
      <c r="F145" s="15"/>
      <c r="G145" s="15"/>
    </row>
    <row r="146" spans="1:7" s="160" customFormat="1" ht="57" customHeight="1">
      <c r="A146" s="15"/>
      <c r="B146" s="15"/>
      <c r="C146" s="36" t="s">
        <v>2770</v>
      </c>
      <c r="D146" s="142" t="s">
        <v>273</v>
      </c>
      <c r="E146" s="41">
        <v>120</v>
      </c>
      <c r="F146" s="41">
        <v>40</v>
      </c>
      <c r="G146" s="86">
        <f>F146*E146</f>
        <v>4800</v>
      </c>
    </row>
    <row r="147" spans="1:7" ht="13.8">
      <c r="A147" s="15"/>
      <c r="B147" s="15"/>
      <c r="C147" s="30"/>
      <c r="D147" s="21"/>
      <c r="E147" s="31"/>
      <c r="F147" s="15"/>
      <c r="G147" s="15"/>
    </row>
    <row r="148" spans="1:7" ht="82.8">
      <c r="A148" s="61"/>
      <c r="B148" s="18" t="s">
        <v>257</v>
      </c>
      <c r="C148" s="56" t="s">
        <v>981</v>
      </c>
      <c r="D148" s="145"/>
      <c r="E148" s="57"/>
      <c r="F148" s="43"/>
      <c r="G148" s="57"/>
    </row>
    <row r="149" spans="1:7" ht="82.8">
      <c r="A149" s="74"/>
      <c r="B149" s="33"/>
      <c r="C149" s="56" t="s">
        <v>883</v>
      </c>
      <c r="D149" s="145"/>
      <c r="E149" s="57"/>
      <c r="F149" s="43"/>
      <c r="G149" s="57"/>
    </row>
    <row r="150" spans="1:7" s="214" customFormat="1" ht="56.25" customHeight="1">
      <c r="A150" s="42"/>
      <c r="B150" s="33"/>
      <c r="C150" s="36" t="s">
        <v>2770</v>
      </c>
      <c r="D150" s="142" t="s">
        <v>273</v>
      </c>
      <c r="E150" s="43">
        <v>5</v>
      </c>
      <c r="F150" s="43">
        <v>500</v>
      </c>
      <c r="G150" s="86">
        <f>E150*F150</f>
        <v>2500</v>
      </c>
    </row>
    <row r="151" spans="1:7" ht="13.8">
      <c r="A151" s="74"/>
      <c r="B151" s="33"/>
      <c r="C151" s="56"/>
      <c r="D151" s="145"/>
      <c r="E151" s="57"/>
      <c r="F151" s="43"/>
      <c r="G151" s="57"/>
    </row>
    <row r="152" spans="1:7" ht="41.4">
      <c r="A152" s="61"/>
      <c r="B152" s="18" t="s">
        <v>257</v>
      </c>
      <c r="C152" s="56" t="s">
        <v>982</v>
      </c>
      <c r="D152" s="145"/>
      <c r="E152" s="57"/>
      <c r="F152" s="43"/>
      <c r="G152" s="57"/>
    </row>
    <row r="153" spans="1:7" ht="82.8">
      <c r="A153" s="74"/>
      <c r="B153" s="33"/>
      <c r="C153" s="56" t="s">
        <v>883</v>
      </c>
      <c r="D153" s="145"/>
      <c r="E153" s="57"/>
      <c r="F153" s="43"/>
      <c r="G153" s="57"/>
    </row>
    <row r="154" spans="1:7" s="214" customFormat="1" ht="55.5" customHeight="1">
      <c r="A154" s="42"/>
      <c r="B154" s="33"/>
      <c r="C154" s="36" t="s">
        <v>2770</v>
      </c>
      <c r="D154" s="142" t="s">
        <v>273</v>
      </c>
      <c r="E154" s="43">
        <v>75</v>
      </c>
      <c r="F154" s="43">
        <v>1</v>
      </c>
      <c r="G154" s="86">
        <f>E154*F154</f>
        <v>75</v>
      </c>
    </row>
    <row r="155" spans="1:7" ht="13.8">
      <c r="A155" s="74"/>
      <c r="B155" s="33"/>
      <c r="C155" s="56"/>
      <c r="D155" s="145"/>
      <c r="E155" s="57"/>
      <c r="F155" s="43"/>
      <c r="G155" s="57"/>
    </row>
    <row r="156" spans="1:7" s="160" customFormat="1" ht="102.75" customHeight="1">
      <c r="A156" s="211"/>
      <c r="B156" s="18" t="s">
        <v>304</v>
      </c>
      <c r="C156" s="212" t="s">
        <v>1039</v>
      </c>
      <c r="D156" s="154"/>
      <c r="E156" s="51"/>
      <c r="F156" s="51"/>
      <c r="G156" s="52"/>
    </row>
    <row r="157" spans="1:7" s="160" customFormat="1" ht="27.6">
      <c r="A157" s="17"/>
      <c r="B157" s="18"/>
      <c r="C157" s="218" t="s">
        <v>933</v>
      </c>
      <c r="D157" s="159" t="s">
        <v>273</v>
      </c>
      <c r="E157" s="41">
        <v>45</v>
      </c>
      <c r="F157" s="41">
        <v>60</v>
      </c>
      <c r="G157" s="86">
        <f>E157*F157</f>
        <v>2700</v>
      </c>
    </row>
    <row r="158" spans="1:7" ht="13.8">
      <c r="A158" s="74"/>
      <c r="B158" s="33"/>
      <c r="C158" s="56"/>
      <c r="D158" s="145"/>
      <c r="E158" s="57"/>
      <c r="F158" s="43"/>
      <c r="G158" s="57"/>
    </row>
    <row r="159" spans="1:7" s="160" customFormat="1" ht="102.75" customHeight="1">
      <c r="A159" s="211"/>
      <c r="B159" s="18" t="s">
        <v>319</v>
      </c>
      <c r="C159" s="212" t="s">
        <v>1047</v>
      </c>
      <c r="D159" s="154"/>
      <c r="E159" s="51"/>
      <c r="F159" s="51"/>
      <c r="G159" s="52"/>
    </row>
    <row r="160" spans="1:7" s="160" customFormat="1" ht="27.6">
      <c r="A160" s="17"/>
      <c r="B160" s="18"/>
      <c r="C160" s="218" t="s">
        <v>933</v>
      </c>
      <c r="D160" s="159" t="s">
        <v>273</v>
      </c>
      <c r="E160" s="41">
        <v>30</v>
      </c>
      <c r="F160" s="41">
        <v>60</v>
      </c>
      <c r="G160" s="86">
        <f>E160*F160</f>
        <v>1800</v>
      </c>
    </row>
    <row r="161" spans="1:7" ht="13.8">
      <c r="A161" s="74"/>
      <c r="B161" s="33"/>
      <c r="C161" s="56"/>
      <c r="D161" s="145"/>
      <c r="E161" s="57"/>
      <c r="F161" s="43"/>
      <c r="G161" s="57"/>
    </row>
    <row r="162" spans="1:7" s="178" customFormat="1" ht="13.8">
      <c r="A162" s="60"/>
      <c r="B162" s="177" t="s">
        <v>4</v>
      </c>
      <c r="C162" s="14" t="s">
        <v>867</v>
      </c>
      <c r="D162" s="179"/>
      <c r="E162" s="180"/>
      <c r="F162" s="14"/>
      <c r="G162" s="14"/>
    </row>
    <row r="163" spans="1:7" s="160" customFormat="1" ht="68.25" customHeight="1">
      <c r="A163" s="17"/>
      <c r="B163" s="18" t="s">
        <v>260</v>
      </c>
      <c r="C163" s="36" t="s">
        <v>1007</v>
      </c>
      <c r="D163" s="142"/>
      <c r="E163" s="43"/>
      <c r="F163" s="43"/>
      <c r="G163" s="43"/>
    </row>
    <row r="164" spans="1:7" s="160" customFormat="1" ht="41.4">
      <c r="A164" s="216"/>
      <c r="B164" s="18"/>
      <c r="C164" s="217" t="s">
        <v>1008</v>
      </c>
      <c r="D164" s="21"/>
      <c r="E164" s="217"/>
      <c r="F164" s="217"/>
      <c r="G164" s="23"/>
    </row>
    <row r="165" spans="1:7" s="160" customFormat="1" ht="41.4">
      <c r="A165" s="42"/>
      <c r="B165" s="33"/>
      <c r="C165" s="36" t="s">
        <v>1009</v>
      </c>
      <c r="D165" s="142"/>
      <c r="E165" s="43"/>
      <c r="F165" s="43"/>
      <c r="G165" s="43"/>
    </row>
    <row r="166" spans="1:7" s="160" customFormat="1" ht="30.75" customHeight="1">
      <c r="A166" s="42"/>
      <c r="B166" s="33"/>
      <c r="C166" s="36" t="s">
        <v>1010</v>
      </c>
      <c r="D166" s="142" t="s">
        <v>273</v>
      </c>
      <c r="E166" s="43">
        <v>350</v>
      </c>
      <c r="F166" s="43">
        <v>20</v>
      </c>
      <c r="G166" s="86">
        <f>E166*F166</f>
        <v>7000</v>
      </c>
    </row>
    <row r="167" spans="1:7" ht="13.8">
      <c r="A167" s="74"/>
      <c r="B167" s="33"/>
      <c r="C167" s="141"/>
      <c r="D167" s="156"/>
      <c r="E167" s="141"/>
      <c r="F167" s="141"/>
      <c r="G167" s="28"/>
    </row>
    <row r="168" spans="1:7" s="160" customFormat="1" ht="69" customHeight="1">
      <c r="A168" s="17"/>
      <c r="B168" s="18" t="s">
        <v>261</v>
      </c>
      <c r="C168" s="36" t="s">
        <v>1011</v>
      </c>
      <c r="D168" s="142"/>
      <c r="E168" s="43"/>
      <c r="F168" s="43"/>
      <c r="G168" s="43"/>
    </row>
    <row r="169" spans="1:7" ht="82.8">
      <c r="A169" s="74"/>
      <c r="B169" s="33"/>
      <c r="C169" s="56" t="s">
        <v>883</v>
      </c>
      <c r="D169" s="145"/>
      <c r="E169" s="57"/>
      <c r="F169" s="43"/>
      <c r="G169" s="57"/>
    </row>
    <row r="170" spans="1:7" s="160" customFormat="1" ht="57" customHeight="1">
      <c r="A170" s="42"/>
      <c r="B170" s="33"/>
      <c r="C170" s="36" t="s">
        <v>2770</v>
      </c>
      <c r="D170" s="142" t="s">
        <v>273</v>
      </c>
      <c r="E170" s="43">
        <v>2600</v>
      </c>
      <c r="F170" s="43">
        <v>16</v>
      </c>
      <c r="G170" s="86">
        <f>E170*F170</f>
        <v>41600</v>
      </c>
    </row>
    <row r="171" spans="1:7" ht="13.8">
      <c r="A171" s="74"/>
      <c r="B171" s="33"/>
      <c r="C171" s="56"/>
      <c r="D171" s="145"/>
      <c r="E171" s="57"/>
      <c r="F171" s="43"/>
      <c r="G171" s="57"/>
    </row>
    <row r="172" spans="1:7" s="160" customFormat="1" ht="69">
      <c r="A172" s="17"/>
      <c r="B172" s="18" t="s">
        <v>262</v>
      </c>
      <c r="C172" s="218" t="s">
        <v>2763</v>
      </c>
      <c r="D172" s="159"/>
      <c r="E172" s="41"/>
      <c r="F172" s="41"/>
      <c r="G172" s="41"/>
    </row>
    <row r="173" spans="1:7" s="160" customFormat="1" ht="27.6">
      <c r="A173" s="17"/>
      <c r="B173" s="18"/>
      <c r="C173" s="218" t="s">
        <v>2764</v>
      </c>
      <c r="D173" s="824" t="s">
        <v>256</v>
      </c>
      <c r="E173" s="825">
        <v>440</v>
      </c>
      <c r="F173" s="41">
        <v>5</v>
      </c>
      <c r="G173" s="86">
        <f>E173*F173</f>
        <v>2200</v>
      </c>
    </row>
    <row r="174" spans="1:7" ht="13.8">
      <c r="A174" s="61"/>
      <c r="B174" s="18"/>
      <c r="C174" s="56"/>
      <c r="D174" s="145"/>
      <c r="E174" s="57"/>
      <c r="F174" s="43"/>
      <c r="G174" s="57"/>
    </row>
    <row r="175" spans="1:7" s="160" customFormat="1" ht="361.5" customHeight="1">
      <c r="A175" s="47"/>
      <c r="B175" s="18" t="s">
        <v>263</v>
      </c>
      <c r="C175" s="208" t="s">
        <v>938</v>
      </c>
      <c r="D175" s="143"/>
      <c r="E175" s="48"/>
      <c r="F175" s="47"/>
      <c r="G175" s="47"/>
    </row>
    <row r="176" spans="1:7" s="160" customFormat="1" ht="27.6">
      <c r="A176" s="17"/>
      <c r="B176" s="18"/>
      <c r="C176" s="218" t="s">
        <v>933</v>
      </c>
      <c r="D176" s="159" t="s">
        <v>273</v>
      </c>
      <c r="E176" s="41">
        <v>1050</v>
      </c>
      <c r="F176" s="41">
        <v>55</v>
      </c>
      <c r="G176" s="86">
        <f>E176*F176</f>
        <v>57750</v>
      </c>
    </row>
    <row r="177" spans="1:7" s="809" customFormat="1" ht="16.5" customHeight="1">
      <c r="A177" s="803"/>
      <c r="B177" s="804"/>
      <c r="C177" s="823" t="s">
        <v>2771</v>
      </c>
      <c r="D177" s="824" t="s">
        <v>256</v>
      </c>
      <c r="E177" s="825">
        <v>1300</v>
      </c>
      <c r="F177" s="825">
        <v>3</v>
      </c>
      <c r="G177" s="835">
        <f>E177*F177</f>
        <v>3900</v>
      </c>
    </row>
    <row r="178" spans="1:7" ht="13.8">
      <c r="A178" s="47"/>
      <c r="B178" s="47"/>
      <c r="C178" s="47"/>
      <c r="D178" s="143"/>
      <c r="E178" s="48"/>
      <c r="F178" s="47"/>
      <c r="G178" s="47"/>
    </row>
    <row r="179" spans="1:7" s="214" customFormat="1" ht="55.2">
      <c r="A179" s="17"/>
      <c r="B179" s="18" t="s">
        <v>264</v>
      </c>
      <c r="C179" s="36" t="s">
        <v>1021</v>
      </c>
      <c r="D179" s="142" t="s">
        <v>256</v>
      </c>
      <c r="E179" s="43">
        <v>1200</v>
      </c>
      <c r="F179" s="43">
        <v>3</v>
      </c>
      <c r="G179" s="86">
        <f>F179*E179</f>
        <v>3600</v>
      </c>
    </row>
    <row r="180" spans="1:7" s="160" customFormat="1" ht="13.8">
      <c r="A180" s="17"/>
      <c r="B180" s="18"/>
      <c r="C180" s="36"/>
      <c r="D180" s="142"/>
      <c r="E180" s="43"/>
      <c r="F180" s="43"/>
      <c r="G180" s="43"/>
    </row>
    <row r="181" spans="1:7" s="160" customFormat="1" ht="69">
      <c r="A181" s="17"/>
      <c r="B181" s="18" t="s">
        <v>267</v>
      </c>
      <c r="C181" s="36" t="s">
        <v>931</v>
      </c>
      <c r="D181" s="142"/>
      <c r="E181" s="43"/>
      <c r="F181" s="43"/>
      <c r="G181" s="43"/>
    </row>
    <row r="182" spans="1:7" s="160" customFormat="1" ht="13.8">
      <c r="A182" s="17"/>
      <c r="B182" s="18"/>
      <c r="C182" s="218" t="s">
        <v>932</v>
      </c>
      <c r="D182" s="159" t="s">
        <v>256</v>
      </c>
      <c r="E182" s="41">
        <v>700</v>
      </c>
      <c r="F182" s="41">
        <v>3</v>
      </c>
      <c r="G182" s="86">
        <f>E182*F182</f>
        <v>2100</v>
      </c>
    </row>
    <row r="183" spans="1:7" s="160" customFormat="1" ht="13.8">
      <c r="A183" s="17"/>
      <c r="B183" s="18"/>
      <c r="C183" s="36"/>
      <c r="D183" s="142"/>
      <c r="E183" s="43"/>
      <c r="F183" s="43"/>
      <c r="G183" s="43"/>
    </row>
    <row r="184" spans="1:7" ht="82.8">
      <c r="A184" s="61"/>
      <c r="B184" s="18" t="s">
        <v>269</v>
      </c>
      <c r="C184" s="64" t="s">
        <v>305</v>
      </c>
      <c r="D184" s="144"/>
      <c r="E184" s="73"/>
      <c r="F184" s="41"/>
      <c r="G184" s="73"/>
    </row>
    <row r="185" spans="1:7" ht="13.8">
      <c r="A185" s="61"/>
      <c r="B185" s="18"/>
      <c r="C185" s="64" t="s">
        <v>290</v>
      </c>
      <c r="D185" s="144" t="s">
        <v>258</v>
      </c>
      <c r="E185" s="73">
        <v>200</v>
      </c>
      <c r="F185" s="41">
        <v>25</v>
      </c>
      <c r="G185" s="87">
        <f>E185*F185</f>
        <v>5000</v>
      </c>
    </row>
    <row r="186" spans="1:7" ht="13.8">
      <c r="A186" s="80"/>
      <c r="B186" s="81"/>
      <c r="C186" s="51"/>
      <c r="D186" s="154"/>
      <c r="E186" s="51"/>
      <c r="F186" s="51"/>
      <c r="G186" s="52"/>
    </row>
    <row r="187" spans="1:7" ht="41.4">
      <c r="A187" s="61"/>
      <c r="B187" s="18" t="s">
        <v>271</v>
      </c>
      <c r="C187" s="56" t="s">
        <v>1049</v>
      </c>
      <c r="D187" s="145"/>
      <c r="E187" s="57"/>
      <c r="F187" s="43"/>
      <c r="G187" s="57"/>
    </row>
    <row r="188" spans="1:7" ht="82.8">
      <c r="A188" s="74"/>
      <c r="B188" s="33"/>
      <c r="C188" s="56" t="s">
        <v>883</v>
      </c>
      <c r="D188" s="145"/>
      <c r="E188" s="57"/>
      <c r="F188" s="43"/>
      <c r="G188" s="57"/>
    </row>
    <row r="189" spans="1:7" s="214" customFormat="1" ht="55.5" customHeight="1">
      <c r="A189" s="42"/>
      <c r="B189" s="33"/>
      <c r="C189" s="36" t="s">
        <v>2770</v>
      </c>
      <c r="D189" s="142" t="s">
        <v>273</v>
      </c>
      <c r="E189" s="43">
        <v>30</v>
      </c>
      <c r="F189" s="43">
        <v>30</v>
      </c>
      <c r="G189" s="86">
        <f>E189*F189</f>
        <v>900</v>
      </c>
    </row>
    <row r="190" spans="1:7" ht="13.8">
      <c r="A190" s="47"/>
      <c r="B190" s="47"/>
      <c r="C190" s="47"/>
      <c r="D190" s="143"/>
      <c r="E190" s="48"/>
      <c r="F190" s="47"/>
      <c r="G190" s="47"/>
    </row>
    <row r="191" spans="1:7" s="160" customFormat="1" ht="55.2">
      <c r="A191" s="17"/>
      <c r="B191" s="18" t="s">
        <v>930</v>
      </c>
      <c r="C191" s="36" t="s">
        <v>1046</v>
      </c>
      <c r="D191" s="142"/>
      <c r="E191" s="43"/>
      <c r="F191" s="43"/>
      <c r="G191" s="43"/>
    </row>
    <row r="192" spans="1:7" s="160" customFormat="1" ht="82.8">
      <c r="A192" s="15"/>
      <c r="B192" s="15"/>
      <c r="C192" s="36" t="s">
        <v>318</v>
      </c>
      <c r="D192" s="142"/>
      <c r="E192" s="43"/>
      <c r="F192" s="43"/>
      <c r="G192" s="43"/>
    </row>
    <row r="193" spans="1:7" s="160" customFormat="1" ht="55.5" customHeight="1">
      <c r="A193" s="15"/>
      <c r="B193" s="15"/>
      <c r="C193" s="36" t="s">
        <v>2770</v>
      </c>
      <c r="D193" s="142" t="s">
        <v>273</v>
      </c>
      <c r="E193" s="43">
        <v>90</v>
      </c>
      <c r="F193" s="43">
        <v>20</v>
      </c>
      <c r="G193" s="86">
        <f>F193*E193</f>
        <v>1800</v>
      </c>
    </row>
    <row r="194" spans="1:7" ht="13.8">
      <c r="A194" s="61"/>
      <c r="B194" s="18"/>
      <c r="C194" s="64"/>
      <c r="D194" s="144"/>
      <c r="E194" s="73"/>
      <c r="F194" s="41"/>
      <c r="G194" s="73"/>
    </row>
    <row r="195" spans="1:7" s="160" customFormat="1" ht="119.25" customHeight="1">
      <c r="A195" s="17"/>
      <c r="B195" s="18" t="s">
        <v>945</v>
      </c>
      <c r="C195" s="36" t="s">
        <v>1048</v>
      </c>
      <c r="D195" s="142"/>
      <c r="E195" s="43"/>
      <c r="F195" s="43"/>
      <c r="G195" s="43"/>
    </row>
    <row r="196" spans="1:7" s="160" customFormat="1" ht="27.6">
      <c r="A196" s="17"/>
      <c r="B196" s="18"/>
      <c r="C196" s="218" t="s">
        <v>933</v>
      </c>
      <c r="D196" s="159" t="s">
        <v>273</v>
      </c>
      <c r="E196" s="41">
        <v>85</v>
      </c>
      <c r="F196" s="41">
        <v>60</v>
      </c>
      <c r="G196" s="86">
        <f>E196*F196</f>
        <v>5100</v>
      </c>
    </row>
    <row r="197" spans="1:7" ht="13.8">
      <c r="A197" s="61"/>
      <c r="B197" s="18"/>
      <c r="C197" s="64"/>
      <c r="D197" s="144"/>
      <c r="E197" s="73"/>
      <c r="F197" s="41"/>
      <c r="G197" s="73"/>
    </row>
    <row r="198" spans="1:7" ht="124.2">
      <c r="A198" s="61"/>
      <c r="B198" s="18" t="s">
        <v>275</v>
      </c>
      <c r="C198" s="64" t="s">
        <v>1037</v>
      </c>
      <c r="D198" s="144"/>
      <c r="E198" s="73"/>
      <c r="F198" s="41"/>
      <c r="G198" s="73"/>
    </row>
    <row r="199" spans="1:7" s="160" customFormat="1" ht="16.5" customHeight="1">
      <c r="A199" s="42"/>
      <c r="B199" s="33"/>
      <c r="C199" s="36" t="s">
        <v>1038</v>
      </c>
      <c r="D199" s="142" t="s">
        <v>273</v>
      </c>
      <c r="E199" s="43">
        <v>120</v>
      </c>
      <c r="F199" s="43">
        <v>20</v>
      </c>
      <c r="G199" s="86">
        <f>E199*F199</f>
        <v>2400</v>
      </c>
    </row>
    <row r="200" spans="1:7" ht="13.8">
      <c r="A200" s="80"/>
      <c r="B200" s="81"/>
      <c r="C200" s="51"/>
      <c r="D200" s="154"/>
      <c r="E200" s="51"/>
      <c r="F200" s="51"/>
      <c r="G200" s="52"/>
    </row>
    <row r="201" spans="1:7" ht="13.8">
      <c r="A201" s="82" t="s">
        <v>868</v>
      </c>
      <c r="B201" s="49" t="s">
        <v>939</v>
      </c>
      <c r="C201" s="54" t="s">
        <v>1060</v>
      </c>
      <c r="D201" s="153"/>
      <c r="E201" s="54"/>
      <c r="F201" s="54"/>
      <c r="G201" s="84">
        <f>SUM(G141:G199)</f>
        <v>147025</v>
      </c>
    </row>
    <row r="202" spans="1:7" ht="13.8">
      <c r="A202" s="15"/>
      <c r="B202" s="15"/>
      <c r="C202" s="38"/>
      <c r="D202" s="21"/>
      <c r="E202" s="26"/>
      <c r="F202" s="15"/>
      <c r="G202" s="15"/>
    </row>
    <row r="203" spans="1:7" ht="13.8">
      <c r="A203" s="80"/>
      <c r="B203" s="81"/>
      <c r="C203" s="51"/>
      <c r="D203" s="154"/>
      <c r="E203" s="51"/>
      <c r="F203" s="51"/>
      <c r="G203" s="52"/>
    </row>
    <row r="204" spans="1:7" s="178" customFormat="1" ht="13.8">
      <c r="A204" s="59" t="s">
        <v>868</v>
      </c>
      <c r="B204" s="33" t="s">
        <v>940</v>
      </c>
      <c r="C204" s="939" t="s">
        <v>323</v>
      </c>
      <c r="D204" s="939"/>
      <c r="E204" s="141"/>
      <c r="F204" s="141"/>
      <c r="G204" s="28"/>
    </row>
    <row r="205" spans="1:7" ht="13.8">
      <c r="A205" s="47"/>
      <c r="B205" s="47"/>
      <c r="C205" s="47"/>
      <c r="D205" s="143"/>
      <c r="E205" s="48"/>
      <c r="F205" s="47"/>
      <c r="G205" s="47"/>
    </row>
    <row r="206" spans="1:7" s="178" customFormat="1" ht="13.8">
      <c r="A206" s="60"/>
      <c r="B206" s="177" t="s">
        <v>0</v>
      </c>
      <c r="C206" s="14" t="s">
        <v>1022</v>
      </c>
      <c r="D206" s="179"/>
      <c r="E206" s="180"/>
      <c r="F206" s="14"/>
      <c r="G206" s="14"/>
    </row>
    <row r="207" spans="1:7" s="160" customFormat="1" ht="182.25" customHeight="1">
      <c r="A207" s="17"/>
      <c r="B207" s="19" t="s">
        <v>252</v>
      </c>
      <c r="C207" s="36" t="s">
        <v>941</v>
      </c>
      <c r="D207" s="142"/>
      <c r="E207" s="16"/>
      <c r="F207" s="15"/>
      <c r="G207" s="15"/>
    </row>
    <row r="208" spans="1:7" s="160" customFormat="1" ht="96.6">
      <c r="A208" s="15"/>
      <c r="B208" s="15"/>
      <c r="C208" s="36" t="s">
        <v>1030</v>
      </c>
      <c r="D208" s="142"/>
      <c r="E208" s="16"/>
      <c r="F208" s="15"/>
      <c r="G208" s="15"/>
    </row>
    <row r="209" spans="1:7" s="160" customFormat="1" ht="92.25" customHeight="1">
      <c r="A209" s="15"/>
      <c r="B209" s="15"/>
      <c r="C209" s="36" t="s">
        <v>942</v>
      </c>
      <c r="D209" s="142"/>
      <c r="E209" s="16"/>
      <c r="F209" s="15"/>
      <c r="G209" s="15"/>
    </row>
    <row r="210" spans="1:7" s="160" customFormat="1" ht="27.6">
      <c r="A210" s="15"/>
      <c r="B210" s="15"/>
      <c r="C210" s="36" t="s">
        <v>457</v>
      </c>
      <c r="D210" s="142"/>
      <c r="E210" s="16"/>
      <c r="F210" s="15"/>
      <c r="G210" s="15"/>
    </row>
    <row r="211" spans="1:7" s="160" customFormat="1" ht="27.6">
      <c r="A211" s="15"/>
      <c r="B211" s="15"/>
      <c r="C211" s="36" t="s">
        <v>312</v>
      </c>
      <c r="D211" s="142"/>
      <c r="E211" s="16"/>
      <c r="F211" s="15"/>
      <c r="G211" s="15"/>
    </row>
    <row r="212" spans="1:7" s="160" customFormat="1" ht="13.8">
      <c r="A212" s="15"/>
      <c r="B212" s="15"/>
      <c r="C212" s="36" t="s">
        <v>310</v>
      </c>
      <c r="D212" s="142" t="s">
        <v>273</v>
      </c>
      <c r="E212" s="43">
        <v>50</v>
      </c>
      <c r="F212" s="43">
        <v>350</v>
      </c>
      <c r="G212" s="86">
        <f>F212*E212</f>
        <v>17500</v>
      </c>
    </row>
    <row r="213" spans="1:7" s="160" customFormat="1" ht="13.8">
      <c r="A213" s="15"/>
      <c r="B213" s="15"/>
      <c r="C213" s="36" t="s">
        <v>313</v>
      </c>
      <c r="D213" s="142" t="s">
        <v>256</v>
      </c>
      <c r="E213" s="43">
        <v>280</v>
      </c>
      <c r="F213" s="43">
        <v>40</v>
      </c>
      <c r="G213" s="86">
        <f>F213*E213</f>
        <v>11200</v>
      </c>
    </row>
    <row r="214" spans="1:7" s="172" customFormat="1" ht="13.8">
      <c r="A214" s="171"/>
      <c r="B214" s="171"/>
      <c r="C214" s="168"/>
      <c r="D214" s="169"/>
      <c r="E214" s="173"/>
      <c r="F214" s="173"/>
      <c r="G214" s="173"/>
    </row>
    <row r="215" spans="1:7" s="160" customFormat="1" ht="124.2">
      <c r="A215" s="17"/>
      <c r="B215" s="19" t="s">
        <v>254</v>
      </c>
      <c r="C215" s="36" t="s">
        <v>1031</v>
      </c>
      <c r="D215" s="142"/>
      <c r="E215" s="43"/>
      <c r="F215" s="43"/>
      <c r="G215" s="43"/>
    </row>
    <row r="216" spans="1:7" s="160" customFormat="1" ht="41.4">
      <c r="A216" s="15"/>
      <c r="B216" s="15"/>
      <c r="C216" s="36" t="s">
        <v>316</v>
      </c>
      <c r="D216" s="142"/>
      <c r="E216" s="43"/>
      <c r="F216" s="43"/>
      <c r="G216" s="43"/>
    </row>
    <row r="217" spans="1:7" s="160" customFormat="1" ht="27.6">
      <c r="A217" s="15"/>
      <c r="B217" s="15"/>
      <c r="C217" s="36" t="s">
        <v>312</v>
      </c>
      <c r="D217" s="142"/>
      <c r="E217" s="43"/>
      <c r="F217" s="43"/>
      <c r="G217" s="43"/>
    </row>
    <row r="218" spans="1:7" s="160" customFormat="1" ht="13.8">
      <c r="A218" s="15"/>
      <c r="B218" s="15"/>
      <c r="C218" s="36" t="s">
        <v>310</v>
      </c>
      <c r="D218" s="142" t="s">
        <v>273</v>
      </c>
      <c r="E218" s="43">
        <v>8</v>
      </c>
      <c r="F218" s="43">
        <v>2</v>
      </c>
      <c r="G218" s="86">
        <f>F218*E218</f>
        <v>16</v>
      </c>
    </row>
    <row r="219" spans="1:7" s="160" customFormat="1" ht="13.8">
      <c r="A219" s="15"/>
      <c r="B219" s="15"/>
      <c r="C219" s="36" t="s">
        <v>313</v>
      </c>
      <c r="D219" s="142" t="s">
        <v>256</v>
      </c>
      <c r="E219" s="43">
        <v>30</v>
      </c>
      <c r="F219" s="43">
        <v>100</v>
      </c>
      <c r="G219" s="86">
        <f>F219*E219</f>
        <v>3000</v>
      </c>
    </row>
    <row r="220" spans="1:7" s="172" customFormat="1" ht="13.8">
      <c r="A220" s="171"/>
      <c r="B220" s="171"/>
      <c r="C220" s="168"/>
      <c r="D220" s="169"/>
      <c r="E220" s="173"/>
      <c r="F220" s="173"/>
      <c r="G220" s="173"/>
    </row>
    <row r="221" spans="1:7" s="160" customFormat="1" ht="110.4">
      <c r="A221" s="17"/>
      <c r="B221" s="19" t="s">
        <v>257</v>
      </c>
      <c r="C221" s="36" t="s">
        <v>1034</v>
      </c>
      <c r="D221" s="142"/>
      <c r="E221" s="43"/>
      <c r="F221" s="43"/>
      <c r="G221" s="43"/>
    </row>
    <row r="222" spans="1:7" s="160" customFormat="1" ht="41.4">
      <c r="A222" s="15"/>
      <c r="B222" s="15"/>
      <c r="C222" s="36" t="s">
        <v>316</v>
      </c>
      <c r="D222" s="142"/>
      <c r="E222" s="43"/>
      <c r="F222" s="43"/>
      <c r="G222" s="43"/>
    </row>
    <row r="223" spans="1:7" s="160" customFormat="1" ht="27.6">
      <c r="A223" s="15"/>
      <c r="B223" s="15"/>
      <c r="C223" s="36" t="s">
        <v>312</v>
      </c>
      <c r="D223" s="142"/>
      <c r="E223" s="43"/>
      <c r="F223" s="43"/>
      <c r="G223" s="43"/>
    </row>
    <row r="224" spans="1:7" s="160" customFormat="1" ht="13.8">
      <c r="A224" s="15"/>
      <c r="B224" s="15"/>
      <c r="C224" s="36" t="s">
        <v>310</v>
      </c>
      <c r="D224" s="142" t="s">
        <v>273</v>
      </c>
      <c r="E224" s="43">
        <v>40</v>
      </c>
      <c r="F224" s="43">
        <v>2</v>
      </c>
      <c r="G224" s="86">
        <f>F224*E224</f>
        <v>80</v>
      </c>
    </row>
    <row r="225" spans="1:7" s="160" customFormat="1" ht="13.8">
      <c r="A225" s="15"/>
      <c r="B225" s="15"/>
      <c r="C225" s="36" t="s">
        <v>313</v>
      </c>
      <c r="D225" s="142" t="s">
        <v>256</v>
      </c>
      <c r="E225" s="43">
        <v>120</v>
      </c>
      <c r="F225" s="43">
        <v>4</v>
      </c>
      <c r="G225" s="86">
        <f>F225*E225</f>
        <v>480</v>
      </c>
    </row>
    <row r="226" spans="1:7" s="172" customFormat="1" ht="13.8">
      <c r="A226" s="171"/>
      <c r="B226" s="171"/>
      <c r="C226" s="168"/>
      <c r="D226" s="169"/>
      <c r="E226" s="173"/>
      <c r="F226" s="173"/>
      <c r="G226" s="173"/>
    </row>
    <row r="227" spans="1:7" s="160" customFormat="1" ht="124.2">
      <c r="A227" s="17"/>
      <c r="B227" s="19" t="s">
        <v>304</v>
      </c>
      <c r="C227" s="36" t="s">
        <v>1032</v>
      </c>
      <c r="D227" s="142"/>
      <c r="E227" s="43"/>
      <c r="F227" s="43"/>
      <c r="G227" s="43"/>
    </row>
    <row r="228" spans="1:7" s="160" customFormat="1" ht="55.2">
      <c r="A228" s="15"/>
      <c r="B228" s="15"/>
      <c r="C228" s="36" t="s">
        <v>1033</v>
      </c>
      <c r="D228" s="142"/>
      <c r="E228" s="43"/>
      <c r="F228" s="43"/>
      <c r="G228" s="43"/>
    </row>
    <row r="229" spans="1:7" s="160" customFormat="1" ht="132.75" customHeight="1">
      <c r="A229" s="15"/>
      <c r="B229" s="15"/>
      <c r="C229" s="36" t="s">
        <v>983</v>
      </c>
      <c r="D229" s="142"/>
      <c r="E229" s="43"/>
      <c r="F229" s="43"/>
      <c r="G229" s="43"/>
    </row>
    <row r="230" spans="1:7" s="160" customFormat="1" ht="41.4">
      <c r="A230" s="15"/>
      <c r="B230" s="15"/>
      <c r="C230" s="36" t="s">
        <v>316</v>
      </c>
      <c r="D230" s="142"/>
      <c r="E230" s="43"/>
      <c r="F230" s="43"/>
      <c r="G230" s="43"/>
    </row>
    <row r="231" spans="1:7" s="160" customFormat="1" ht="27.6">
      <c r="A231" s="15"/>
      <c r="B231" s="15"/>
      <c r="C231" s="36" t="s">
        <v>312</v>
      </c>
      <c r="D231" s="142"/>
      <c r="E231" s="43"/>
      <c r="F231" s="43"/>
      <c r="G231" s="43"/>
    </row>
    <row r="232" spans="1:7" s="160" customFormat="1" ht="13.8">
      <c r="A232" s="15"/>
      <c r="B232" s="15"/>
      <c r="C232" s="36" t="s">
        <v>310</v>
      </c>
      <c r="D232" s="142" t="s">
        <v>273</v>
      </c>
      <c r="E232" s="43">
        <v>80</v>
      </c>
      <c r="F232" s="43">
        <v>2</v>
      </c>
      <c r="G232" s="86">
        <f>F232*E232</f>
        <v>160</v>
      </c>
    </row>
    <row r="233" spans="1:7" s="160" customFormat="1" ht="13.8">
      <c r="A233" s="15"/>
      <c r="B233" s="15"/>
      <c r="C233" s="36" t="s">
        <v>313</v>
      </c>
      <c r="D233" s="142" t="s">
        <v>256</v>
      </c>
      <c r="E233" s="43">
        <v>400</v>
      </c>
      <c r="F233" s="43">
        <v>4</v>
      </c>
      <c r="G233" s="86">
        <f>F233*E233</f>
        <v>1600</v>
      </c>
    </row>
    <row r="234" spans="1:7" s="160" customFormat="1" ht="13.8">
      <c r="A234" s="15"/>
      <c r="B234" s="15"/>
      <c r="C234" s="225" t="s">
        <v>1005</v>
      </c>
      <c r="D234" s="142" t="s">
        <v>256</v>
      </c>
      <c r="E234" s="43">
        <v>180</v>
      </c>
      <c r="F234" s="43">
        <v>212</v>
      </c>
      <c r="G234" s="86">
        <f>F234*E234</f>
        <v>38160</v>
      </c>
    </row>
    <row r="235" spans="1:7" s="172" customFormat="1" ht="13.8">
      <c r="A235" s="171"/>
      <c r="B235" s="171"/>
      <c r="C235" s="168"/>
      <c r="D235" s="169"/>
      <c r="E235" s="173"/>
      <c r="F235" s="173"/>
      <c r="G235" s="173"/>
    </row>
    <row r="236" spans="1:7" s="160" customFormat="1" ht="79.5" customHeight="1">
      <c r="A236" s="17"/>
      <c r="B236" s="19" t="s">
        <v>319</v>
      </c>
      <c r="C236" s="36" t="s">
        <v>992</v>
      </c>
      <c r="D236" s="142"/>
      <c r="E236" s="43"/>
      <c r="F236" s="43"/>
      <c r="G236" s="43"/>
    </row>
    <row r="237" spans="1:7" s="160" customFormat="1" ht="41.4">
      <c r="A237" s="15"/>
      <c r="B237" s="15"/>
      <c r="C237" s="36" t="s">
        <v>316</v>
      </c>
      <c r="D237" s="142"/>
      <c r="E237" s="43"/>
      <c r="F237" s="43"/>
      <c r="G237" s="43"/>
    </row>
    <row r="238" spans="1:7" s="160" customFormat="1" ht="13.8">
      <c r="A238" s="15"/>
      <c r="B238" s="15"/>
      <c r="C238" s="36" t="s">
        <v>315</v>
      </c>
      <c r="D238" s="142"/>
      <c r="E238" s="43"/>
      <c r="F238" s="43"/>
      <c r="G238" s="43"/>
    </row>
    <row r="239" spans="1:7" s="160" customFormat="1" ht="13.8">
      <c r="A239" s="15"/>
      <c r="B239" s="15"/>
      <c r="C239" s="36" t="s">
        <v>310</v>
      </c>
      <c r="D239" s="142" t="s">
        <v>273</v>
      </c>
      <c r="E239" s="43">
        <v>33</v>
      </c>
      <c r="F239" s="43">
        <v>2</v>
      </c>
      <c r="G239" s="86">
        <f>F239*E239</f>
        <v>66</v>
      </c>
    </row>
    <row r="240" spans="1:7" s="172" customFormat="1" ht="13.8">
      <c r="A240" s="171"/>
      <c r="B240" s="171"/>
      <c r="C240" s="168"/>
      <c r="D240" s="169"/>
      <c r="E240" s="173"/>
      <c r="F240" s="173"/>
      <c r="G240" s="173"/>
    </row>
    <row r="241" spans="1:7" s="214" customFormat="1" ht="55.2">
      <c r="A241" s="17"/>
      <c r="B241" s="19" t="s">
        <v>307</v>
      </c>
      <c r="C241" s="36" t="s">
        <v>2670</v>
      </c>
      <c r="D241" s="213"/>
      <c r="E241" s="43"/>
      <c r="F241" s="43"/>
      <c r="G241" s="43"/>
    </row>
    <row r="242" spans="1:7" s="214" customFormat="1" ht="363" customHeight="1">
      <c r="A242" s="15"/>
      <c r="B242" s="15"/>
      <c r="C242" s="36" t="s">
        <v>946</v>
      </c>
      <c r="D242" s="213"/>
      <c r="E242" s="43"/>
      <c r="F242" s="43"/>
      <c r="G242" s="43"/>
    </row>
    <row r="243" spans="1:7" ht="19.2" customHeight="1">
      <c r="A243" s="15"/>
      <c r="B243" s="15"/>
      <c r="C243" s="36" t="s">
        <v>966</v>
      </c>
      <c r="D243" s="213"/>
      <c r="E243" s="43"/>
      <c r="F243" s="43"/>
      <c r="G243" s="43"/>
    </row>
    <row r="244" spans="1:7" ht="41.4">
      <c r="A244" s="15"/>
      <c r="B244" s="15"/>
      <c r="C244" s="36" t="s">
        <v>316</v>
      </c>
      <c r="D244" s="213"/>
      <c r="E244" s="43"/>
      <c r="F244" s="43"/>
      <c r="G244" s="43"/>
    </row>
    <row r="245" spans="1:7" ht="13.8">
      <c r="A245" s="15"/>
      <c r="B245" s="15"/>
      <c r="C245" s="36" t="s">
        <v>943</v>
      </c>
      <c r="D245" s="213"/>
      <c r="E245" s="43"/>
      <c r="F245" s="43"/>
      <c r="G245" s="43"/>
    </row>
    <row r="246" spans="1:7" ht="13.8">
      <c r="A246" s="15"/>
      <c r="B246" s="15"/>
      <c r="C246" s="36" t="s">
        <v>310</v>
      </c>
      <c r="D246" s="213" t="s">
        <v>273</v>
      </c>
      <c r="E246" s="43">
        <v>12</v>
      </c>
      <c r="F246" s="43">
        <v>2350</v>
      </c>
      <c r="G246" s="86">
        <f>F246*E246</f>
        <v>28200</v>
      </c>
    </row>
    <row r="247" spans="1:7" ht="13.8">
      <c r="A247" s="80"/>
      <c r="B247" s="81"/>
      <c r="C247" s="51"/>
      <c r="D247" s="154"/>
      <c r="E247" s="51"/>
      <c r="F247" s="51"/>
      <c r="G247" s="52"/>
    </row>
    <row r="248" spans="1:7" s="160" customFormat="1" ht="82.8">
      <c r="A248" s="17"/>
      <c r="B248" s="19" t="s">
        <v>308</v>
      </c>
      <c r="C248" s="36" t="s">
        <v>1045</v>
      </c>
      <c r="D248" s="142"/>
      <c r="E248" s="43"/>
      <c r="F248" s="43"/>
      <c r="G248" s="43"/>
    </row>
    <row r="249" spans="1:7" s="160" customFormat="1" ht="42" customHeight="1">
      <c r="A249" s="15"/>
      <c r="B249" s="15"/>
      <c r="C249" s="36" t="s">
        <v>1036</v>
      </c>
      <c r="D249" s="142"/>
      <c r="E249" s="43"/>
      <c r="F249" s="43"/>
      <c r="G249" s="43"/>
    </row>
    <row r="250" spans="1:7" s="160" customFormat="1" ht="41.4">
      <c r="A250" s="15"/>
      <c r="B250" s="15"/>
      <c r="C250" s="36" t="s">
        <v>316</v>
      </c>
      <c r="D250" s="142"/>
      <c r="E250" s="43"/>
      <c r="F250" s="43"/>
      <c r="G250" s="43"/>
    </row>
    <row r="251" spans="1:7" s="160" customFormat="1" ht="13.8">
      <c r="A251" s="15"/>
      <c r="B251" s="15"/>
      <c r="C251" s="36" t="s">
        <v>310</v>
      </c>
      <c r="D251" s="142" t="s">
        <v>273</v>
      </c>
      <c r="E251" s="43">
        <v>30</v>
      </c>
      <c r="F251" s="43">
        <v>350</v>
      </c>
      <c r="G251" s="86">
        <f>F251*E251</f>
        <v>10500</v>
      </c>
    </row>
    <row r="252" spans="1:7" s="160" customFormat="1" ht="13.8">
      <c r="A252" s="15"/>
      <c r="B252" s="15"/>
      <c r="C252" s="36" t="s">
        <v>313</v>
      </c>
      <c r="D252" s="142" t="s">
        <v>256</v>
      </c>
      <c r="E252" s="43">
        <v>20</v>
      </c>
      <c r="F252" s="43">
        <v>50</v>
      </c>
      <c r="G252" s="86">
        <f>F252*E252</f>
        <v>1000</v>
      </c>
    </row>
    <row r="253" spans="1:7" ht="13.8">
      <c r="A253" s="80"/>
      <c r="B253" s="81"/>
      <c r="C253" s="51"/>
      <c r="D253" s="154"/>
      <c r="E253" s="51"/>
      <c r="F253" s="51"/>
      <c r="G253" s="52"/>
    </row>
    <row r="254" spans="1:7" s="160" customFormat="1" ht="42" customHeight="1">
      <c r="A254" s="47"/>
      <c r="B254" s="18" t="s">
        <v>320</v>
      </c>
      <c r="C254" s="208" t="s">
        <v>1042</v>
      </c>
      <c r="D254" s="143"/>
      <c r="E254" s="48"/>
      <c r="F254" s="47"/>
      <c r="G254" s="47"/>
    </row>
    <row r="255" spans="1:7" s="160" customFormat="1" ht="53.25" customHeight="1">
      <c r="A255" s="219"/>
      <c r="B255" s="220"/>
      <c r="C255" s="227" t="s">
        <v>1041</v>
      </c>
      <c r="D255" s="222"/>
      <c r="E255" s="221"/>
      <c r="F255" s="221"/>
      <c r="G255" s="223"/>
    </row>
    <row r="256" spans="1:7" s="160" customFormat="1" ht="27.6">
      <c r="A256" s="47"/>
      <c r="B256" s="47"/>
      <c r="C256" s="208" t="s">
        <v>1020</v>
      </c>
      <c r="D256" s="142" t="s">
        <v>256</v>
      </c>
      <c r="E256" s="43">
        <v>150</v>
      </c>
      <c r="F256" s="43">
        <v>30</v>
      </c>
      <c r="G256" s="86">
        <f>E256*F256</f>
        <v>4500</v>
      </c>
    </row>
    <row r="257" spans="1:7" ht="13.8">
      <c r="A257" s="15"/>
      <c r="B257" s="15"/>
      <c r="C257" s="30"/>
      <c r="D257" s="21"/>
      <c r="E257" s="31"/>
      <c r="F257" s="15"/>
      <c r="G257" s="15"/>
    </row>
    <row r="258" spans="1:7" s="178" customFormat="1" ht="13.8">
      <c r="A258" s="60"/>
      <c r="B258" s="177" t="s">
        <v>4</v>
      </c>
      <c r="C258" s="14" t="s">
        <v>867</v>
      </c>
      <c r="D258" s="179"/>
      <c r="E258" s="180"/>
      <c r="F258" s="14"/>
      <c r="G258" s="14"/>
    </row>
    <row r="259" spans="1:7" s="160" customFormat="1" ht="54" customHeight="1">
      <c r="A259" s="47"/>
      <c r="B259" s="18" t="s">
        <v>260</v>
      </c>
      <c r="C259" s="208" t="s">
        <v>1043</v>
      </c>
      <c r="D259" s="143"/>
      <c r="E259" s="48"/>
      <c r="F259" s="47"/>
      <c r="G259" s="47"/>
    </row>
    <row r="260" spans="1:7" s="160" customFormat="1" ht="53.25" customHeight="1">
      <c r="A260" s="219"/>
      <c r="B260" s="220"/>
      <c r="C260" s="227" t="s">
        <v>1041</v>
      </c>
      <c r="D260" s="222"/>
      <c r="E260" s="221"/>
      <c r="F260" s="221"/>
      <c r="G260" s="223"/>
    </row>
    <row r="261" spans="1:7" s="160" customFormat="1" ht="27.6">
      <c r="A261" s="47"/>
      <c r="B261" s="47"/>
      <c r="C261" s="208" t="s">
        <v>1020</v>
      </c>
      <c r="D261" s="142" t="s">
        <v>256</v>
      </c>
      <c r="E261" s="43">
        <v>1050</v>
      </c>
      <c r="F261" s="43">
        <v>25</v>
      </c>
      <c r="G261" s="86">
        <f>E261*F261</f>
        <v>26250</v>
      </c>
    </row>
    <row r="262" spans="1:7" ht="13.8">
      <c r="A262" s="15"/>
      <c r="B262" s="15"/>
      <c r="C262" s="30"/>
      <c r="D262" s="21"/>
      <c r="E262" s="31"/>
      <c r="F262" s="15"/>
      <c r="G262" s="15"/>
    </row>
    <row r="263" spans="1:7" s="160" customFormat="1" ht="41.4">
      <c r="A263" s="17"/>
      <c r="B263" s="18" t="s">
        <v>261</v>
      </c>
      <c r="C263" s="36" t="s">
        <v>947</v>
      </c>
      <c r="D263" s="142"/>
      <c r="E263" s="43"/>
      <c r="F263" s="43"/>
      <c r="G263" s="43"/>
    </row>
    <row r="264" spans="1:7" s="160" customFormat="1" ht="41.4">
      <c r="A264" s="42"/>
      <c r="B264" s="33"/>
      <c r="C264" s="36" t="s">
        <v>971</v>
      </c>
      <c r="D264" s="142"/>
      <c r="E264" s="43"/>
      <c r="F264" s="43"/>
      <c r="G264" s="43"/>
    </row>
    <row r="265" spans="1:7" s="160" customFormat="1" ht="27.6">
      <c r="A265" s="42"/>
      <c r="B265" s="33"/>
      <c r="C265" s="36" t="s">
        <v>314</v>
      </c>
      <c r="D265" s="142"/>
      <c r="E265" s="43"/>
      <c r="F265" s="43"/>
      <c r="G265" s="43"/>
    </row>
    <row r="266" spans="1:7" s="160" customFormat="1" ht="27.6">
      <c r="A266" s="42"/>
      <c r="B266" s="33"/>
      <c r="C266" s="36" t="s">
        <v>312</v>
      </c>
      <c r="D266" s="142"/>
      <c r="E266" s="43"/>
      <c r="F266" s="43"/>
      <c r="G266" s="43"/>
    </row>
    <row r="267" spans="1:7" s="160" customFormat="1" ht="13.8">
      <c r="A267" s="42"/>
      <c r="B267" s="33"/>
      <c r="C267" s="36" t="s">
        <v>310</v>
      </c>
      <c r="D267" s="142" t="s">
        <v>273</v>
      </c>
      <c r="E267" s="43">
        <v>740</v>
      </c>
      <c r="F267" s="43">
        <v>300</v>
      </c>
      <c r="G267" s="86">
        <f>E267*F267</f>
        <v>222000</v>
      </c>
    </row>
    <row r="268" spans="1:7" s="160" customFormat="1" ht="13.8">
      <c r="A268" s="42"/>
      <c r="B268" s="33"/>
      <c r="C268" s="36" t="s">
        <v>313</v>
      </c>
      <c r="D268" s="142" t="s">
        <v>256</v>
      </c>
      <c r="E268" s="43">
        <v>165</v>
      </c>
      <c r="F268" s="43">
        <v>50</v>
      </c>
      <c r="G268" s="86">
        <f>E268*F268</f>
        <v>8250</v>
      </c>
    </row>
    <row r="269" spans="1:7" ht="13.8">
      <c r="A269" s="47"/>
      <c r="B269" s="47"/>
      <c r="C269" s="47"/>
      <c r="D269" s="143"/>
      <c r="E269" s="48"/>
      <c r="F269" s="47"/>
      <c r="G269" s="47"/>
    </row>
    <row r="270" spans="1:7" s="160" customFormat="1" ht="41.4">
      <c r="A270" s="17"/>
      <c r="B270" s="18" t="s">
        <v>262</v>
      </c>
      <c r="C270" s="36" t="s">
        <v>948</v>
      </c>
      <c r="D270" s="142"/>
      <c r="E270" s="43"/>
      <c r="F270" s="43"/>
      <c r="G270" s="43"/>
    </row>
    <row r="271" spans="1:7" s="160" customFormat="1" ht="41.4">
      <c r="A271" s="42"/>
      <c r="B271" s="33"/>
      <c r="C271" s="36" t="s">
        <v>971</v>
      </c>
      <c r="D271" s="142"/>
      <c r="E271" s="43"/>
      <c r="F271" s="43"/>
      <c r="G271" s="43"/>
    </row>
    <row r="272" spans="1:7" s="160" customFormat="1" ht="27.6">
      <c r="A272" s="42"/>
      <c r="B272" s="33"/>
      <c r="C272" s="36" t="s">
        <v>314</v>
      </c>
      <c r="D272" s="142"/>
      <c r="E272" s="43"/>
      <c r="F272" s="43"/>
      <c r="G272" s="43"/>
    </row>
    <row r="273" spans="1:7" s="160" customFormat="1" ht="27.6">
      <c r="A273" s="42"/>
      <c r="B273" s="33"/>
      <c r="C273" s="36" t="s">
        <v>312</v>
      </c>
      <c r="D273" s="142"/>
      <c r="E273" s="43"/>
      <c r="F273" s="43"/>
      <c r="G273" s="43"/>
    </row>
    <row r="274" spans="1:7" s="160" customFormat="1" ht="13.8">
      <c r="A274" s="42"/>
      <c r="B274" s="33"/>
      <c r="C274" s="36" t="s">
        <v>310</v>
      </c>
      <c r="D274" s="142" t="s">
        <v>273</v>
      </c>
      <c r="E274" s="43">
        <v>75</v>
      </c>
      <c r="F274" s="43">
        <v>380</v>
      </c>
      <c r="G274" s="86">
        <f>E274*F274</f>
        <v>28500</v>
      </c>
    </row>
    <row r="275" spans="1:7" s="160" customFormat="1" ht="13.8">
      <c r="A275" s="42"/>
      <c r="B275" s="33"/>
      <c r="C275" s="36" t="s">
        <v>313</v>
      </c>
      <c r="D275" s="142" t="s">
        <v>256</v>
      </c>
      <c r="E275" s="43">
        <v>60</v>
      </c>
      <c r="F275" s="43">
        <v>50</v>
      </c>
      <c r="G275" s="86">
        <f>E275*F275</f>
        <v>3000</v>
      </c>
    </row>
    <row r="276" spans="1:7" ht="13.8">
      <c r="A276" s="74"/>
      <c r="B276" s="33"/>
      <c r="C276" s="141"/>
      <c r="D276" s="156"/>
      <c r="E276" s="141"/>
      <c r="F276" s="141"/>
      <c r="G276" s="28"/>
    </row>
    <row r="277" spans="1:7" ht="69">
      <c r="A277" s="61"/>
      <c r="B277" s="18" t="s">
        <v>263</v>
      </c>
      <c r="C277" s="56" t="s">
        <v>984</v>
      </c>
      <c r="D277" s="145"/>
      <c r="E277" s="57"/>
      <c r="F277" s="43"/>
      <c r="G277" s="57"/>
    </row>
    <row r="278" spans="1:7" ht="41.4">
      <c r="A278" s="74"/>
      <c r="B278" s="33"/>
      <c r="C278" s="56" t="s">
        <v>316</v>
      </c>
      <c r="D278" s="145"/>
      <c r="E278" s="57"/>
      <c r="F278" s="43"/>
      <c r="G278" s="57"/>
    </row>
    <row r="279" spans="1:7" ht="27.6">
      <c r="A279" s="74"/>
      <c r="B279" s="33"/>
      <c r="C279" s="56" t="s">
        <v>312</v>
      </c>
      <c r="D279" s="145"/>
      <c r="E279" s="57"/>
      <c r="F279" s="43"/>
      <c r="G279" s="57"/>
    </row>
    <row r="280" spans="1:7" s="160" customFormat="1" ht="13.8">
      <c r="A280" s="42"/>
      <c r="B280" s="33"/>
      <c r="C280" s="36" t="s">
        <v>310</v>
      </c>
      <c r="D280" s="142" t="s">
        <v>273</v>
      </c>
      <c r="E280" s="43">
        <v>280</v>
      </c>
      <c r="F280" s="43">
        <v>400</v>
      </c>
      <c r="G280" s="86">
        <f>E280*F280</f>
        <v>112000</v>
      </c>
    </row>
    <row r="281" spans="1:7" s="160" customFormat="1" ht="13.8">
      <c r="A281" s="42"/>
      <c r="B281" s="33"/>
      <c r="C281" s="36" t="s">
        <v>313</v>
      </c>
      <c r="D281" s="142" t="s">
        <v>256</v>
      </c>
      <c r="E281" s="43">
        <v>2050</v>
      </c>
      <c r="F281" s="43">
        <v>50</v>
      </c>
      <c r="G281" s="86">
        <f>E281*F281</f>
        <v>102500</v>
      </c>
    </row>
    <row r="282" spans="1:7" ht="13.8">
      <c r="A282" s="74"/>
      <c r="B282" s="33"/>
      <c r="C282" s="141"/>
      <c r="D282" s="156"/>
      <c r="E282" s="141"/>
      <c r="F282" s="141"/>
      <c r="G282" s="28"/>
    </row>
    <row r="283" spans="1:7" ht="69">
      <c r="A283" s="61"/>
      <c r="B283" s="18" t="s">
        <v>264</v>
      </c>
      <c r="C283" s="56" t="s">
        <v>985</v>
      </c>
      <c r="D283" s="145"/>
      <c r="E283" s="57"/>
      <c r="F283" s="43"/>
      <c r="G283" s="57"/>
    </row>
    <row r="284" spans="1:7" ht="41.4">
      <c r="A284" s="74"/>
      <c r="B284" s="33"/>
      <c r="C284" s="56" t="s">
        <v>316</v>
      </c>
      <c r="D284" s="145"/>
      <c r="E284" s="57"/>
      <c r="F284" s="43"/>
      <c r="G284" s="57"/>
    </row>
    <row r="285" spans="1:7" ht="27.6">
      <c r="A285" s="74"/>
      <c r="B285" s="33"/>
      <c r="C285" s="56" t="s">
        <v>312</v>
      </c>
      <c r="D285" s="145"/>
      <c r="E285" s="57"/>
      <c r="F285" s="43"/>
      <c r="G285" s="57"/>
    </row>
    <row r="286" spans="1:7" s="160" customFormat="1" ht="13.8">
      <c r="A286" s="42"/>
      <c r="B286" s="33"/>
      <c r="C286" s="36" t="s">
        <v>310</v>
      </c>
      <c r="D286" s="142" t="s">
        <v>273</v>
      </c>
      <c r="E286" s="43">
        <v>50</v>
      </c>
      <c r="F286" s="43">
        <v>400</v>
      </c>
      <c r="G286" s="86">
        <f>E286*F286</f>
        <v>20000</v>
      </c>
    </row>
    <row r="287" spans="1:7" s="160" customFormat="1" ht="13.8">
      <c r="A287" s="42"/>
      <c r="B287" s="33"/>
      <c r="C287" s="36" t="s">
        <v>313</v>
      </c>
      <c r="D287" s="142" t="s">
        <v>256</v>
      </c>
      <c r="E287" s="43">
        <v>480</v>
      </c>
      <c r="F287" s="43">
        <v>50</v>
      </c>
      <c r="G287" s="86">
        <f>E287*F287</f>
        <v>24000</v>
      </c>
    </row>
    <row r="288" spans="1:7" ht="13.8">
      <c r="A288" s="74"/>
      <c r="B288" s="33"/>
      <c r="C288" s="141"/>
      <c r="D288" s="156"/>
      <c r="E288" s="141"/>
      <c r="F288" s="141"/>
      <c r="G288" s="28"/>
    </row>
    <row r="289" spans="1:7" ht="68.25" customHeight="1">
      <c r="A289" s="61"/>
      <c r="B289" s="18" t="s">
        <v>267</v>
      </c>
      <c r="C289" s="56" t="s">
        <v>986</v>
      </c>
      <c r="D289" s="145"/>
      <c r="E289" s="57"/>
      <c r="F289" s="43"/>
      <c r="G289" s="57"/>
    </row>
    <row r="290" spans="1:7" ht="41.4">
      <c r="A290" s="74"/>
      <c r="B290" s="33"/>
      <c r="C290" s="56" t="s">
        <v>316</v>
      </c>
      <c r="D290" s="145"/>
      <c r="E290" s="57"/>
      <c r="F290" s="43"/>
      <c r="G290" s="57"/>
    </row>
    <row r="291" spans="1:7" ht="27.6">
      <c r="A291" s="74"/>
      <c r="B291" s="33"/>
      <c r="C291" s="56" t="s">
        <v>312</v>
      </c>
      <c r="D291" s="145"/>
      <c r="E291" s="57"/>
      <c r="F291" s="43"/>
      <c r="G291" s="57"/>
    </row>
    <row r="292" spans="1:7" s="160" customFormat="1" ht="13.8">
      <c r="A292" s="42"/>
      <c r="B292" s="33"/>
      <c r="C292" s="36" t="s">
        <v>310</v>
      </c>
      <c r="D292" s="142" t="s">
        <v>273</v>
      </c>
      <c r="E292" s="43">
        <v>25</v>
      </c>
      <c r="F292" s="43">
        <v>500</v>
      </c>
      <c r="G292" s="86">
        <f>E292*F292</f>
        <v>12500</v>
      </c>
    </row>
    <row r="293" spans="1:7" s="160" customFormat="1" ht="13.8">
      <c r="A293" s="42"/>
      <c r="B293" s="33"/>
      <c r="C293" s="36" t="s">
        <v>313</v>
      </c>
      <c r="D293" s="142" t="s">
        <v>256</v>
      </c>
      <c r="E293" s="43">
        <v>100</v>
      </c>
      <c r="F293" s="43">
        <v>60</v>
      </c>
      <c r="G293" s="86">
        <f t="shared" ref="G293" si="0">E293*F293</f>
        <v>6000</v>
      </c>
    </row>
    <row r="294" spans="1:7" ht="13.8">
      <c r="A294" s="74"/>
      <c r="B294" s="33"/>
      <c r="C294" s="141"/>
      <c r="D294" s="156"/>
      <c r="E294" s="141"/>
      <c r="F294" s="141"/>
      <c r="G294" s="28"/>
    </row>
    <row r="295" spans="1:7" ht="41.4">
      <c r="A295" s="61"/>
      <c r="B295" s="18" t="s">
        <v>269</v>
      </c>
      <c r="C295" s="56" t="s">
        <v>949</v>
      </c>
      <c r="D295" s="145"/>
      <c r="E295" s="57"/>
      <c r="F295" s="43"/>
      <c r="G295" s="57"/>
    </row>
    <row r="296" spans="1:7" ht="27.6">
      <c r="A296" s="74"/>
      <c r="B296" s="33"/>
      <c r="C296" s="56" t="s">
        <v>987</v>
      </c>
      <c r="D296" s="145"/>
      <c r="E296" s="57"/>
      <c r="F296" s="43"/>
      <c r="G296" s="57"/>
    </row>
    <row r="297" spans="1:7" ht="15" customHeight="1">
      <c r="A297" s="74"/>
      <c r="B297" s="33"/>
      <c r="C297" s="56" t="s">
        <v>950</v>
      </c>
      <c r="D297" s="145"/>
      <c r="E297" s="57"/>
      <c r="F297" s="43"/>
      <c r="G297" s="57"/>
    </row>
    <row r="298" spans="1:7" ht="41.4">
      <c r="A298" s="74"/>
      <c r="B298" s="33"/>
      <c r="C298" s="56" t="s">
        <v>316</v>
      </c>
      <c r="D298" s="145"/>
      <c r="E298" s="57"/>
      <c r="F298" s="43"/>
      <c r="G298" s="57"/>
    </row>
    <row r="299" spans="1:7" ht="27.6">
      <c r="A299" s="74"/>
      <c r="B299" s="33"/>
      <c r="C299" s="56" t="s">
        <v>312</v>
      </c>
      <c r="D299" s="145"/>
      <c r="E299" s="57"/>
      <c r="F299" s="43"/>
      <c r="G299" s="57"/>
    </row>
    <row r="300" spans="1:7" s="160" customFormat="1" ht="13.8">
      <c r="A300" s="42"/>
      <c r="B300" s="33"/>
      <c r="C300" s="36" t="s">
        <v>310</v>
      </c>
      <c r="D300" s="142" t="s">
        <v>273</v>
      </c>
      <c r="E300" s="43">
        <v>95</v>
      </c>
      <c r="F300" s="43">
        <v>400</v>
      </c>
      <c r="G300" s="86">
        <f>F300*E300</f>
        <v>38000</v>
      </c>
    </row>
    <row r="301" spans="1:7" s="160" customFormat="1" ht="13.8">
      <c r="A301" s="42"/>
      <c r="B301" s="33"/>
      <c r="C301" s="36" t="s">
        <v>313</v>
      </c>
      <c r="D301" s="142" t="s">
        <v>256</v>
      </c>
      <c r="E301" s="43">
        <v>405</v>
      </c>
      <c r="F301" s="43">
        <v>60</v>
      </c>
      <c r="G301" s="86">
        <f>F301*E301</f>
        <v>24300</v>
      </c>
    </row>
    <row r="302" spans="1:7" ht="13.8">
      <c r="A302" s="74"/>
      <c r="B302" s="33"/>
      <c r="C302" s="141"/>
      <c r="D302" s="156"/>
      <c r="E302" s="141"/>
      <c r="F302" s="141"/>
      <c r="G302" s="28"/>
    </row>
    <row r="303" spans="1:7" ht="41.4">
      <c r="A303" s="61"/>
      <c r="B303" s="18" t="s">
        <v>271</v>
      </c>
      <c r="C303" s="56" t="s">
        <v>951</v>
      </c>
      <c r="D303" s="145"/>
      <c r="E303" s="57"/>
      <c r="F303" s="43"/>
      <c r="G303" s="57"/>
    </row>
    <row r="304" spans="1:7" s="160" customFormat="1" ht="29.25" customHeight="1">
      <c r="A304" s="42"/>
      <c r="B304" s="33"/>
      <c r="C304" s="36" t="s">
        <v>987</v>
      </c>
      <c r="D304" s="142"/>
      <c r="E304" s="43"/>
      <c r="F304" s="43"/>
      <c r="G304" s="43"/>
    </row>
    <row r="305" spans="1:7" ht="15" customHeight="1">
      <c r="A305" s="74"/>
      <c r="B305" s="33"/>
      <c r="C305" s="56" t="s">
        <v>950</v>
      </c>
      <c r="D305" s="145"/>
      <c r="E305" s="57"/>
      <c r="F305" s="43"/>
      <c r="G305" s="57"/>
    </row>
    <row r="306" spans="1:7" ht="41.4">
      <c r="A306" s="74"/>
      <c r="B306" s="33"/>
      <c r="C306" s="56" t="s">
        <v>316</v>
      </c>
      <c r="D306" s="145"/>
      <c r="E306" s="57"/>
      <c r="F306" s="43"/>
      <c r="G306" s="57"/>
    </row>
    <row r="307" spans="1:7" ht="27.6">
      <c r="A307" s="74"/>
      <c r="B307" s="33"/>
      <c r="C307" s="56" t="s">
        <v>312</v>
      </c>
      <c r="D307" s="145"/>
      <c r="E307" s="57"/>
      <c r="F307" s="43"/>
      <c r="G307" s="57"/>
    </row>
    <row r="308" spans="1:7" s="160" customFormat="1" ht="13.8">
      <c r="A308" s="42"/>
      <c r="B308" s="33"/>
      <c r="C308" s="36" t="s">
        <v>310</v>
      </c>
      <c r="D308" s="142" t="s">
        <v>273</v>
      </c>
      <c r="E308" s="43">
        <v>95</v>
      </c>
      <c r="F308" s="43">
        <v>180</v>
      </c>
      <c r="G308" s="86">
        <f>F308*E308</f>
        <v>17100</v>
      </c>
    </row>
    <row r="309" spans="1:7" s="160" customFormat="1" ht="13.8">
      <c r="A309" s="42"/>
      <c r="B309" s="33"/>
      <c r="C309" s="36" t="s">
        <v>313</v>
      </c>
      <c r="D309" s="142" t="s">
        <v>256</v>
      </c>
      <c r="E309" s="43">
        <v>190</v>
      </c>
      <c r="F309" s="43">
        <v>60</v>
      </c>
      <c r="G309" s="86">
        <f>F309*E309</f>
        <v>11400</v>
      </c>
    </row>
    <row r="310" spans="1:7" ht="13.8">
      <c r="A310" s="74"/>
      <c r="B310" s="33"/>
      <c r="C310" s="141"/>
      <c r="D310" s="156"/>
      <c r="E310" s="141"/>
      <c r="F310" s="141"/>
      <c r="G310" s="28"/>
    </row>
    <row r="311" spans="1:7" ht="41.4">
      <c r="A311" s="61"/>
      <c r="B311" s="18" t="s">
        <v>930</v>
      </c>
      <c r="C311" s="56" t="s">
        <v>952</v>
      </c>
      <c r="D311" s="145"/>
      <c r="E311" s="57"/>
      <c r="F311" s="43"/>
      <c r="G311" s="57"/>
    </row>
    <row r="312" spans="1:7" ht="29.25" customHeight="1">
      <c r="A312" s="74"/>
      <c r="B312" s="33"/>
      <c r="C312" s="56" t="s">
        <v>988</v>
      </c>
      <c r="D312" s="145"/>
      <c r="E312" s="57"/>
      <c r="F312" s="43"/>
      <c r="G312" s="57"/>
    </row>
    <row r="313" spans="1:7" ht="15" customHeight="1">
      <c r="A313" s="74"/>
      <c r="B313" s="33"/>
      <c r="C313" s="56" t="s">
        <v>953</v>
      </c>
      <c r="D313" s="145"/>
      <c r="E313" s="57"/>
      <c r="F313" s="43"/>
      <c r="G313" s="57"/>
    </row>
    <row r="314" spans="1:7" ht="41.4">
      <c r="A314" s="74"/>
      <c r="B314" s="33"/>
      <c r="C314" s="56" t="s">
        <v>316</v>
      </c>
      <c r="D314" s="145"/>
      <c r="E314" s="57"/>
      <c r="F314" s="43"/>
      <c r="G314" s="57"/>
    </row>
    <row r="315" spans="1:7" ht="27.6">
      <c r="A315" s="74"/>
      <c r="B315" s="33"/>
      <c r="C315" s="56" t="s">
        <v>312</v>
      </c>
      <c r="D315" s="145"/>
      <c r="E315" s="57"/>
      <c r="F315" s="43"/>
      <c r="G315" s="57"/>
    </row>
    <row r="316" spans="1:7" s="160" customFormat="1" ht="13.8">
      <c r="A316" s="42"/>
      <c r="B316" s="33"/>
      <c r="C316" s="36" t="s">
        <v>310</v>
      </c>
      <c r="D316" s="142" t="s">
        <v>273</v>
      </c>
      <c r="E316" s="43">
        <v>35</v>
      </c>
      <c r="F316" s="43">
        <v>500</v>
      </c>
      <c r="G316" s="86">
        <f>F316*E316</f>
        <v>17500</v>
      </c>
    </row>
    <row r="317" spans="1:7" s="160" customFormat="1" ht="13.8">
      <c r="A317" s="42"/>
      <c r="B317" s="33"/>
      <c r="C317" s="36" t="s">
        <v>313</v>
      </c>
      <c r="D317" s="142" t="s">
        <v>256</v>
      </c>
      <c r="E317" s="43">
        <v>210</v>
      </c>
      <c r="F317" s="43">
        <v>60</v>
      </c>
      <c r="G317" s="86">
        <f>F317*E317</f>
        <v>12600</v>
      </c>
    </row>
    <row r="318" spans="1:7" ht="13.8">
      <c r="A318" s="74"/>
      <c r="B318" s="33"/>
      <c r="C318" s="56"/>
      <c r="D318" s="145"/>
      <c r="E318" s="57"/>
      <c r="F318" s="43"/>
      <c r="G318" s="57"/>
    </row>
    <row r="319" spans="1:7" ht="54" customHeight="1">
      <c r="A319" s="61"/>
      <c r="B319" s="18" t="s">
        <v>945</v>
      </c>
      <c r="C319" s="56" t="s">
        <v>954</v>
      </c>
      <c r="D319" s="145"/>
      <c r="E319" s="57"/>
      <c r="F319" s="43"/>
      <c r="G319" s="57"/>
    </row>
    <row r="320" spans="1:7" ht="27.6">
      <c r="A320" s="74"/>
      <c r="B320" s="33"/>
      <c r="C320" s="56" t="s">
        <v>989</v>
      </c>
      <c r="D320" s="145"/>
      <c r="E320" s="57"/>
      <c r="F320" s="43"/>
      <c r="G320" s="57"/>
    </row>
    <row r="321" spans="1:7" ht="17.399999999999999" customHeight="1">
      <c r="A321" s="74"/>
      <c r="B321" s="33"/>
      <c r="C321" s="56" t="s">
        <v>957</v>
      </c>
      <c r="D321" s="145"/>
      <c r="E321" s="57"/>
      <c r="F321" s="43"/>
      <c r="G321" s="57"/>
    </row>
    <row r="322" spans="1:7" ht="27.6">
      <c r="A322" s="74"/>
      <c r="B322" s="33"/>
      <c r="C322" s="56" t="s">
        <v>317</v>
      </c>
      <c r="D322" s="145"/>
      <c r="E322" s="57"/>
      <c r="F322" s="43"/>
      <c r="G322" s="57"/>
    </row>
    <row r="323" spans="1:7" ht="41.4">
      <c r="A323" s="74"/>
      <c r="B323" s="33"/>
      <c r="C323" s="56" t="s">
        <v>316</v>
      </c>
      <c r="D323" s="145"/>
      <c r="E323" s="57"/>
      <c r="F323" s="43"/>
      <c r="G323" s="57"/>
    </row>
    <row r="324" spans="1:7" ht="27.6">
      <c r="A324" s="74"/>
      <c r="B324" s="33"/>
      <c r="C324" s="56" t="s">
        <v>312</v>
      </c>
      <c r="D324" s="145"/>
      <c r="E324" s="57"/>
      <c r="F324" s="43"/>
      <c r="G324" s="57"/>
    </row>
    <row r="325" spans="1:7" s="160" customFormat="1" ht="13.8">
      <c r="A325" s="42"/>
      <c r="B325" s="33"/>
      <c r="C325" s="36" t="s">
        <v>310</v>
      </c>
      <c r="D325" s="142" t="s">
        <v>273</v>
      </c>
      <c r="E325" s="43">
        <v>165</v>
      </c>
      <c r="F325" s="43">
        <v>300</v>
      </c>
      <c r="G325" s="86">
        <f>F325*E325</f>
        <v>49500</v>
      </c>
    </row>
    <row r="326" spans="1:7" s="160" customFormat="1" ht="13.8">
      <c r="A326" s="42"/>
      <c r="B326" s="33"/>
      <c r="C326" s="36" t="s">
        <v>313</v>
      </c>
      <c r="D326" s="142" t="s">
        <v>256</v>
      </c>
      <c r="E326" s="43">
        <v>840</v>
      </c>
      <c r="F326" s="43">
        <v>60</v>
      </c>
      <c r="G326" s="86">
        <f>F326*E326</f>
        <v>50400</v>
      </c>
    </row>
    <row r="327" spans="1:7" ht="13.8">
      <c r="A327" s="74"/>
      <c r="B327" s="33"/>
      <c r="C327" s="56"/>
      <c r="D327" s="145"/>
      <c r="E327" s="57"/>
      <c r="F327" s="43"/>
      <c r="G327" s="57"/>
    </row>
    <row r="328" spans="1:7" ht="55.5" customHeight="1">
      <c r="A328" s="61"/>
      <c r="B328" s="18" t="s">
        <v>275</v>
      </c>
      <c r="C328" s="56" t="s">
        <v>955</v>
      </c>
      <c r="D328" s="145"/>
      <c r="E328" s="57"/>
      <c r="F328" s="43"/>
      <c r="G328" s="57"/>
    </row>
    <row r="329" spans="1:7" ht="27.6">
      <c r="A329" s="74"/>
      <c r="B329" s="33"/>
      <c r="C329" s="56" t="s">
        <v>989</v>
      </c>
      <c r="D329" s="145"/>
      <c r="E329" s="57"/>
      <c r="F329" s="43"/>
      <c r="G329" s="57"/>
    </row>
    <row r="330" spans="1:7" ht="17.399999999999999" customHeight="1">
      <c r="A330" s="74"/>
      <c r="B330" s="33"/>
      <c r="C330" s="56" t="s">
        <v>956</v>
      </c>
      <c r="D330" s="145"/>
      <c r="E330" s="57"/>
      <c r="F330" s="43"/>
      <c r="G330" s="57"/>
    </row>
    <row r="331" spans="1:7" ht="27.6">
      <c r="A331" s="74"/>
      <c r="B331" s="33"/>
      <c r="C331" s="56" t="s">
        <v>317</v>
      </c>
      <c r="D331" s="145"/>
      <c r="E331" s="57"/>
      <c r="F331" s="43"/>
      <c r="G331" s="57"/>
    </row>
    <row r="332" spans="1:7" ht="41.4">
      <c r="A332" s="74"/>
      <c r="B332" s="33"/>
      <c r="C332" s="56" t="s">
        <v>316</v>
      </c>
      <c r="D332" s="145"/>
      <c r="E332" s="57"/>
      <c r="F332" s="43"/>
      <c r="G332" s="57"/>
    </row>
    <row r="333" spans="1:7" ht="27.6">
      <c r="A333" s="74"/>
      <c r="B333" s="33"/>
      <c r="C333" s="56" t="s">
        <v>312</v>
      </c>
      <c r="D333" s="145"/>
      <c r="E333" s="57"/>
      <c r="F333" s="43"/>
      <c r="G333" s="57"/>
    </row>
    <row r="334" spans="1:7" s="160" customFormat="1" ht="13.8">
      <c r="A334" s="42"/>
      <c r="B334" s="33"/>
      <c r="C334" s="36" t="s">
        <v>310</v>
      </c>
      <c r="D334" s="142" t="s">
        <v>273</v>
      </c>
      <c r="E334" s="43">
        <v>44</v>
      </c>
      <c r="F334" s="43">
        <v>300</v>
      </c>
      <c r="G334" s="86">
        <f>F334*E334</f>
        <v>13200</v>
      </c>
    </row>
    <row r="335" spans="1:7" s="160" customFormat="1" ht="13.8">
      <c r="A335" s="42"/>
      <c r="B335" s="33"/>
      <c r="C335" s="36" t="s">
        <v>313</v>
      </c>
      <c r="D335" s="142" t="s">
        <v>256</v>
      </c>
      <c r="E335" s="43">
        <v>190</v>
      </c>
      <c r="F335" s="43">
        <v>50</v>
      </c>
      <c r="G335" s="86">
        <f>F335*E335</f>
        <v>9500</v>
      </c>
    </row>
    <row r="336" spans="1:7" ht="13.8">
      <c r="A336" s="74"/>
      <c r="B336" s="33"/>
      <c r="C336" s="141"/>
      <c r="D336" s="156"/>
      <c r="E336" s="141"/>
      <c r="F336" s="141"/>
      <c r="G336" s="28"/>
    </row>
    <row r="337" spans="1:7" s="160" customFormat="1" ht="69">
      <c r="A337" s="17"/>
      <c r="B337" s="18" t="s">
        <v>276</v>
      </c>
      <c r="C337" s="36" t="s">
        <v>1058</v>
      </c>
      <c r="D337" s="142"/>
      <c r="E337" s="43"/>
      <c r="F337" s="43"/>
      <c r="G337" s="43"/>
    </row>
    <row r="338" spans="1:7" ht="41.4">
      <c r="A338" s="74"/>
      <c r="B338" s="33"/>
      <c r="C338" s="56" t="s">
        <v>316</v>
      </c>
      <c r="D338" s="145"/>
      <c r="E338" s="57"/>
      <c r="F338" s="43"/>
      <c r="G338" s="57"/>
    </row>
    <row r="339" spans="1:7" ht="27.6">
      <c r="A339" s="74"/>
      <c r="B339" s="33"/>
      <c r="C339" s="56" t="s">
        <v>312</v>
      </c>
      <c r="D339" s="145"/>
      <c r="E339" s="57"/>
      <c r="F339" s="43"/>
      <c r="G339" s="57"/>
    </row>
    <row r="340" spans="1:7" s="160" customFormat="1" ht="13.8">
      <c r="A340" s="42"/>
      <c r="B340" s="33"/>
      <c r="C340" s="36" t="s">
        <v>310</v>
      </c>
      <c r="D340" s="142" t="s">
        <v>273</v>
      </c>
      <c r="E340" s="43">
        <v>28</v>
      </c>
      <c r="F340" s="43">
        <v>400</v>
      </c>
      <c r="G340" s="86">
        <f>E340*F340</f>
        <v>11200</v>
      </c>
    </row>
    <row r="341" spans="1:7" s="160" customFormat="1" ht="13.8">
      <c r="A341" s="42"/>
      <c r="B341" s="33"/>
      <c r="C341" s="36" t="s">
        <v>313</v>
      </c>
      <c r="D341" s="142" t="s">
        <v>256</v>
      </c>
      <c r="E341" s="43">
        <v>300</v>
      </c>
      <c r="F341" s="43">
        <v>50</v>
      </c>
      <c r="G341" s="86">
        <f>E341*F341</f>
        <v>15000</v>
      </c>
    </row>
    <row r="342" spans="1:7" ht="13.8">
      <c r="A342" s="74"/>
      <c r="B342" s="33"/>
      <c r="C342" s="141"/>
      <c r="D342" s="156"/>
      <c r="E342" s="141"/>
      <c r="F342" s="141"/>
      <c r="G342" s="28"/>
    </row>
    <row r="343" spans="1:7" s="160" customFormat="1" ht="55.5" customHeight="1">
      <c r="A343" s="17"/>
      <c r="B343" s="18" t="s">
        <v>1028</v>
      </c>
      <c r="C343" s="36" t="s">
        <v>1254</v>
      </c>
      <c r="D343" s="213"/>
      <c r="E343" s="43"/>
      <c r="F343" s="43"/>
      <c r="G343" s="43"/>
    </row>
    <row r="344" spans="1:7" ht="82.8">
      <c r="A344" s="74"/>
      <c r="B344" s="33"/>
      <c r="C344" s="56" t="s">
        <v>1249</v>
      </c>
      <c r="D344" s="304"/>
      <c r="E344" s="57"/>
      <c r="F344" s="43"/>
      <c r="G344" s="57"/>
    </row>
    <row r="345" spans="1:7" ht="13.8">
      <c r="A345" s="74"/>
      <c r="B345" s="33"/>
      <c r="C345" s="56" t="s">
        <v>1250</v>
      </c>
      <c r="D345" s="304" t="s">
        <v>273</v>
      </c>
      <c r="E345" s="44">
        <v>115</v>
      </c>
      <c r="F345" s="43">
        <v>180</v>
      </c>
      <c r="G345" s="87">
        <f>F345*E345</f>
        <v>20700</v>
      </c>
    </row>
    <row r="346" spans="1:7" ht="69">
      <c r="A346" s="74"/>
      <c r="B346" s="33"/>
      <c r="C346" s="305" t="s">
        <v>1253</v>
      </c>
      <c r="D346" s="304"/>
      <c r="E346" s="44"/>
      <c r="F346" s="43"/>
      <c r="G346" s="57"/>
    </row>
    <row r="347" spans="1:7" ht="13.8">
      <c r="A347" s="74"/>
      <c r="B347" s="33"/>
      <c r="C347" s="141"/>
      <c r="D347" s="156"/>
      <c r="E347" s="141"/>
      <c r="F347" s="141"/>
      <c r="G347" s="28"/>
    </row>
    <row r="348" spans="1:7" s="160" customFormat="1" ht="55.2">
      <c r="A348" s="17"/>
      <c r="B348" s="18" t="s">
        <v>1029</v>
      </c>
      <c r="C348" s="36" t="s">
        <v>1006</v>
      </c>
      <c r="D348" s="142"/>
      <c r="E348" s="43"/>
      <c r="F348" s="43"/>
      <c r="G348" s="43"/>
    </row>
    <row r="349" spans="1:7" s="160" customFormat="1" ht="82.8">
      <c r="A349" s="42"/>
      <c r="B349" s="33"/>
      <c r="C349" s="36" t="s">
        <v>1035</v>
      </c>
      <c r="D349" s="142"/>
      <c r="E349" s="43"/>
      <c r="F349" s="43"/>
      <c r="G349" s="43"/>
    </row>
    <row r="350" spans="1:7" ht="27.6">
      <c r="A350" s="74"/>
      <c r="B350" s="33"/>
      <c r="C350" s="56" t="s">
        <v>314</v>
      </c>
      <c r="D350" s="145"/>
      <c r="E350" s="57"/>
      <c r="F350" s="43"/>
      <c r="G350" s="57"/>
    </row>
    <row r="351" spans="1:7" ht="27.6">
      <c r="A351" s="74"/>
      <c r="B351" s="33"/>
      <c r="C351" s="56" t="s">
        <v>312</v>
      </c>
      <c r="D351" s="145"/>
      <c r="E351" s="57"/>
      <c r="F351" s="43"/>
      <c r="G351" s="57"/>
    </row>
    <row r="352" spans="1:7" ht="13.8">
      <c r="A352" s="74"/>
      <c r="B352" s="33"/>
      <c r="C352" s="56" t="s">
        <v>310</v>
      </c>
      <c r="D352" s="145" t="s">
        <v>273</v>
      </c>
      <c r="E352" s="57">
        <v>20</v>
      </c>
      <c r="F352" s="43">
        <v>300</v>
      </c>
      <c r="G352" s="87">
        <f>E352*F352</f>
        <v>6000</v>
      </c>
    </row>
    <row r="353" spans="1:7" ht="13.8">
      <c r="A353" s="74"/>
      <c r="B353" s="33"/>
      <c r="C353" s="56" t="s">
        <v>313</v>
      </c>
      <c r="D353" s="145" t="s">
        <v>256</v>
      </c>
      <c r="E353" s="57">
        <v>20</v>
      </c>
      <c r="F353" s="43">
        <v>60</v>
      </c>
      <c r="G353" s="87">
        <f>E353*F353</f>
        <v>1200</v>
      </c>
    </row>
    <row r="354" spans="1:7" ht="13.8">
      <c r="A354" s="80"/>
      <c r="B354" s="81"/>
      <c r="C354" s="51"/>
      <c r="D354" s="154"/>
      <c r="E354" s="51"/>
      <c r="F354" s="51"/>
      <c r="G354" s="52"/>
    </row>
    <row r="355" spans="1:7" s="160" customFormat="1" ht="55.2">
      <c r="A355" s="17"/>
      <c r="B355" s="19" t="s">
        <v>1251</v>
      </c>
      <c r="C355" s="36" t="s">
        <v>1044</v>
      </c>
      <c r="D355" s="142"/>
      <c r="E355" s="43"/>
      <c r="F355" s="43"/>
      <c r="G355" s="43"/>
    </row>
    <row r="356" spans="1:7" s="160" customFormat="1" ht="42" customHeight="1">
      <c r="A356" s="15"/>
      <c r="B356" s="15"/>
      <c r="C356" s="36" t="s">
        <v>1036</v>
      </c>
      <c r="D356" s="142"/>
      <c r="E356" s="43"/>
      <c r="F356" s="43"/>
      <c r="G356" s="43"/>
    </row>
    <row r="357" spans="1:7" s="160" customFormat="1" ht="41.4">
      <c r="A357" s="15"/>
      <c r="B357" s="15"/>
      <c r="C357" s="36" t="s">
        <v>316</v>
      </c>
      <c r="D357" s="142"/>
      <c r="E357" s="43"/>
      <c r="F357" s="43"/>
      <c r="G357" s="43"/>
    </row>
    <row r="358" spans="1:7" s="160" customFormat="1" ht="13.8">
      <c r="A358" s="15"/>
      <c r="B358" s="15"/>
      <c r="C358" s="36" t="s">
        <v>310</v>
      </c>
      <c r="D358" s="142" t="s">
        <v>273</v>
      </c>
      <c r="E358" s="43">
        <v>60</v>
      </c>
      <c r="F358" s="43">
        <v>300</v>
      </c>
      <c r="G358" s="86">
        <f>F358*E358</f>
        <v>18000</v>
      </c>
    </row>
    <row r="359" spans="1:7" s="160" customFormat="1" ht="13.8">
      <c r="A359" s="15"/>
      <c r="B359" s="15"/>
      <c r="C359" s="36" t="s">
        <v>313</v>
      </c>
      <c r="D359" s="142" t="s">
        <v>256</v>
      </c>
      <c r="E359" s="43">
        <v>40</v>
      </c>
      <c r="F359" s="43">
        <v>60</v>
      </c>
      <c r="G359" s="86">
        <f>F359*E359</f>
        <v>2400</v>
      </c>
    </row>
    <row r="360" spans="1:7" ht="13.8">
      <c r="A360" s="47"/>
      <c r="B360" s="47"/>
      <c r="C360" s="47"/>
      <c r="D360" s="143"/>
      <c r="E360" s="48"/>
      <c r="F360" s="47"/>
      <c r="G360" s="47"/>
    </row>
    <row r="361" spans="1:7" ht="13.8">
      <c r="A361" s="82" t="s">
        <v>868</v>
      </c>
      <c r="B361" s="49" t="s">
        <v>940</v>
      </c>
      <c r="C361" s="54" t="s">
        <v>761</v>
      </c>
      <c r="D361" s="153"/>
      <c r="E361" s="54"/>
      <c r="F361" s="54"/>
      <c r="G361" s="84">
        <f>SUM(G212:G359)</f>
        <v>999462</v>
      </c>
    </row>
    <row r="362" spans="1:7" ht="13.8">
      <c r="A362" s="15"/>
      <c r="B362" s="15"/>
      <c r="C362" s="38"/>
      <c r="D362" s="21"/>
      <c r="E362" s="26"/>
      <c r="F362" s="15"/>
      <c r="G362" s="15"/>
    </row>
    <row r="363" spans="1:7" ht="13.8">
      <c r="A363" s="80"/>
      <c r="B363" s="81"/>
      <c r="C363" s="51"/>
      <c r="D363" s="154"/>
      <c r="E363" s="51"/>
      <c r="F363" s="51"/>
      <c r="G363" s="52"/>
    </row>
    <row r="364" spans="1:7" s="178" customFormat="1" ht="13.8">
      <c r="A364" s="59" t="s">
        <v>868</v>
      </c>
      <c r="B364" s="33" t="s">
        <v>958</v>
      </c>
      <c r="C364" s="939" t="s">
        <v>306</v>
      </c>
      <c r="D364" s="939"/>
      <c r="E364" s="141"/>
      <c r="F364" s="141"/>
      <c r="G364" s="28"/>
    </row>
    <row r="365" spans="1:7" ht="13.8">
      <c r="A365" s="80"/>
      <c r="B365" s="81"/>
      <c r="C365" s="51"/>
      <c r="D365" s="154"/>
      <c r="E365" s="51"/>
      <c r="F365" s="51"/>
      <c r="G365" s="52"/>
    </row>
    <row r="366" spans="1:7" s="178" customFormat="1" ht="13.8">
      <c r="A366" s="60"/>
      <c r="B366" s="177" t="s">
        <v>0</v>
      </c>
      <c r="C366" s="14" t="s">
        <v>1022</v>
      </c>
      <c r="D366" s="179"/>
      <c r="E366" s="180"/>
      <c r="F366" s="14"/>
      <c r="G366" s="14"/>
    </row>
    <row r="367" spans="1:7" ht="55.2">
      <c r="A367" s="61"/>
      <c r="B367" s="18" t="s">
        <v>252</v>
      </c>
      <c r="C367" s="56" t="s">
        <v>990</v>
      </c>
      <c r="D367" s="145"/>
      <c r="E367" s="57"/>
      <c r="F367" s="43"/>
      <c r="G367" s="57"/>
    </row>
    <row r="368" spans="1:7" ht="82.5" customHeight="1">
      <c r="A368" s="74"/>
      <c r="B368" s="33"/>
      <c r="C368" s="56" t="s">
        <v>960</v>
      </c>
      <c r="D368" s="145"/>
      <c r="E368" s="57"/>
      <c r="F368" s="43"/>
      <c r="G368" s="57"/>
    </row>
    <row r="369" spans="1:7" ht="13.8">
      <c r="A369" s="74"/>
      <c r="B369" s="33"/>
      <c r="C369" s="56" t="s">
        <v>959</v>
      </c>
      <c r="D369" s="145"/>
      <c r="E369" s="57"/>
      <c r="F369" s="43"/>
      <c r="G369" s="57"/>
    </row>
    <row r="370" spans="1:7" ht="55.2">
      <c r="A370" s="74"/>
      <c r="B370" s="33"/>
      <c r="C370" s="56" t="s">
        <v>961</v>
      </c>
      <c r="D370" s="145"/>
      <c r="E370" s="57"/>
      <c r="F370" s="43"/>
      <c r="G370" s="57"/>
    </row>
    <row r="371" spans="1:7" s="160" customFormat="1" ht="13.8">
      <c r="A371" s="42"/>
      <c r="B371" s="33"/>
      <c r="C371" s="225" t="s">
        <v>991</v>
      </c>
      <c r="D371" s="142" t="s">
        <v>309</v>
      </c>
      <c r="E371" s="43">
        <v>33000</v>
      </c>
      <c r="F371" s="43">
        <v>0.05</v>
      </c>
      <c r="G371" s="86">
        <f>F371*E371</f>
        <v>1650</v>
      </c>
    </row>
    <row r="372" spans="1:7" ht="13.8">
      <c r="A372" s="15"/>
      <c r="B372" s="15"/>
      <c r="C372" s="38"/>
      <c r="D372" s="21"/>
      <c r="E372" s="26"/>
      <c r="F372" s="15"/>
      <c r="G372" s="15"/>
    </row>
    <row r="373" spans="1:7" s="178" customFormat="1" ht="13.8">
      <c r="A373" s="60"/>
      <c r="B373" s="177" t="s">
        <v>4</v>
      </c>
      <c r="C373" s="14" t="s">
        <v>867</v>
      </c>
      <c r="D373" s="179"/>
      <c r="E373" s="180"/>
      <c r="F373" s="14"/>
      <c r="G373" s="14"/>
    </row>
    <row r="374" spans="1:7" ht="55.2">
      <c r="A374" s="61"/>
      <c r="B374" s="18" t="s">
        <v>260</v>
      </c>
      <c r="C374" s="56" t="s">
        <v>990</v>
      </c>
      <c r="D374" s="145"/>
      <c r="E374" s="57"/>
      <c r="F374" s="43"/>
      <c r="G374" s="57"/>
    </row>
    <row r="375" spans="1:7" ht="82.5" customHeight="1">
      <c r="A375" s="74"/>
      <c r="B375" s="33"/>
      <c r="C375" s="56" t="s">
        <v>960</v>
      </c>
      <c r="D375" s="145"/>
      <c r="E375" s="57"/>
      <c r="F375" s="43"/>
      <c r="G375" s="57"/>
    </row>
    <row r="376" spans="1:7" ht="13.8">
      <c r="A376" s="74"/>
      <c r="B376" s="33"/>
      <c r="C376" s="56" t="s">
        <v>959</v>
      </c>
      <c r="D376" s="145"/>
      <c r="E376" s="57"/>
      <c r="F376" s="43"/>
      <c r="G376" s="57"/>
    </row>
    <row r="377" spans="1:7" ht="55.2">
      <c r="A377" s="74"/>
      <c r="B377" s="33"/>
      <c r="C377" s="56" t="s">
        <v>961</v>
      </c>
      <c r="D377" s="145"/>
      <c r="E377" s="57"/>
      <c r="F377" s="43"/>
      <c r="G377" s="57"/>
    </row>
    <row r="378" spans="1:7" s="160" customFormat="1" ht="13.8">
      <c r="A378" s="42"/>
      <c r="B378" s="33"/>
      <c r="C378" s="225" t="s">
        <v>991</v>
      </c>
      <c r="D378" s="142" t="s">
        <v>309</v>
      </c>
      <c r="E378" s="43">
        <v>297360</v>
      </c>
      <c r="F378" s="43">
        <v>0.05</v>
      </c>
      <c r="G378" s="86">
        <f t="shared" ref="G378" si="1">F378*E378</f>
        <v>14868</v>
      </c>
    </row>
    <row r="379" spans="1:7" ht="13.8">
      <c r="A379" s="15"/>
      <c r="B379" s="15"/>
      <c r="C379" s="30"/>
      <c r="D379" s="21"/>
      <c r="E379" s="31"/>
      <c r="F379" s="15"/>
      <c r="G379" s="15"/>
    </row>
    <row r="380" spans="1:7" ht="13.8">
      <c r="A380" s="82" t="s">
        <v>868</v>
      </c>
      <c r="B380" s="49" t="s">
        <v>958</v>
      </c>
      <c r="C380" s="54" t="s">
        <v>762</v>
      </c>
      <c r="D380" s="153"/>
      <c r="E380" s="54"/>
      <c r="F380" s="54"/>
      <c r="G380" s="84">
        <f>SUM(G371:G378)</f>
        <v>16518</v>
      </c>
    </row>
    <row r="381" spans="1:7" ht="13.8">
      <c r="A381" s="15"/>
      <c r="B381" s="15"/>
      <c r="C381" s="38"/>
      <c r="D381" s="21"/>
      <c r="E381" s="26"/>
      <c r="F381" s="15"/>
      <c r="G381" s="15"/>
    </row>
    <row r="382" spans="1:7" ht="13.8">
      <c r="A382" s="80"/>
      <c r="B382" s="81"/>
      <c r="C382" s="51"/>
      <c r="D382" s="154"/>
      <c r="E382" s="51"/>
      <c r="F382" s="51"/>
      <c r="G382" s="52"/>
    </row>
    <row r="383" spans="1:7" s="178" customFormat="1" ht="13.8">
      <c r="A383" s="59" t="s">
        <v>868</v>
      </c>
      <c r="B383" s="33" t="s">
        <v>962</v>
      </c>
      <c r="C383" s="939" t="s">
        <v>1061</v>
      </c>
      <c r="D383" s="939"/>
      <c r="E383" s="141"/>
      <c r="F383" s="141"/>
      <c r="G383" s="28"/>
    </row>
    <row r="384" spans="1:7" ht="13.8">
      <c r="A384" s="47"/>
      <c r="B384" s="47"/>
      <c r="C384" s="47"/>
      <c r="D384" s="143"/>
      <c r="E384" s="48"/>
      <c r="F384" s="47"/>
      <c r="G384" s="47"/>
    </row>
    <row r="385" spans="1:7" s="178" customFormat="1" ht="13.8">
      <c r="A385" s="60"/>
      <c r="B385" s="177" t="s">
        <v>0</v>
      </c>
      <c r="C385" s="14" t="s">
        <v>1022</v>
      </c>
      <c r="D385" s="179"/>
      <c r="E385" s="180"/>
      <c r="F385" s="14"/>
      <c r="G385" s="14"/>
    </row>
    <row r="386" spans="1:7" s="160" customFormat="1" ht="131.25" customHeight="1">
      <c r="A386" s="17"/>
      <c r="B386" s="18" t="s">
        <v>252</v>
      </c>
      <c r="C386" s="22" t="s">
        <v>1221</v>
      </c>
      <c r="D386" s="21"/>
      <c r="E386" s="29"/>
      <c r="F386" s="12"/>
      <c r="G386" s="28"/>
    </row>
    <row r="387" spans="1:7" s="160" customFormat="1" ht="13.8">
      <c r="A387" s="181"/>
      <c r="B387" s="33"/>
      <c r="C387" s="22" t="s">
        <v>282</v>
      </c>
      <c r="D387" s="21" t="s">
        <v>256</v>
      </c>
      <c r="E387" s="29">
        <v>30</v>
      </c>
      <c r="F387" s="12">
        <v>150</v>
      </c>
      <c r="G387" s="85">
        <f>E387*F387</f>
        <v>4500</v>
      </c>
    </row>
    <row r="388" spans="1:7" ht="13.8">
      <c r="A388" s="61"/>
      <c r="B388" s="18"/>
      <c r="C388" s="141"/>
      <c r="D388" s="156"/>
      <c r="E388" s="141"/>
      <c r="F388" s="141"/>
      <c r="G388" s="28"/>
    </row>
    <row r="389" spans="1:7" ht="123" customHeight="1">
      <c r="A389" s="61"/>
      <c r="B389" s="18" t="s">
        <v>254</v>
      </c>
      <c r="C389" s="22" t="s">
        <v>964</v>
      </c>
      <c r="D389" s="21" t="s">
        <v>268</v>
      </c>
      <c r="E389" s="29">
        <v>200</v>
      </c>
      <c r="F389" s="29">
        <v>1</v>
      </c>
      <c r="G389" s="85">
        <f>E389*F389</f>
        <v>200</v>
      </c>
    </row>
    <row r="390" spans="1:7" ht="13.8">
      <c r="A390" s="61"/>
      <c r="B390" s="18"/>
      <c r="C390" s="141"/>
      <c r="D390" s="156"/>
      <c r="E390" s="141"/>
      <c r="F390" s="141"/>
      <c r="G390" s="28"/>
    </row>
    <row r="391" spans="1:7" ht="169.5" customHeight="1">
      <c r="A391" s="70"/>
      <c r="B391" s="18" t="s">
        <v>257</v>
      </c>
      <c r="C391" s="64" t="s">
        <v>855</v>
      </c>
      <c r="D391" s="145"/>
      <c r="E391" s="57"/>
      <c r="F391" s="43"/>
      <c r="G391" s="57"/>
    </row>
    <row r="392" spans="1:7" ht="55.2">
      <c r="A392" s="63"/>
      <c r="B392" s="62"/>
      <c r="C392" s="64" t="s">
        <v>454</v>
      </c>
      <c r="D392" s="145"/>
      <c r="E392" s="57"/>
      <c r="F392" s="43"/>
      <c r="G392" s="57"/>
    </row>
    <row r="393" spans="1:7" ht="13.8">
      <c r="A393" s="63"/>
      <c r="B393" s="62"/>
      <c r="C393" s="64" t="s">
        <v>455</v>
      </c>
      <c r="D393" s="145" t="s">
        <v>273</v>
      </c>
      <c r="E393" s="57">
        <v>8</v>
      </c>
      <c r="F393" s="43">
        <v>1875</v>
      </c>
      <c r="G393" s="87">
        <f>E393*F393</f>
        <v>15000</v>
      </c>
    </row>
    <row r="394" spans="1:7" ht="13.8">
      <c r="A394" s="61"/>
      <c r="B394" s="18"/>
      <c r="C394" s="141"/>
      <c r="D394" s="156"/>
      <c r="E394" s="141"/>
      <c r="F394" s="141"/>
      <c r="G394" s="28"/>
    </row>
    <row r="395" spans="1:7" ht="309.75" customHeight="1">
      <c r="A395" s="61"/>
      <c r="B395" s="18" t="s">
        <v>304</v>
      </c>
      <c r="C395" s="36" t="s">
        <v>1259</v>
      </c>
      <c r="D395" s="21" t="s">
        <v>268</v>
      </c>
      <c r="E395" s="29">
        <v>30</v>
      </c>
      <c r="F395" s="29">
        <v>1</v>
      </c>
      <c r="G395" s="85">
        <f>E395*F395</f>
        <v>30</v>
      </c>
    </row>
    <row r="396" spans="1:7" ht="13.8">
      <c r="A396" s="59"/>
      <c r="B396" s="33"/>
      <c r="C396" s="141"/>
      <c r="D396" s="141"/>
      <c r="E396" s="141"/>
      <c r="F396" s="141"/>
      <c r="G396" s="28"/>
    </row>
    <row r="397" spans="1:7" ht="314.25" customHeight="1">
      <c r="A397" s="61"/>
      <c r="B397" s="18" t="s">
        <v>319</v>
      </c>
      <c r="C397" s="36" t="s">
        <v>1260</v>
      </c>
      <c r="D397" s="21" t="s">
        <v>268</v>
      </c>
      <c r="E397" s="29">
        <v>10</v>
      </c>
      <c r="F397" s="29">
        <v>400</v>
      </c>
      <c r="G397" s="85">
        <f>E397*F397</f>
        <v>4000</v>
      </c>
    </row>
    <row r="398" spans="1:7" ht="13.8">
      <c r="A398" s="59"/>
      <c r="B398" s="33"/>
      <c r="C398" s="141"/>
      <c r="D398" s="141"/>
      <c r="E398" s="141"/>
      <c r="F398" s="141"/>
      <c r="G398" s="28"/>
    </row>
    <row r="399" spans="1:7" ht="387" customHeight="1">
      <c r="A399" s="61"/>
      <c r="B399" s="18" t="s">
        <v>307</v>
      </c>
      <c r="C399" s="36" t="s">
        <v>1261</v>
      </c>
      <c r="D399" s="21" t="s">
        <v>268</v>
      </c>
      <c r="E399" s="29">
        <v>55</v>
      </c>
      <c r="F399" s="29">
        <v>150</v>
      </c>
      <c r="G399" s="85">
        <f>E399*F399</f>
        <v>8250</v>
      </c>
    </row>
    <row r="400" spans="1:7" ht="13.8">
      <c r="A400" s="59"/>
      <c r="B400" s="33"/>
      <c r="C400" s="141"/>
      <c r="D400" s="156"/>
      <c r="E400" s="141"/>
      <c r="F400" s="141"/>
      <c r="G400" s="28"/>
    </row>
    <row r="401" spans="1:7" ht="210" customHeight="1">
      <c r="A401" s="61"/>
      <c r="B401" s="18" t="s">
        <v>308</v>
      </c>
      <c r="C401" s="22" t="s">
        <v>963</v>
      </c>
      <c r="D401" s="156"/>
      <c r="E401" s="141"/>
      <c r="F401" s="141"/>
      <c r="G401" s="28"/>
    </row>
    <row r="402" spans="1:7" ht="179.4">
      <c r="A402" s="59"/>
      <c r="B402" s="33"/>
      <c r="C402" s="22" t="s">
        <v>283</v>
      </c>
      <c r="D402" s="156"/>
      <c r="E402" s="141"/>
      <c r="F402" s="141"/>
      <c r="G402" s="28"/>
    </row>
    <row r="403" spans="1:7" ht="171.75" customHeight="1">
      <c r="A403" s="59"/>
      <c r="B403" s="33"/>
      <c r="C403" s="22" t="s">
        <v>284</v>
      </c>
      <c r="D403" s="156"/>
      <c r="E403" s="141"/>
      <c r="F403" s="141"/>
      <c r="G403" s="28"/>
    </row>
    <row r="404" spans="1:7" s="160" customFormat="1" ht="13.8">
      <c r="A404" s="181"/>
      <c r="B404" s="33"/>
      <c r="C404" s="24"/>
      <c r="D404" s="21" t="s">
        <v>256</v>
      </c>
      <c r="E404" s="29">
        <v>200</v>
      </c>
      <c r="F404" s="12">
        <v>100</v>
      </c>
      <c r="G404" s="85">
        <f>E404*F404</f>
        <v>20000</v>
      </c>
    </row>
    <row r="405" spans="1:7" ht="13.8">
      <c r="A405" s="59"/>
      <c r="B405" s="33"/>
      <c r="C405" s="24"/>
      <c r="D405" s="21"/>
      <c r="E405" s="29"/>
      <c r="F405" s="12"/>
      <c r="G405" s="23"/>
    </row>
    <row r="406" spans="1:7" ht="132.75" customHeight="1">
      <c r="A406" s="61"/>
      <c r="B406" s="18" t="s">
        <v>320</v>
      </c>
      <c r="C406" s="34" t="s">
        <v>849</v>
      </c>
      <c r="D406" s="21"/>
      <c r="E406" s="29"/>
      <c r="F406" s="12"/>
      <c r="G406" s="23"/>
    </row>
    <row r="407" spans="1:7" ht="123" customHeight="1">
      <c r="A407" s="59"/>
      <c r="B407" s="33"/>
      <c r="C407" s="34" t="s">
        <v>302</v>
      </c>
      <c r="D407" s="21"/>
      <c r="E407" s="29"/>
      <c r="F407" s="12"/>
      <c r="G407" s="23"/>
    </row>
    <row r="408" spans="1:7" ht="124.95" customHeight="1">
      <c r="A408" s="59"/>
      <c r="B408" s="33"/>
      <c r="C408" s="24" t="s">
        <v>365</v>
      </c>
      <c r="D408" s="21"/>
      <c r="E408" s="29"/>
      <c r="F408" s="12"/>
      <c r="G408" s="23"/>
    </row>
    <row r="409" spans="1:7" ht="65.25" customHeight="1">
      <c r="A409" s="59"/>
      <c r="B409" s="33"/>
      <c r="C409" s="34" t="s">
        <v>303</v>
      </c>
      <c r="D409" s="21"/>
      <c r="E409" s="29"/>
      <c r="F409" s="12"/>
      <c r="G409" s="23"/>
    </row>
    <row r="410" spans="1:7" s="160" customFormat="1" ht="41.4">
      <c r="A410" s="181"/>
      <c r="B410" s="33"/>
      <c r="C410" s="218" t="s">
        <v>850</v>
      </c>
      <c r="D410" s="21" t="s">
        <v>268</v>
      </c>
      <c r="E410" s="12">
        <v>6</v>
      </c>
      <c r="F410" s="12">
        <v>200</v>
      </c>
      <c r="G410" s="85">
        <f>E410*F410</f>
        <v>1200</v>
      </c>
    </row>
    <row r="411" spans="1:7" ht="13.8">
      <c r="A411" s="59"/>
      <c r="B411" s="33"/>
      <c r="C411" s="141"/>
      <c r="D411" s="156"/>
      <c r="E411" s="141"/>
      <c r="F411" s="141"/>
      <c r="G411" s="28"/>
    </row>
    <row r="412" spans="1:7" ht="110.4">
      <c r="A412" s="61"/>
      <c r="B412" s="18" t="s">
        <v>321</v>
      </c>
      <c r="C412" s="24" t="s">
        <v>853</v>
      </c>
      <c r="D412" s="21" t="s">
        <v>256</v>
      </c>
      <c r="E412" s="29">
        <v>30</v>
      </c>
      <c r="F412" s="12">
        <v>120</v>
      </c>
      <c r="G412" s="85">
        <f>E412*F412</f>
        <v>3600</v>
      </c>
    </row>
    <row r="413" spans="1:7" ht="13.8">
      <c r="A413" s="47"/>
      <c r="B413" s="47"/>
      <c r="C413" s="47"/>
      <c r="D413" s="143"/>
      <c r="E413" s="48"/>
      <c r="F413" s="47"/>
      <c r="G413" s="47"/>
    </row>
    <row r="414" spans="1:7" s="160" customFormat="1" ht="69">
      <c r="A414" s="216"/>
      <c r="B414" s="18" t="s">
        <v>322</v>
      </c>
      <c r="C414" s="36" t="s">
        <v>1023</v>
      </c>
      <c r="D414" s="142"/>
      <c r="E414" s="43"/>
      <c r="F414" s="43"/>
      <c r="G414" s="43"/>
    </row>
    <row r="415" spans="1:7" s="160" customFormat="1" ht="69">
      <c r="A415" s="15"/>
      <c r="B415" s="27"/>
      <c r="C415" s="36" t="s">
        <v>288</v>
      </c>
      <c r="D415" s="142"/>
      <c r="E415" s="43"/>
      <c r="F415" s="43"/>
      <c r="G415" s="43"/>
    </row>
    <row r="416" spans="1:7" s="160" customFormat="1" ht="13.8">
      <c r="A416" s="15"/>
      <c r="B416" s="27"/>
      <c r="C416" s="36" t="s">
        <v>289</v>
      </c>
      <c r="D416" s="142" t="s">
        <v>256</v>
      </c>
      <c r="E416" s="43">
        <v>60</v>
      </c>
      <c r="F416" s="43">
        <v>20</v>
      </c>
      <c r="G416" s="86">
        <f>E416*F416</f>
        <v>1200</v>
      </c>
    </row>
    <row r="417" spans="1:7" ht="13.8">
      <c r="A417" s="80"/>
      <c r="B417" s="81"/>
      <c r="C417" s="51"/>
      <c r="D417" s="154"/>
      <c r="E417" s="51"/>
      <c r="F417" s="51"/>
      <c r="G417" s="52"/>
    </row>
    <row r="418" spans="1:7" ht="160.5" customHeight="1">
      <c r="A418" s="47"/>
      <c r="B418" s="18" t="s">
        <v>324</v>
      </c>
      <c r="C418" s="208" t="s">
        <v>1014</v>
      </c>
      <c r="D418" s="143"/>
      <c r="E418" s="48"/>
      <c r="F418" s="47"/>
      <c r="G418" s="47"/>
    </row>
    <row r="419" spans="1:7" s="160" customFormat="1" ht="27.6">
      <c r="A419" s="226"/>
      <c r="B419" s="220"/>
      <c r="C419" s="221" t="s">
        <v>1013</v>
      </c>
      <c r="D419" s="142" t="s">
        <v>256</v>
      </c>
      <c r="E419" s="43">
        <v>150</v>
      </c>
      <c r="F419" s="43">
        <v>25</v>
      </c>
      <c r="G419" s="86">
        <f>E419*F419</f>
        <v>3750</v>
      </c>
    </row>
    <row r="420" spans="1:7" ht="13.8">
      <c r="A420" s="47"/>
      <c r="B420" s="47"/>
      <c r="C420" s="47"/>
      <c r="D420" s="143"/>
      <c r="E420" s="48"/>
      <c r="F420" s="47"/>
      <c r="G420" s="47"/>
    </row>
    <row r="421" spans="1:7" s="178" customFormat="1" ht="13.8">
      <c r="A421" s="300"/>
      <c r="B421" s="301" t="s">
        <v>4</v>
      </c>
      <c r="C421" s="14" t="s">
        <v>867</v>
      </c>
      <c r="D421" s="179"/>
      <c r="E421" s="180"/>
      <c r="F421" s="14"/>
      <c r="G421" s="14"/>
    </row>
    <row r="422" spans="1:7" ht="161.25" customHeight="1">
      <c r="A422" s="47"/>
      <c r="B422" s="18" t="s">
        <v>260</v>
      </c>
      <c r="C422" s="208" t="s">
        <v>1014</v>
      </c>
      <c r="D422" s="143"/>
      <c r="E422" s="48"/>
      <c r="F422" s="47"/>
      <c r="G422" s="47"/>
    </row>
    <row r="423" spans="1:7" s="160" customFormat="1" ht="27.6">
      <c r="A423" s="226"/>
      <c r="B423" s="220"/>
      <c r="C423" s="227" t="s">
        <v>1013</v>
      </c>
      <c r="D423" s="142" t="s">
        <v>256</v>
      </c>
      <c r="E423" s="43">
        <v>160</v>
      </c>
      <c r="F423" s="43">
        <v>25</v>
      </c>
      <c r="G423" s="86">
        <f>E423*F423</f>
        <v>4000</v>
      </c>
    </row>
    <row r="424" spans="1:7" ht="13.8">
      <c r="A424" s="47"/>
      <c r="B424" s="47"/>
      <c r="C424" s="47"/>
      <c r="D424" s="143"/>
      <c r="E424" s="48"/>
      <c r="F424" s="47"/>
      <c r="G424" s="47"/>
    </row>
    <row r="425" spans="1:7" s="232" customFormat="1" ht="373.5" customHeight="1">
      <c r="A425" s="228"/>
      <c r="B425" s="229" t="s">
        <v>261</v>
      </c>
      <c r="C425" s="36" t="s">
        <v>1063</v>
      </c>
      <c r="D425" s="230"/>
      <c r="E425" s="231"/>
      <c r="F425" s="36"/>
      <c r="G425" s="36"/>
    </row>
    <row r="426" spans="1:7" ht="41.4">
      <c r="A426" s="47"/>
      <c r="B426" s="47"/>
      <c r="C426" s="208" t="s">
        <v>1222</v>
      </c>
      <c r="D426" s="143"/>
      <c r="E426" s="48"/>
      <c r="F426" s="47"/>
      <c r="G426" s="47"/>
    </row>
    <row r="427" spans="1:7" s="160" customFormat="1" ht="13.8">
      <c r="A427" s="226"/>
      <c r="B427" s="220"/>
      <c r="C427" s="919" t="s">
        <v>2795</v>
      </c>
      <c r="D427" s="824" t="s">
        <v>256</v>
      </c>
      <c r="E427" s="825">
        <v>1600</v>
      </c>
      <c r="F427" s="41">
        <v>140</v>
      </c>
      <c r="G427" s="86">
        <f>E427*F427</f>
        <v>224000</v>
      </c>
    </row>
    <row r="428" spans="1:7" s="160" customFormat="1" ht="13.8">
      <c r="A428" s="219"/>
      <c r="B428" s="220"/>
      <c r="C428" s="919" t="s">
        <v>2793</v>
      </c>
      <c r="D428" s="824" t="s">
        <v>268</v>
      </c>
      <c r="E428" s="825">
        <v>160</v>
      </c>
      <c r="F428" s="41">
        <v>70</v>
      </c>
      <c r="G428" s="86">
        <f>E428*F428</f>
        <v>11200</v>
      </c>
    </row>
    <row r="429" spans="1:7" s="160" customFormat="1" ht="13.8">
      <c r="A429" s="219"/>
      <c r="B429" s="220"/>
      <c r="C429" s="919" t="s">
        <v>2794</v>
      </c>
      <c r="D429" s="824" t="s">
        <v>268</v>
      </c>
      <c r="E429" s="825">
        <v>40</v>
      </c>
      <c r="F429" s="41">
        <v>70</v>
      </c>
      <c r="G429" s="86">
        <f>E429*F429</f>
        <v>2800</v>
      </c>
    </row>
    <row r="430" spans="1:7" ht="13.8">
      <c r="A430" s="80"/>
      <c r="B430" s="81"/>
      <c r="C430" s="51"/>
      <c r="D430" s="154"/>
      <c r="E430" s="51"/>
      <c r="F430" s="51"/>
      <c r="G430" s="52"/>
    </row>
    <row r="431" spans="1:7" ht="13.8">
      <c r="A431" s="82" t="s">
        <v>868</v>
      </c>
      <c r="B431" s="49" t="s">
        <v>962</v>
      </c>
      <c r="C431" s="54" t="s">
        <v>1062</v>
      </c>
      <c r="D431" s="153"/>
      <c r="E431" s="54"/>
      <c r="F431" s="54"/>
      <c r="G431" s="84">
        <f>SUM(G387:G429)</f>
        <v>303730</v>
      </c>
    </row>
    <row r="432" spans="1:7" ht="13.8">
      <c r="A432" s="47"/>
      <c r="B432" s="47"/>
      <c r="C432" s="47"/>
      <c r="D432" s="143"/>
      <c r="E432" s="48"/>
      <c r="F432" s="47"/>
      <c r="G432" s="47"/>
    </row>
    <row r="433" spans="1:7" ht="13.8">
      <c r="A433" s="80"/>
      <c r="B433" s="81"/>
      <c r="C433" s="51"/>
      <c r="D433" s="154"/>
      <c r="E433" s="51"/>
      <c r="F433" s="51"/>
      <c r="G433" s="52"/>
    </row>
    <row r="434" spans="1:7" s="178" customFormat="1" ht="13.8">
      <c r="A434" s="59" t="s">
        <v>868</v>
      </c>
      <c r="B434" s="33" t="s">
        <v>965</v>
      </c>
      <c r="C434" s="939" t="s">
        <v>327</v>
      </c>
      <c r="D434" s="939"/>
      <c r="E434" s="141"/>
      <c r="F434" s="141"/>
      <c r="G434" s="28"/>
    </row>
    <row r="435" spans="1:7" ht="13.8">
      <c r="A435" s="80"/>
      <c r="B435" s="81"/>
      <c r="C435" s="51"/>
      <c r="D435" s="154"/>
      <c r="E435" s="51"/>
      <c r="F435" s="51"/>
      <c r="G435" s="52"/>
    </row>
    <row r="436" spans="1:7" s="178" customFormat="1" ht="13.8">
      <c r="A436" s="60"/>
      <c r="B436" s="177" t="s">
        <v>0</v>
      </c>
      <c r="C436" s="14" t="s">
        <v>1022</v>
      </c>
      <c r="D436" s="179"/>
      <c r="E436" s="180"/>
      <c r="F436" s="14"/>
      <c r="G436" s="14"/>
    </row>
    <row r="437" spans="1:7" s="160" customFormat="1" ht="69">
      <c r="A437" s="17"/>
      <c r="B437" s="215" t="s">
        <v>252</v>
      </c>
      <c r="C437" s="36" t="s">
        <v>975</v>
      </c>
      <c r="D437" s="142"/>
      <c r="E437" s="16"/>
      <c r="F437" s="15"/>
      <c r="G437" s="15"/>
    </row>
    <row r="438" spans="1:7" s="160" customFormat="1" ht="193.2">
      <c r="A438" s="15"/>
      <c r="B438" s="15"/>
      <c r="C438" s="36" t="s">
        <v>976</v>
      </c>
      <c r="D438" s="142"/>
      <c r="E438" s="16"/>
      <c r="F438" s="15"/>
      <c r="G438" s="15"/>
    </row>
    <row r="439" spans="1:7" s="160" customFormat="1" ht="94.5" customHeight="1">
      <c r="A439" s="15"/>
      <c r="B439" s="15"/>
      <c r="C439" s="36" t="s">
        <v>460</v>
      </c>
      <c r="D439" s="142"/>
      <c r="E439" s="16"/>
      <c r="F439" s="15"/>
      <c r="G439" s="15"/>
    </row>
    <row r="440" spans="1:7" s="160" customFormat="1" ht="27.6">
      <c r="A440" s="15"/>
      <c r="B440" s="15"/>
      <c r="C440" s="36" t="s">
        <v>822</v>
      </c>
      <c r="D440" s="142"/>
      <c r="E440" s="16"/>
      <c r="F440" s="15"/>
      <c r="G440" s="15"/>
    </row>
    <row r="441" spans="1:7" s="160" customFormat="1" ht="110.4">
      <c r="A441" s="15"/>
      <c r="B441" s="15"/>
      <c r="C441" s="36" t="s">
        <v>978</v>
      </c>
      <c r="D441" s="142"/>
      <c r="E441" s="16"/>
      <c r="F441" s="15"/>
      <c r="G441" s="15"/>
    </row>
    <row r="442" spans="1:7" s="160" customFormat="1" ht="57.75" customHeight="1">
      <c r="A442" s="15"/>
      <c r="B442" s="15"/>
      <c r="C442" s="36" t="s">
        <v>845</v>
      </c>
      <c r="D442" s="142"/>
      <c r="E442" s="16"/>
      <c r="F442" s="15"/>
      <c r="G442" s="15"/>
    </row>
    <row r="443" spans="1:7" s="160" customFormat="1" ht="29.25" customHeight="1">
      <c r="A443" s="15"/>
      <c r="B443" s="15"/>
      <c r="C443" s="36" t="s">
        <v>977</v>
      </c>
      <c r="D443" s="142" t="s">
        <v>268</v>
      </c>
      <c r="E443" s="43">
        <v>70</v>
      </c>
      <c r="F443" s="43">
        <v>100</v>
      </c>
      <c r="G443" s="86">
        <f>F443*E443</f>
        <v>7000</v>
      </c>
    </row>
    <row r="444" spans="1:7" s="172" customFormat="1" ht="13.8">
      <c r="A444" s="171"/>
      <c r="B444" s="171"/>
      <c r="C444" s="171"/>
      <c r="D444" s="169"/>
      <c r="E444" s="170"/>
      <c r="F444" s="171"/>
      <c r="G444" s="171"/>
    </row>
    <row r="445" spans="1:7" s="160" customFormat="1" ht="246.75" customHeight="1">
      <c r="A445" s="17"/>
      <c r="B445" s="215" t="s">
        <v>254</v>
      </c>
      <c r="C445" s="36" t="s">
        <v>995</v>
      </c>
      <c r="D445" s="142" t="s">
        <v>256</v>
      </c>
      <c r="E445" s="43">
        <v>240</v>
      </c>
      <c r="F445" s="43">
        <v>1</v>
      </c>
      <c r="G445" s="86">
        <f>F445*E445</f>
        <v>240</v>
      </c>
    </row>
    <row r="446" spans="1:7" s="172" customFormat="1" ht="13.8">
      <c r="A446" s="171"/>
      <c r="B446" s="171"/>
      <c r="C446" s="171"/>
      <c r="D446" s="169"/>
      <c r="E446" s="170"/>
      <c r="F446" s="171"/>
      <c r="G446" s="171"/>
    </row>
    <row r="447" spans="1:7" s="172" customFormat="1" ht="131.25" customHeight="1">
      <c r="A447" s="171"/>
      <c r="B447" s="18" t="s">
        <v>257</v>
      </c>
      <c r="C447" s="36" t="s">
        <v>1051</v>
      </c>
      <c r="D447" s="169"/>
      <c r="E447" s="170"/>
      <c r="F447" s="171"/>
      <c r="G447" s="171"/>
    </row>
    <row r="448" spans="1:7" s="160" customFormat="1" ht="41.4">
      <c r="A448" s="15"/>
      <c r="B448" s="27"/>
      <c r="C448" s="36" t="s">
        <v>1015</v>
      </c>
      <c r="D448" s="142" t="s">
        <v>256</v>
      </c>
      <c r="E448" s="44">
        <v>150</v>
      </c>
      <c r="F448" s="43">
        <v>80</v>
      </c>
      <c r="G448" s="86">
        <f>E448*F448</f>
        <v>12000</v>
      </c>
    </row>
    <row r="449" spans="1:7" s="172" customFormat="1" ht="13.8">
      <c r="A449" s="171"/>
      <c r="B449" s="171"/>
      <c r="C449" s="171"/>
      <c r="D449" s="169"/>
      <c r="E449" s="170"/>
      <c r="F449" s="171"/>
      <c r="G449" s="171"/>
    </row>
    <row r="450" spans="1:7" ht="106.5" customHeight="1">
      <c r="A450" s="15"/>
      <c r="B450" s="18" t="s">
        <v>304</v>
      </c>
      <c r="C450" s="22" t="s">
        <v>1017</v>
      </c>
      <c r="D450" s="21"/>
      <c r="E450" s="31"/>
      <c r="F450" s="15"/>
      <c r="G450" s="15"/>
    </row>
    <row r="451" spans="1:7" ht="31.2" customHeight="1">
      <c r="A451" s="15"/>
      <c r="B451" s="62"/>
      <c r="C451" s="56" t="s">
        <v>1018</v>
      </c>
      <c r="D451" s="145"/>
      <c r="E451" s="44"/>
      <c r="F451" s="43"/>
      <c r="G451" s="57"/>
    </row>
    <row r="452" spans="1:7" ht="41.4">
      <c r="A452" s="15"/>
      <c r="B452" s="62"/>
      <c r="C452" s="56" t="s">
        <v>1015</v>
      </c>
      <c r="D452" s="145"/>
      <c r="E452" s="44"/>
      <c r="F452" s="43"/>
      <c r="G452" s="57"/>
    </row>
    <row r="453" spans="1:7" s="160" customFormat="1" ht="13.8">
      <c r="A453" s="42"/>
      <c r="B453" s="33"/>
      <c r="C453" s="76" t="s">
        <v>1025</v>
      </c>
      <c r="D453" s="77" t="s">
        <v>256</v>
      </c>
      <c r="E453" s="12">
        <v>22</v>
      </c>
      <c r="F453" s="12">
        <v>30</v>
      </c>
      <c r="G453" s="85">
        <f>F453*E453</f>
        <v>660</v>
      </c>
    </row>
    <row r="454" spans="1:7" s="172" customFormat="1" ht="13.8">
      <c r="A454" s="171"/>
      <c r="B454" s="171"/>
      <c r="C454" s="171"/>
      <c r="D454" s="169"/>
      <c r="E454" s="170"/>
      <c r="F454" s="171"/>
      <c r="G454" s="171"/>
    </row>
    <row r="455" spans="1:7" s="160" customFormat="1" ht="27.6">
      <c r="A455" s="17"/>
      <c r="B455" s="215" t="s">
        <v>319</v>
      </c>
      <c r="C455" s="36" t="s">
        <v>458</v>
      </c>
      <c r="D455" s="142"/>
      <c r="E455" s="16"/>
      <c r="F455" s="15"/>
      <c r="G455" s="15"/>
    </row>
    <row r="456" spans="1:7" s="160" customFormat="1" ht="82.8">
      <c r="A456" s="15"/>
      <c r="B456" s="15"/>
      <c r="C456" s="36" t="s">
        <v>993</v>
      </c>
      <c r="D456" s="142"/>
      <c r="E456" s="16"/>
      <c r="F456" s="15"/>
      <c r="G456" s="15"/>
    </row>
    <row r="457" spans="1:7" s="160" customFormat="1" ht="179.4">
      <c r="A457" s="15"/>
      <c r="B457" s="15"/>
      <c r="C457" s="36" t="s">
        <v>994</v>
      </c>
      <c r="D457" s="142"/>
      <c r="E457" s="16"/>
      <c r="F457" s="15"/>
      <c r="G457" s="15"/>
    </row>
    <row r="458" spans="1:7" s="160" customFormat="1" ht="81" customHeight="1">
      <c r="A458" s="15"/>
      <c r="B458" s="15"/>
      <c r="C458" s="36" t="s">
        <v>1247</v>
      </c>
      <c r="D458" s="142"/>
      <c r="E458" s="16"/>
      <c r="F458" s="15"/>
      <c r="G458" s="15"/>
    </row>
    <row r="459" spans="1:7" s="160" customFormat="1" ht="27.6">
      <c r="A459" s="15"/>
      <c r="B459" s="15"/>
      <c r="C459" s="36" t="s">
        <v>459</v>
      </c>
      <c r="D459" s="142"/>
      <c r="E459" s="16"/>
      <c r="F459" s="15"/>
      <c r="G459" s="15"/>
    </row>
    <row r="460" spans="1:7" s="160" customFormat="1" ht="13.8">
      <c r="A460" s="15"/>
      <c r="B460" s="15"/>
      <c r="C460" s="36" t="s">
        <v>1026</v>
      </c>
      <c r="D460" s="142" t="s">
        <v>256</v>
      </c>
      <c r="E460" s="43">
        <v>80</v>
      </c>
      <c r="F460" s="43">
        <v>10</v>
      </c>
      <c r="G460" s="86">
        <f>F460*E460</f>
        <v>800</v>
      </c>
    </row>
    <row r="461" spans="1:7" ht="13.8">
      <c r="A461" s="15"/>
      <c r="B461" s="62"/>
      <c r="C461" s="56"/>
      <c r="D461" s="145"/>
      <c r="E461" s="44"/>
      <c r="F461" s="43"/>
      <c r="G461" s="57"/>
    </row>
    <row r="462" spans="1:7" s="160" customFormat="1" ht="82.8">
      <c r="A462" s="15"/>
      <c r="B462" s="215" t="s">
        <v>307</v>
      </c>
      <c r="C462" s="36" t="s">
        <v>1248</v>
      </c>
      <c r="D462" s="142"/>
      <c r="E462" s="16"/>
      <c r="F462" s="15"/>
      <c r="G462" s="15"/>
    </row>
    <row r="463" spans="1:7" ht="82.8">
      <c r="A463" s="15"/>
      <c r="B463" s="62"/>
      <c r="C463" s="56" t="s">
        <v>979</v>
      </c>
      <c r="D463" s="145"/>
      <c r="E463" s="57"/>
      <c r="F463" s="43"/>
      <c r="G463" s="57"/>
    </row>
    <row r="464" spans="1:7" ht="76.2" customHeight="1">
      <c r="A464" s="15"/>
      <c r="B464" s="62"/>
      <c r="C464" s="56" t="s">
        <v>298</v>
      </c>
      <c r="D464" s="145"/>
      <c r="E464" s="57"/>
      <c r="F464" s="43"/>
      <c r="G464" s="57"/>
    </row>
    <row r="465" spans="1:7" ht="41.4">
      <c r="A465" s="15"/>
      <c r="B465" s="62"/>
      <c r="C465" s="56" t="s">
        <v>1015</v>
      </c>
      <c r="D465" s="145"/>
      <c r="E465" s="44"/>
      <c r="F465" s="43"/>
      <c r="G465" s="57"/>
    </row>
    <row r="466" spans="1:7" ht="13.8">
      <c r="A466" s="15"/>
      <c r="B466" s="62"/>
      <c r="C466" s="56" t="s">
        <v>299</v>
      </c>
      <c r="D466" s="145" t="s">
        <v>256</v>
      </c>
      <c r="E466" s="44">
        <v>150</v>
      </c>
      <c r="F466" s="43">
        <v>20</v>
      </c>
      <c r="G466" s="87">
        <f>F466*E466</f>
        <v>3000</v>
      </c>
    </row>
    <row r="467" spans="1:7" ht="13.8">
      <c r="A467" s="15"/>
      <c r="B467" s="62"/>
      <c r="C467" s="56"/>
      <c r="D467" s="145"/>
      <c r="E467" s="44"/>
      <c r="F467" s="43"/>
      <c r="G467" s="57"/>
    </row>
    <row r="468" spans="1:7" s="160" customFormat="1" ht="131.25" customHeight="1">
      <c r="A468" s="216"/>
      <c r="B468" s="18" t="s">
        <v>308</v>
      </c>
      <c r="C468" s="36" t="s">
        <v>1224</v>
      </c>
      <c r="D468" s="142"/>
      <c r="E468" s="43"/>
      <c r="F468" s="43"/>
      <c r="G468" s="43"/>
    </row>
    <row r="469" spans="1:7" s="160" customFormat="1" ht="96.6">
      <c r="A469" s="15"/>
      <c r="B469" s="27"/>
      <c r="C469" s="36" t="s">
        <v>1225</v>
      </c>
      <c r="D469" s="142"/>
      <c r="E469" s="43"/>
      <c r="F469" s="43"/>
      <c r="G469" s="43"/>
    </row>
    <row r="470" spans="1:7" s="160" customFormat="1" ht="195.75" customHeight="1">
      <c r="A470" s="15"/>
      <c r="B470" s="27"/>
      <c r="C470" s="36" t="s">
        <v>980</v>
      </c>
      <c r="D470" s="142"/>
      <c r="E470" s="43"/>
      <c r="F470" s="43"/>
      <c r="G470" s="43"/>
    </row>
    <row r="471" spans="1:7" s="160" customFormat="1" ht="115.95" customHeight="1">
      <c r="A471" s="15"/>
      <c r="B471" s="27"/>
      <c r="C471" s="36" t="s">
        <v>1226</v>
      </c>
      <c r="D471" s="142"/>
      <c r="E471" s="43"/>
      <c r="F471" s="43"/>
      <c r="G471" s="43"/>
    </row>
    <row r="472" spans="1:7" s="160" customFormat="1" ht="69">
      <c r="A472" s="15"/>
      <c r="B472" s="27"/>
      <c r="C472" s="36" t="s">
        <v>1223</v>
      </c>
      <c r="D472" s="142"/>
      <c r="E472" s="43"/>
      <c r="F472" s="43"/>
      <c r="G472" s="43"/>
    </row>
    <row r="473" spans="1:7" s="160" customFormat="1" ht="55.2">
      <c r="A473" s="15"/>
      <c r="B473" s="27"/>
      <c r="C473" s="36" t="s">
        <v>842</v>
      </c>
      <c r="D473" s="142"/>
      <c r="E473" s="43"/>
      <c r="F473" s="43"/>
      <c r="G473" s="43"/>
    </row>
    <row r="474" spans="1:7" s="160" customFormat="1" ht="41.4">
      <c r="A474" s="15"/>
      <c r="B474" s="27"/>
      <c r="C474" s="36" t="s">
        <v>404</v>
      </c>
      <c r="D474" s="142"/>
      <c r="E474" s="43"/>
      <c r="F474" s="43"/>
      <c r="G474" s="43"/>
    </row>
    <row r="475" spans="1:7" s="160" customFormat="1" ht="27.6">
      <c r="A475" s="15"/>
      <c r="B475" s="27"/>
      <c r="C475" s="36" t="s">
        <v>1258</v>
      </c>
      <c r="D475" s="302" t="s">
        <v>256</v>
      </c>
      <c r="E475" s="44">
        <v>150</v>
      </c>
      <c r="F475" s="43">
        <v>80</v>
      </c>
      <c r="G475" s="86">
        <f>E475*F475</f>
        <v>12000</v>
      </c>
    </row>
    <row r="476" spans="1:7" ht="13.8">
      <c r="A476" s="15"/>
      <c r="B476" s="15"/>
      <c r="C476" s="30"/>
      <c r="D476" s="21"/>
      <c r="E476" s="31"/>
      <c r="F476" s="15"/>
      <c r="G476" s="15"/>
    </row>
    <row r="477" spans="1:7" s="178" customFormat="1" ht="13.8">
      <c r="A477" s="60"/>
      <c r="B477" s="177" t="s">
        <v>4</v>
      </c>
      <c r="C477" s="14" t="s">
        <v>867</v>
      </c>
      <c r="D477" s="179"/>
      <c r="E477" s="180"/>
      <c r="F477" s="14"/>
      <c r="G477" s="14"/>
    </row>
    <row r="478" spans="1:7" s="160" customFormat="1" ht="146.25" customHeight="1">
      <c r="A478" s="17"/>
      <c r="B478" s="215" t="s">
        <v>260</v>
      </c>
      <c r="C478" s="36" t="s">
        <v>1052</v>
      </c>
      <c r="D478" s="142"/>
      <c r="E478" s="65"/>
      <c r="F478" s="43"/>
      <c r="G478" s="43"/>
    </row>
    <row r="479" spans="1:7" ht="41.4">
      <c r="A479" s="15"/>
      <c r="B479" s="62"/>
      <c r="C479" s="56" t="s">
        <v>1015</v>
      </c>
      <c r="D479" s="145"/>
      <c r="E479" s="44"/>
      <c r="F479" s="43"/>
      <c r="G479" s="57"/>
    </row>
    <row r="480" spans="1:7" s="160" customFormat="1" ht="13.8">
      <c r="A480" s="42"/>
      <c r="B480" s="33"/>
      <c r="C480" s="76" t="s">
        <v>1026</v>
      </c>
      <c r="D480" s="77" t="s">
        <v>256</v>
      </c>
      <c r="E480" s="12">
        <v>350</v>
      </c>
      <c r="F480" s="12">
        <v>35</v>
      </c>
      <c r="G480" s="85">
        <f>F480*E480</f>
        <v>12250</v>
      </c>
    </row>
    <row r="481" spans="1:7" ht="13.8">
      <c r="A481" s="15"/>
      <c r="B481" s="62"/>
      <c r="C481" s="56"/>
      <c r="D481" s="145"/>
      <c r="E481" s="44"/>
      <c r="F481" s="43"/>
      <c r="G481" s="57"/>
    </row>
    <row r="482" spans="1:7" s="160" customFormat="1" ht="131.25" customHeight="1">
      <c r="A482" s="17"/>
      <c r="B482" s="215" t="s">
        <v>261</v>
      </c>
      <c r="C482" s="36" t="s">
        <v>1050</v>
      </c>
      <c r="D482" s="142"/>
      <c r="E482" s="43"/>
      <c r="F482" s="43"/>
      <c r="G482" s="43"/>
    </row>
    <row r="483" spans="1:7" ht="41.4">
      <c r="A483" s="15"/>
      <c r="B483" s="62"/>
      <c r="C483" s="56" t="s">
        <v>1015</v>
      </c>
      <c r="D483" s="145"/>
      <c r="E483" s="44"/>
      <c r="F483" s="43"/>
      <c r="G483" s="57"/>
    </row>
    <row r="484" spans="1:7" s="160" customFormat="1" ht="13.8">
      <c r="A484" s="42"/>
      <c r="B484" s="33"/>
      <c r="C484" s="76" t="s">
        <v>1025</v>
      </c>
      <c r="D484" s="77" t="s">
        <v>256</v>
      </c>
      <c r="E484" s="12">
        <v>1050</v>
      </c>
      <c r="F484" s="12">
        <v>30</v>
      </c>
      <c r="G484" s="85">
        <f>F484*E484</f>
        <v>31500</v>
      </c>
    </row>
    <row r="485" spans="1:7" ht="13.8">
      <c r="A485" s="15"/>
      <c r="B485" s="62"/>
      <c r="C485" s="56"/>
      <c r="D485" s="145"/>
      <c r="E485" s="44"/>
      <c r="F485" s="43"/>
      <c r="G485" s="57"/>
    </row>
    <row r="486" spans="1:7" ht="124.2">
      <c r="A486" s="15"/>
      <c r="B486" s="18" t="s">
        <v>262</v>
      </c>
      <c r="C486" s="22" t="s">
        <v>1059</v>
      </c>
      <c r="D486" s="21"/>
      <c r="E486" s="31"/>
      <c r="F486" s="15"/>
      <c r="G486" s="15"/>
    </row>
    <row r="487" spans="1:7" ht="41.4">
      <c r="A487" s="15"/>
      <c r="B487" s="62"/>
      <c r="C487" s="56" t="s">
        <v>1015</v>
      </c>
      <c r="D487" s="145"/>
      <c r="E487" s="44"/>
      <c r="F487" s="43"/>
      <c r="G487" s="57"/>
    </row>
    <row r="488" spans="1:7" s="160" customFormat="1" ht="13.8">
      <c r="A488" s="42"/>
      <c r="B488" s="33"/>
      <c r="C488" s="76" t="s">
        <v>1016</v>
      </c>
      <c r="D488" s="77" t="s">
        <v>256</v>
      </c>
      <c r="E488" s="12">
        <v>150</v>
      </c>
      <c r="F488" s="12">
        <v>40</v>
      </c>
      <c r="G488" s="85">
        <f>F488*E488</f>
        <v>6000</v>
      </c>
    </row>
    <row r="489" spans="1:7" ht="13.8">
      <c r="A489" s="15"/>
      <c r="B489" s="62"/>
      <c r="C489" s="56"/>
      <c r="D489" s="145"/>
      <c r="E489" s="44"/>
      <c r="F489" s="43"/>
      <c r="G489" s="57"/>
    </row>
    <row r="490" spans="1:7" ht="119.25" customHeight="1">
      <c r="A490" s="15"/>
      <c r="B490" s="18" t="s">
        <v>263</v>
      </c>
      <c r="C490" s="22" t="s">
        <v>1227</v>
      </c>
      <c r="D490" s="21"/>
      <c r="E490" s="31"/>
      <c r="F490" s="15"/>
      <c r="G490" s="15"/>
    </row>
    <row r="491" spans="1:7" ht="31.2" customHeight="1">
      <c r="A491" s="15"/>
      <c r="B491" s="62"/>
      <c r="C491" s="56" t="s">
        <v>1018</v>
      </c>
      <c r="D491" s="145"/>
      <c r="E491" s="44"/>
      <c r="F491" s="43"/>
      <c r="G491" s="57"/>
    </row>
    <row r="492" spans="1:7" ht="41.4">
      <c r="A492" s="15"/>
      <c r="B492" s="62"/>
      <c r="C492" s="56" t="s">
        <v>1015</v>
      </c>
      <c r="D492" s="145"/>
      <c r="E492" s="44"/>
      <c r="F492" s="43"/>
      <c r="G492" s="57"/>
    </row>
    <row r="493" spans="1:7" s="160" customFormat="1" ht="13.8">
      <c r="A493" s="42"/>
      <c r="B493" s="33"/>
      <c r="C493" s="76" t="s">
        <v>1025</v>
      </c>
      <c r="D493" s="77" t="s">
        <v>256</v>
      </c>
      <c r="E493" s="12">
        <v>120</v>
      </c>
      <c r="F493" s="12">
        <v>30</v>
      </c>
      <c r="G493" s="85">
        <f>F493*E493</f>
        <v>3600</v>
      </c>
    </row>
    <row r="494" spans="1:7" ht="13.8">
      <c r="A494" s="15"/>
      <c r="B494" s="62"/>
      <c r="C494" s="56"/>
      <c r="D494" s="145"/>
      <c r="E494" s="44"/>
      <c r="F494" s="43"/>
      <c r="G494" s="57"/>
    </row>
    <row r="495" spans="1:7" s="160" customFormat="1" ht="129.75" customHeight="1">
      <c r="A495" s="17"/>
      <c r="B495" s="215" t="s">
        <v>264</v>
      </c>
      <c r="C495" s="36" t="s">
        <v>1053</v>
      </c>
      <c r="D495" s="142"/>
      <c r="E495" s="65"/>
      <c r="F495" s="43"/>
      <c r="G495" s="43"/>
    </row>
    <row r="496" spans="1:7" ht="41.4">
      <c r="A496" s="15"/>
      <c r="B496" s="62"/>
      <c r="C496" s="56" t="s">
        <v>1015</v>
      </c>
      <c r="D496" s="145"/>
      <c r="E496" s="44"/>
      <c r="F496" s="43"/>
      <c r="G496" s="57"/>
    </row>
    <row r="497" spans="1:7" s="160" customFormat="1" ht="13.8">
      <c r="A497" s="42"/>
      <c r="B497" s="33"/>
      <c r="C497" s="76" t="s">
        <v>1026</v>
      </c>
      <c r="D497" s="77" t="s">
        <v>256</v>
      </c>
      <c r="E497" s="12">
        <v>330</v>
      </c>
      <c r="F497" s="12">
        <v>1</v>
      </c>
      <c r="G497" s="85">
        <f>F497*E497</f>
        <v>330</v>
      </c>
    </row>
    <row r="498" spans="1:7" ht="13.8">
      <c r="A498" s="15"/>
      <c r="B498" s="62"/>
      <c r="C498" s="56"/>
      <c r="D498" s="145"/>
      <c r="E498" s="44"/>
      <c r="F498" s="43"/>
      <c r="G498" s="57"/>
    </row>
    <row r="499" spans="1:7" s="160" customFormat="1" ht="124.2">
      <c r="A499" s="15"/>
      <c r="B499" s="215" t="s">
        <v>267</v>
      </c>
      <c r="C499" s="36" t="s">
        <v>1019</v>
      </c>
      <c r="D499" s="142"/>
      <c r="E499" s="16"/>
      <c r="F499" s="15"/>
      <c r="G499" s="15"/>
    </row>
    <row r="500" spans="1:7" s="160" customFormat="1" ht="81" customHeight="1">
      <c r="A500" s="15"/>
      <c r="B500" s="15"/>
      <c r="C500" s="36" t="s">
        <v>1247</v>
      </c>
      <c r="D500" s="142"/>
      <c r="E500" s="16"/>
      <c r="F500" s="15"/>
      <c r="G500" s="15"/>
    </row>
    <row r="501" spans="1:7" ht="41.4">
      <c r="A501" s="15"/>
      <c r="B501" s="62"/>
      <c r="C501" s="56" t="s">
        <v>1015</v>
      </c>
      <c r="D501" s="145"/>
      <c r="E501" s="44"/>
      <c r="F501" s="43"/>
      <c r="G501" s="57"/>
    </row>
    <row r="502" spans="1:7" s="160" customFormat="1" ht="13.8">
      <c r="A502" s="42"/>
      <c r="B502" s="33"/>
      <c r="C502" s="76" t="s">
        <v>1027</v>
      </c>
      <c r="D502" s="77" t="s">
        <v>256</v>
      </c>
      <c r="E502" s="12">
        <v>350</v>
      </c>
      <c r="F502" s="12">
        <v>25</v>
      </c>
      <c r="G502" s="85">
        <f>F502*E502</f>
        <v>8750</v>
      </c>
    </row>
    <row r="503" spans="1:7" ht="13.8">
      <c r="A503" s="15"/>
      <c r="B503" s="62"/>
      <c r="C503" s="56"/>
      <c r="D503" s="145"/>
      <c r="E503" s="44"/>
      <c r="F503" s="43"/>
      <c r="G503" s="57"/>
    </row>
    <row r="504" spans="1:7" s="160" customFormat="1" ht="69">
      <c r="A504" s="15"/>
      <c r="B504" s="215" t="s">
        <v>269</v>
      </c>
      <c r="C504" s="36" t="s">
        <v>1024</v>
      </c>
      <c r="D504" s="142"/>
      <c r="E504" s="16"/>
      <c r="F504" s="15"/>
      <c r="G504" s="15"/>
    </row>
    <row r="505" spans="1:7" ht="82.8">
      <c r="A505" s="15"/>
      <c r="B505" s="62"/>
      <c r="C505" s="56" t="s">
        <v>979</v>
      </c>
      <c r="D505" s="145"/>
      <c r="E505" s="57"/>
      <c r="F505" s="43"/>
      <c r="G505" s="57"/>
    </row>
    <row r="506" spans="1:7" ht="76.2" customHeight="1">
      <c r="A506" s="15"/>
      <c r="B506" s="62"/>
      <c r="C506" s="56" t="s">
        <v>298</v>
      </c>
      <c r="D506" s="145"/>
      <c r="E506" s="57"/>
      <c r="F506" s="43"/>
      <c r="G506" s="57"/>
    </row>
    <row r="507" spans="1:7" ht="41.4">
      <c r="A507" s="15"/>
      <c r="B507" s="62"/>
      <c r="C507" s="56" t="s">
        <v>1015</v>
      </c>
      <c r="D507" s="145"/>
      <c r="E507" s="44"/>
      <c r="F507" s="43"/>
      <c r="G507" s="57"/>
    </row>
    <row r="508" spans="1:7" ht="13.8">
      <c r="A508" s="15"/>
      <c r="B508" s="62"/>
      <c r="C508" s="56" t="s">
        <v>299</v>
      </c>
      <c r="D508" s="145"/>
      <c r="E508" s="57"/>
      <c r="F508" s="43"/>
      <c r="G508" s="57"/>
    </row>
    <row r="509" spans="1:7" ht="13.8">
      <c r="A509" s="15"/>
      <c r="B509" s="62"/>
      <c r="C509" s="56" t="s">
        <v>634</v>
      </c>
      <c r="D509" s="145" t="s">
        <v>256</v>
      </c>
      <c r="E509" s="44">
        <v>170</v>
      </c>
      <c r="F509" s="43">
        <v>20</v>
      </c>
      <c r="G509" s="87">
        <f>F509*E509</f>
        <v>3400</v>
      </c>
    </row>
    <row r="510" spans="1:7" ht="13.8">
      <c r="A510" s="15"/>
      <c r="B510" s="62"/>
      <c r="C510" s="56" t="s">
        <v>635</v>
      </c>
      <c r="D510" s="145" t="s">
        <v>256</v>
      </c>
      <c r="E510" s="44">
        <v>170</v>
      </c>
      <c r="F510" s="43">
        <v>5</v>
      </c>
      <c r="G510" s="87">
        <f>F510*E510</f>
        <v>850</v>
      </c>
    </row>
    <row r="511" spans="1:7" ht="13.8">
      <c r="A511" s="15"/>
      <c r="B511" s="62"/>
      <c r="C511" s="56"/>
      <c r="D511" s="145"/>
      <c r="E511" s="44"/>
      <c r="F511" s="43"/>
      <c r="G511" s="57"/>
    </row>
    <row r="512" spans="1:7" s="160" customFormat="1" ht="69">
      <c r="A512" s="15"/>
      <c r="B512" s="215" t="s">
        <v>271</v>
      </c>
      <c r="C512" s="36" t="s">
        <v>1054</v>
      </c>
      <c r="D512" s="142"/>
      <c r="E512" s="16"/>
      <c r="F512" s="15"/>
      <c r="G512" s="15"/>
    </row>
    <row r="513" spans="1:7" s="160" customFormat="1" ht="81" customHeight="1">
      <c r="A513" s="15"/>
      <c r="B513" s="15"/>
      <c r="C513" s="36" t="s">
        <v>1228</v>
      </c>
      <c r="D513" s="142"/>
      <c r="E513" s="16"/>
      <c r="F513" s="15"/>
      <c r="G513" s="15"/>
    </row>
    <row r="514" spans="1:7" ht="41.4">
      <c r="A514" s="15"/>
      <c r="B514" s="62"/>
      <c r="C514" s="56" t="s">
        <v>1015</v>
      </c>
      <c r="D514" s="145"/>
      <c r="E514" s="44"/>
      <c r="F514" s="43"/>
      <c r="G514" s="57"/>
    </row>
    <row r="515" spans="1:7" s="160" customFormat="1" ht="13.8">
      <c r="A515" s="42"/>
      <c r="B515" s="33"/>
      <c r="C515" s="76" t="s">
        <v>1027</v>
      </c>
      <c r="D515" s="77" t="s">
        <v>256</v>
      </c>
      <c r="E515" s="12">
        <v>330</v>
      </c>
      <c r="F515" s="12">
        <v>1</v>
      </c>
      <c r="G515" s="85">
        <f>F515*E515</f>
        <v>330</v>
      </c>
    </row>
    <row r="516" spans="1:7" ht="13.8">
      <c r="A516" s="47"/>
      <c r="B516" s="47"/>
      <c r="C516" s="47"/>
      <c r="D516" s="143"/>
      <c r="E516" s="48"/>
      <c r="F516" s="47"/>
      <c r="G516" s="47"/>
    </row>
    <row r="517" spans="1:7" s="160" customFormat="1" ht="69" customHeight="1">
      <c r="A517" s="15"/>
      <c r="B517" s="215" t="s">
        <v>930</v>
      </c>
      <c r="C517" s="36" t="s">
        <v>1057</v>
      </c>
      <c r="D517" s="142"/>
      <c r="E517" s="16"/>
      <c r="F517" s="15"/>
      <c r="G517" s="15"/>
    </row>
    <row r="518" spans="1:7" ht="41.4">
      <c r="A518" s="15"/>
      <c r="B518" s="62"/>
      <c r="C518" s="56" t="s">
        <v>1015</v>
      </c>
      <c r="D518" s="145"/>
      <c r="E518" s="44"/>
      <c r="F518" s="43"/>
      <c r="G518" s="57"/>
    </row>
    <row r="519" spans="1:7" s="160" customFormat="1" ht="13.8">
      <c r="A519" s="42"/>
      <c r="B519" s="33"/>
      <c r="C519" s="76" t="s">
        <v>1027</v>
      </c>
      <c r="D519" s="77" t="s">
        <v>256</v>
      </c>
      <c r="E519" s="12">
        <v>150</v>
      </c>
      <c r="F519" s="12">
        <v>25</v>
      </c>
      <c r="G519" s="85">
        <f>F519*E519</f>
        <v>3750</v>
      </c>
    </row>
    <row r="520" spans="1:7" ht="13.8">
      <c r="A520" s="15"/>
      <c r="B520" s="62"/>
      <c r="C520" s="56"/>
      <c r="D520" s="145"/>
      <c r="E520" s="44"/>
      <c r="F520" s="43"/>
      <c r="G520" s="57"/>
    </row>
    <row r="521" spans="1:7" s="160" customFormat="1" ht="55.2">
      <c r="A521" s="17"/>
      <c r="B521" s="18" t="s">
        <v>945</v>
      </c>
      <c r="C521" s="76" t="s">
        <v>1238</v>
      </c>
      <c r="D521" s="258"/>
      <c r="E521" s="77"/>
      <c r="F521" s="141"/>
      <c r="G521" s="28"/>
    </row>
    <row r="522" spans="1:7" s="160" customFormat="1" ht="27.6">
      <c r="A522" s="42"/>
      <c r="B522" s="33"/>
      <c r="C522" s="76" t="s">
        <v>1241</v>
      </c>
      <c r="D522" s="258"/>
      <c r="E522" s="77"/>
      <c r="F522" s="141"/>
      <c r="G522" s="28"/>
    </row>
    <row r="523" spans="1:7" s="160" customFormat="1" ht="41.4">
      <c r="A523" s="42"/>
      <c r="B523" s="33"/>
      <c r="C523" s="76" t="s">
        <v>1242</v>
      </c>
      <c r="D523" s="258"/>
      <c r="E523" s="77"/>
      <c r="F523" s="141"/>
      <c r="G523" s="28"/>
    </row>
    <row r="524" spans="1:7" s="160" customFormat="1" ht="41.25" customHeight="1">
      <c r="A524" s="42"/>
      <c r="B524" s="33"/>
      <c r="C524" s="76" t="s">
        <v>1243</v>
      </c>
      <c r="D524" s="258"/>
      <c r="E524" s="77"/>
      <c r="F524" s="141"/>
      <c r="G524" s="28"/>
    </row>
    <row r="525" spans="1:7" s="160" customFormat="1" ht="41.4">
      <c r="A525" s="42"/>
      <c r="B525" s="33"/>
      <c r="C525" s="76" t="s">
        <v>1244</v>
      </c>
      <c r="D525" s="258"/>
      <c r="E525" s="77"/>
      <c r="F525" s="141"/>
      <c r="G525" s="28"/>
    </row>
    <row r="526" spans="1:7" s="160" customFormat="1" ht="41.25" customHeight="1">
      <c r="A526" s="42"/>
      <c r="B526" s="33"/>
      <c r="C526" s="76" t="s">
        <v>1240</v>
      </c>
      <c r="D526" s="258"/>
      <c r="E526" s="77"/>
      <c r="F526" s="141"/>
      <c r="G526" s="28"/>
    </row>
    <row r="527" spans="1:7" s="160" customFormat="1" ht="27.6">
      <c r="A527" s="42"/>
      <c r="B527" s="33"/>
      <c r="C527" s="76" t="s">
        <v>1245</v>
      </c>
      <c r="D527" s="258"/>
      <c r="E527" s="77"/>
      <c r="F527" s="141"/>
      <c r="G527" s="28"/>
    </row>
    <row r="528" spans="1:7" s="160" customFormat="1" ht="69">
      <c r="A528" s="42"/>
      <c r="B528" s="33"/>
      <c r="C528" s="76" t="s">
        <v>1246</v>
      </c>
      <c r="D528" s="258"/>
      <c r="E528" s="77"/>
      <c r="F528" s="141"/>
      <c r="G528" s="28"/>
    </row>
    <row r="529" spans="1:7" s="160" customFormat="1" ht="41.4">
      <c r="A529" s="42"/>
      <c r="B529" s="33"/>
      <c r="C529" s="76" t="s">
        <v>1239</v>
      </c>
      <c r="D529" s="258"/>
      <c r="E529" s="77"/>
      <c r="F529" s="141"/>
      <c r="G529" s="28"/>
    </row>
    <row r="530" spans="1:7" s="160" customFormat="1" ht="13.8">
      <c r="A530" s="42"/>
      <c r="B530" s="33"/>
      <c r="C530" s="76" t="s">
        <v>326</v>
      </c>
      <c r="D530" s="258"/>
      <c r="E530" s="77"/>
      <c r="F530" s="141"/>
      <c r="G530" s="28"/>
    </row>
    <row r="531" spans="1:7" ht="41.4">
      <c r="A531" s="15"/>
      <c r="B531" s="62"/>
      <c r="C531" s="56" t="s">
        <v>1015</v>
      </c>
      <c r="D531" s="77" t="s">
        <v>256</v>
      </c>
      <c r="E531" s="12">
        <v>1050</v>
      </c>
      <c r="F531" s="12">
        <v>160</v>
      </c>
      <c r="G531" s="85">
        <f>F531*E531</f>
        <v>168000</v>
      </c>
    </row>
    <row r="532" spans="1:7" ht="69">
      <c r="A532" s="74"/>
      <c r="B532" s="33"/>
      <c r="C532" s="305" t="s">
        <v>1252</v>
      </c>
      <c r="D532" s="304"/>
      <c r="E532" s="44"/>
      <c r="F532" s="43"/>
      <c r="G532" s="57"/>
    </row>
    <row r="533" spans="1:7" ht="13.8">
      <c r="A533" s="80"/>
      <c r="B533" s="81"/>
      <c r="C533" s="51"/>
      <c r="D533" s="154"/>
      <c r="E533" s="51"/>
      <c r="F533" s="51"/>
      <c r="G533" s="52"/>
    </row>
    <row r="534" spans="1:7" ht="13.8">
      <c r="A534" s="82" t="s">
        <v>868</v>
      </c>
      <c r="B534" s="49" t="s">
        <v>965</v>
      </c>
      <c r="C534" s="54" t="s">
        <v>763</v>
      </c>
      <c r="D534" s="153"/>
      <c r="E534" s="54"/>
      <c r="F534" s="54"/>
      <c r="G534" s="84">
        <f>SUM(G443:G531)</f>
        <v>274460</v>
      </c>
    </row>
    <row r="535" spans="1:7" ht="13.8">
      <c r="A535" s="47"/>
      <c r="B535" s="47"/>
      <c r="C535" s="47"/>
      <c r="D535" s="143"/>
      <c r="E535" s="48"/>
      <c r="F535" s="47"/>
      <c r="G535" s="47"/>
    </row>
    <row r="536" spans="1:7" ht="13.8">
      <c r="A536" s="47"/>
      <c r="B536" s="47"/>
      <c r="C536" s="47"/>
      <c r="D536" s="143"/>
      <c r="E536" s="48"/>
      <c r="F536" s="47"/>
      <c r="G536" s="47"/>
    </row>
    <row r="537" spans="1:7" s="178" customFormat="1" ht="13.8">
      <c r="A537" s="59" t="s">
        <v>868</v>
      </c>
      <c r="B537" s="33" t="s">
        <v>972</v>
      </c>
      <c r="C537" s="939" t="s">
        <v>1066</v>
      </c>
      <c r="D537" s="939"/>
      <c r="E537" s="141"/>
      <c r="F537" s="141"/>
      <c r="G537" s="28"/>
    </row>
    <row r="538" spans="1:7" ht="13.8">
      <c r="A538" s="47"/>
      <c r="B538" s="47"/>
      <c r="C538" s="47"/>
      <c r="D538" s="143"/>
      <c r="E538" s="48"/>
      <c r="F538" s="47"/>
      <c r="G538" s="47"/>
    </row>
    <row r="539" spans="1:7" s="178" customFormat="1" ht="13.8">
      <c r="A539" s="60"/>
      <c r="B539" s="177" t="s">
        <v>0</v>
      </c>
      <c r="C539" s="14" t="s">
        <v>1022</v>
      </c>
      <c r="D539" s="179"/>
      <c r="E539" s="180"/>
      <c r="F539" s="14"/>
      <c r="G539" s="14"/>
    </row>
    <row r="540" spans="1:7" s="160" customFormat="1" ht="183" customHeight="1">
      <c r="A540" s="17"/>
      <c r="B540" s="18" t="s">
        <v>252</v>
      </c>
      <c r="C540" s="32" t="s">
        <v>1067</v>
      </c>
      <c r="D540" s="142"/>
      <c r="E540" s="16"/>
      <c r="F540" s="15"/>
      <c r="G540" s="15"/>
    </row>
    <row r="541" spans="1:7" s="160" customFormat="1" ht="13.8">
      <c r="A541" s="15"/>
      <c r="B541" s="15"/>
      <c r="C541" s="32" t="s">
        <v>1056</v>
      </c>
      <c r="D541" s="142" t="s">
        <v>256</v>
      </c>
      <c r="E541" s="43">
        <v>150</v>
      </c>
      <c r="F541" s="43">
        <v>65</v>
      </c>
      <c r="G541" s="86">
        <f>F541*E541</f>
        <v>9750</v>
      </c>
    </row>
    <row r="542" spans="1:7" ht="13.8">
      <c r="A542" s="80"/>
      <c r="B542" s="81"/>
      <c r="C542" s="51"/>
      <c r="D542" s="154"/>
      <c r="E542" s="51"/>
      <c r="F542" s="51"/>
      <c r="G542" s="52"/>
    </row>
    <row r="543" spans="1:7" s="160" customFormat="1" ht="195" customHeight="1">
      <c r="A543" s="17"/>
      <c r="B543" s="18" t="s">
        <v>254</v>
      </c>
      <c r="C543" s="32" t="s">
        <v>1065</v>
      </c>
      <c r="D543" s="142"/>
      <c r="E543" s="16"/>
      <c r="F543" s="15"/>
      <c r="G543" s="15"/>
    </row>
    <row r="544" spans="1:7" s="160" customFormat="1" ht="13.8">
      <c r="A544" s="15"/>
      <c r="B544" s="15"/>
      <c r="C544" s="32" t="s">
        <v>274</v>
      </c>
      <c r="D544" s="142" t="s">
        <v>256</v>
      </c>
      <c r="E544" s="43">
        <v>200</v>
      </c>
      <c r="F544" s="43">
        <v>100</v>
      </c>
      <c r="G544" s="86">
        <f>F544*E544</f>
        <v>20000</v>
      </c>
    </row>
    <row r="545" spans="1:7" ht="13.8">
      <c r="A545" s="47"/>
      <c r="B545" s="47"/>
      <c r="C545" s="47"/>
      <c r="D545" s="143"/>
      <c r="E545" s="48"/>
      <c r="F545" s="47"/>
      <c r="G545" s="47"/>
    </row>
    <row r="546" spans="1:7" s="160" customFormat="1" ht="55.2">
      <c r="A546" s="17"/>
      <c r="B546" s="18" t="s">
        <v>257</v>
      </c>
      <c r="C546" s="32" t="s">
        <v>1069</v>
      </c>
      <c r="D546" s="71"/>
      <c r="E546" s="16"/>
      <c r="F546" s="15"/>
      <c r="G546" s="15"/>
    </row>
    <row r="547" spans="1:7" s="160" customFormat="1" ht="13.8">
      <c r="A547" s="15"/>
      <c r="B547" s="15"/>
      <c r="C547" s="32" t="s">
        <v>274</v>
      </c>
      <c r="D547" s="71" t="s">
        <v>256</v>
      </c>
      <c r="E547" s="29">
        <v>200</v>
      </c>
      <c r="F547" s="12">
        <v>30</v>
      </c>
      <c r="G547" s="85">
        <f>E547*F547</f>
        <v>6000</v>
      </c>
    </row>
    <row r="548" spans="1:7" ht="13.8">
      <c r="A548" s="15"/>
      <c r="B548" s="15"/>
      <c r="C548" s="15"/>
      <c r="D548" s="142"/>
      <c r="E548" s="16"/>
      <c r="F548" s="15"/>
      <c r="G548" s="15"/>
    </row>
    <row r="549" spans="1:7" ht="69">
      <c r="A549" s="61"/>
      <c r="B549" s="18" t="s">
        <v>304</v>
      </c>
      <c r="C549" s="32" t="s">
        <v>1074</v>
      </c>
      <c r="D549" s="71"/>
      <c r="E549" s="16"/>
      <c r="F549" s="15"/>
      <c r="G549" s="15"/>
    </row>
    <row r="550" spans="1:7" ht="13.8">
      <c r="A550" s="15"/>
      <c r="B550" s="15"/>
      <c r="C550" s="32" t="s">
        <v>274</v>
      </c>
      <c r="D550" s="71" t="s">
        <v>256</v>
      </c>
      <c r="E550" s="29">
        <v>200</v>
      </c>
      <c r="F550" s="12">
        <v>8</v>
      </c>
      <c r="G550" s="85">
        <f>E550*F550</f>
        <v>1600</v>
      </c>
    </row>
    <row r="551" spans="1:7" ht="13.8">
      <c r="A551" s="15"/>
      <c r="B551" s="15"/>
      <c r="C551" s="15"/>
      <c r="D551" s="142"/>
      <c r="E551" s="16"/>
      <c r="F551" s="15"/>
      <c r="G551" s="15"/>
    </row>
    <row r="552" spans="1:7" ht="69">
      <c r="A552" s="61"/>
      <c r="B552" s="18" t="s">
        <v>319</v>
      </c>
      <c r="C552" s="32" t="s">
        <v>1075</v>
      </c>
      <c r="D552" s="71"/>
      <c r="E552" s="39"/>
      <c r="F552" s="72"/>
      <c r="G552" s="72"/>
    </row>
    <row r="553" spans="1:7" ht="13.8">
      <c r="A553" s="15"/>
      <c r="B553" s="15"/>
      <c r="C553" s="32" t="s">
        <v>274</v>
      </c>
      <c r="D553" s="71" t="s">
        <v>256</v>
      </c>
      <c r="E553" s="29">
        <v>200</v>
      </c>
      <c r="F553" s="12">
        <v>20</v>
      </c>
      <c r="G553" s="85">
        <f>E553*F553</f>
        <v>4000</v>
      </c>
    </row>
    <row r="554" spans="1:7" ht="13.8">
      <c r="A554" s="15"/>
      <c r="B554" s="15"/>
      <c r="C554" s="15"/>
      <c r="D554" s="142"/>
      <c r="E554" s="16"/>
      <c r="F554" s="15"/>
      <c r="G554" s="15"/>
    </row>
    <row r="555" spans="1:7" ht="107.25" customHeight="1">
      <c r="A555" s="61"/>
      <c r="B555" s="18" t="s">
        <v>307</v>
      </c>
      <c r="C555" s="32" t="s">
        <v>1073</v>
      </c>
      <c r="D555" s="71"/>
      <c r="E555" s="39"/>
      <c r="F555" s="72"/>
      <c r="G555" s="15"/>
    </row>
    <row r="556" spans="1:7" ht="13.8">
      <c r="A556" s="15"/>
      <c r="B556" s="15"/>
      <c r="C556" s="32" t="s">
        <v>274</v>
      </c>
      <c r="D556" s="71" t="s">
        <v>256</v>
      </c>
      <c r="E556" s="233">
        <v>200</v>
      </c>
      <c r="F556" s="233">
        <v>50</v>
      </c>
      <c r="G556" s="85">
        <f>E556*F556</f>
        <v>10000</v>
      </c>
    </row>
    <row r="557" spans="1:7" ht="13.8">
      <c r="A557" s="15"/>
      <c r="B557" s="15"/>
      <c r="C557" s="15"/>
      <c r="D557" s="142"/>
      <c r="E557" s="16"/>
      <c r="F557" s="15"/>
      <c r="G557" s="15"/>
    </row>
    <row r="558" spans="1:7" ht="69">
      <c r="A558" s="61"/>
      <c r="B558" s="18" t="s">
        <v>308</v>
      </c>
      <c r="C558" s="32" t="s">
        <v>1070</v>
      </c>
      <c r="D558" s="71"/>
      <c r="E558" s="16"/>
      <c r="F558" s="15"/>
      <c r="G558" s="15"/>
    </row>
    <row r="559" spans="1:7" ht="13.8">
      <c r="A559" s="15"/>
      <c r="B559" s="15"/>
      <c r="C559" s="32" t="s">
        <v>279</v>
      </c>
      <c r="D559" s="71" t="s">
        <v>268</v>
      </c>
      <c r="E559" s="233">
        <v>55</v>
      </c>
      <c r="F559" s="233">
        <v>20</v>
      </c>
      <c r="G559" s="85">
        <f>E559*F559</f>
        <v>1100</v>
      </c>
    </row>
    <row r="560" spans="1:7" ht="13.8">
      <c r="A560" s="15"/>
      <c r="B560" s="15"/>
      <c r="C560" s="15"/>
      <c r="D560" s="142"/>
      <c r="E560" s="16"/>
      <c r="F560" s="15"/>
      <c r="G560" s="15"/>
    </row>
    <row r="561" spans="1:7" ht="70.5" customHeight="1">
      <c r="A561" s="61"/>
      <c r="B561" s="18" t="s">
        <v>320</v>
      </c>
      <c r="C561" s="32" t="s">
        <v>1071</v>
      </c>
      <c r="D561" s="71"/>
      <c r="E561" s="40"/>
      <c r="F561" s="72"/>
      <c r="G561" s="15"/>
    </row>
    <row r="562" spans="1:7" ht="13.8">
      <c r="A562" s="15"/>
      <c r="B562" s="15"/>
      <c r="C562" s="32" t="s">
        <v>274</v>
      </c>
      <c r="D562" s="71" t="s">
        <v>256</v>
      </c>
      <c r="E562" s="233">
        <v>200</v>
      </c>
      <c r="F562" s="233">
        <v>5</v>
      </c>
      <c r="G562" s="85">
        <f>E562*F562</f>
        <v>1000</v>
      </c>
    </row>
    <row r="563" spans="1:7" ht="13.8">
      <c r="A563" s="15"/>
      <c r="B563" s="15"/>
      <c r="C563" s="15"/>
      <c r="D563" s="142"/>
      <c r="E563" s="16"/>
      <c r="F563" s="15"/>
      <c r="G563" s="15"/>
    </row>
    <row r="564" spans="1:7" ht="104.25" customHeight="1">
      <c r="A564" s="61"/>
      <c r="B564" s="18" t="s">
        <v>321</v>
      </c>
      <c r="C564" s="32" t="s">
        <v>1072</v>
      </c>
      <c r="D564" s="71"/>
      <c r="E564" s="40"/>
      <c r="F564" s="72"/>
      <c r="G564" s="15"/>
    </row>
    <row r="565" spans="1:7" ht="27.6">
      <c r="A565" s="15"/>
      <c r="B565" s="15"/>
      <c r="C565" s="32" t="s">
        <v>280</v>
      </c>
      <c r="D565" s="71" t="s">
        <v>268</v>
      </c>
      <c r="E565" s="233">
        <v>55</v>
      </c>
      <c r="F565" s="233">
        <v>50</v>
      </c>
      <c r="G565" s="85">
        <f>E565*F565</f>
        <v>2750</v>
      </c>
    </row>
    <row r="566" spans="1:7" ht="13.8">
      <c r="A566" s="80"/>
      <c r="B566" s="81"/>
      <c r="C566" s="51"/>
      <c r="D566" s="154"/>
      <c r="E566" s="51"/>
      <c r="F566" s="51"/>
      <c r="G566" s="52"/>
    </row>
    <row r="567" spans="1:7" ht="13.8">
      <c r="A567" s="47"/>
      <c r="B567" s="47"/>
      <c r="C567" s="47"/>
      <c r="D567" s="143"/>
      <c r="E567" s="48"/>
      <c r="F567" s="47"/>
      <c r="G567" s="47"/>
    </row>
    <row r="568" spans="1:7" ht="13.8">
      <c r="A568" s="82" t="s">
        <v>868</v>
      </c>
      <c r="B568" s="49" t="s">
        <v>972</v>
      </c>
      <c r="C568" s="54" t="s">
        <v>1068</v>
      </c>
      <c r="D568" s="153"/>
      <c r="E568" s="54"/>
      <c r="F568" s="54"/>
      <c r="G568" s="84">
        <f>SUM(G541:G565)</f>
        <v>56200</v>
      </c>
    </row>
    <row r="569" spans="1:7" ht="13.8">
      <c r="A569" s="47"/>
      <c r="B569" s="47"/>
      <c r="C569" s="47"/>
      <c r="D569" s="143"/>
      <c r="E569" s="48"/>
      <c r="F569" s="47"/>
      <c r="G569" s="47"/>
    </row>
    <row r="570" spans="1:7" ht="13.8">
      <c r="A570" s="47"/>
      <c r="B570" s="47"/>
      <c r="C570" s="47"/>
      <c r="D570" s="143"/>
      <c r="E570" s="48"/>
      <c r="F570" s="47"/>
      <c r="G570" s="47"/>
    </row>
    <row r="571" spans="1:7" s="251" customFormat="1" ht="13.8">
      <c r="A571" s="247" t="s">
        <v>868</v>
      </c>
      <c r="B571" s="248"/>
      <c r="C571" s="935" t="s">
        <v>1076</v>
      </c>
      <c r="D571" s="935"/>
      <c r="E571" s="249"/>
      <c r="F571" s="249"/>
      <c r="G571" s="250"/>
    </row>
    <row r="572" spans="1:7" ht="13.8">
      <c r="A572" s="80"/>
      <c r="B572" s="81"/>
      <c r="C572" s="51"/>
      <c r="D572" s="154"/>
      <c r="E572" s="51"/>
      <c r="F572" s="51"/>
      <c r="G572" s="52"/>
    </row>
    <row r="573" spans="1:7" s="241" customFormat="1" ht="13.8">
      <c r="A573" s="235"/>
      <c r="B573" s="236" t="s">
        <v>871</v>
      </c>
      <c r="C573" s="237" t="s">
        <v>912</v>
      </c>
      <c r="D573" s="238"/>
      <c r="E573" s="239"/>
      <c r="F573" s="235"/>
      <c r="G573" s="240">
        <f>G39</f>
        <v>34750</v>
      </c>
    </row>
    <row r="574" spans="1:7" s="241" customFormat="1" ht="13.8">
      <c r="A574" s="242"/>
      <c r="B574" s="236" t="s">
        <v>872</v>
      </c>
      <c r="C574" s="237" t="s">
        <v>1180</v>
      </c>
      <c r="D574" s="243"/>
      <c r="E574" s="244"/>
      <c r="F574" s="244"/>
      <c r="G574" s="240">
        <f>G53</f>
        <v>13500</v>
      </c>
    </row>
    <row r="575" spans="1:7" s="241" customFormat="1" ht="13.8">
      <c r="A575" s="245"/>
      <c r="B575" s="236" t="s">
        <v>874</v>
      </c>
      <c r="C575" s="237" t="s">
        <v>259</v>
      </c>
      <c r="D575" s="150"/>
      <c r="E575" s="246"/>
      <c r="F575" s="46"/>
      <c r="G575" s="240">
        <f>G127</f>
        <v>82340</v>
      </c>
    </row>
    <row r="576" spans="1:7" s="241" customFormat="1" ht="13.8">
      <c r="A576" s="235"/>
      <c r="B576" s="236" t="s">
        <v>939</v>
      </c>
      <c r="C576" s="237" t="s">
        <v>875</v>
      </c>
      <c r="D576" s="238"/>
      <c r="E576" s="239"/>
      <c r="F576" s="235"/>
      <c r="G576" s="240">
        <f>G201</f>
        <v>147025</v>
      </c>
    </row>
    <row r="577" spans="1:7" s="241" customFormat="1" ht="13.8">
      <c r="A577" s="242"/>
      <c r="B577" s="236" t="s">
        <v>940</v>
      </c>
      <c r="C577" s="237" t="s">
        <v>323</v>
      </c>
      <c r="D577" s="243"/>
      <c r="E577" s="244"/>
      <c r="F577" s="244"/>
      <c r="G577" s="240">
        <f>G361</f>
        <v>999462</v>
      </c>
    </row>
    <row r="578" spans="1:7" s="241" customFormat="1" ht="13.8">
      <c r="A578" s="235"/>
      <c r="B578" s="236" t="s">
        <v>958</v>
      </c>
      <c r="C578" s="237" t="s">
        <v>306</v>
      </c>
      <c r="D578" s="238"/>
      <c r="E578" s="239"/>
      <c r="F578" s="235"/>
      <c r="G578" s="240">
        <f>G380</f>
        <v>16518</v>
      </c>
    </row>
    <row r="579" spans="1:7" s="241" customFormat="1" ht="13.8">
      <c r="A579" s="242"/>
      <c r="B579" s="236" t="s">
        <v>962</v>
      </c>
      <c r="C579" s="244" t="s">
        <v>1061</v>
      </c>
      <c r="D579" s="243"/>
      <c r="E579" s="244"/>
      <c r="F579" s="244"/>
      <c r="G579" s="240">
        <f>G431</f>
        <v>303730</v>
      </c>
    </row>
    <row r="580" spans="1:7" s="241" customFormat="1" ht="13.8">
      <c r="A580" s="242"/>
      <c r="B580" s="236" t="s">
        <v>965</v>
      </c>
      <c r="C580" s="244" t="s">
        <v>327</v>
      </c>
      <c r="D580" s="243"/>
      <c r="E580" s="244"/>
      <c r="F580" s="244"/>
      <c r="G580" s="240">
        <f>G534</f>
        <v>274460</v>
      </c>
    </row>
    <row r="581" spans="1:7" s="241" customFormat="1" ht="13.8">
      <c r="A581" s="235"/>
      <c r="B581" s="236" t="s">
        <v>972</v>
      </c>
      <c r="C581" s="235" t="s">
        <v>1066</v>
      </c>
      <c r="D581" s="238"/>
      <c r="E581" s="239"/>
      <c r="F581" s="235"/>
      <c r="G581" s="240">
        <f>G568</f>
        <v>56200</v>
      </c>
    </row>
    <row r="582" spans="1:7" ht="13.8">
      <c r="A582" s="47"/>
      <c r="B582" s="47"/>
      <c r="C582" s="47"/>
      <c r="D582" s="143"/>
      <c r="E582" s="48"/>
      <c r="F582" s="47"/>
      <c r="G582" s="47"/>
    </row>
    <row r="583" spans="1:7" s="241" customFormat="1" ht="13.8">
      <c r="A583" s="252" t="s">
        <v>868</v>
      </c>
      <c r="B583" s="253"/>
      <c r="C583" s="254" t="s">
        <v>973</v>
      </c>
      <c r="D583" s="255"/>
      <c r="E583" s="254"/>
      <c r="F583" s="254"/>
      <c r="G583" s="256">
        <f>SUM(G573:G581)</f>
        <v>1927985</v>
      </c>
    </row>
    <row r="584" spans="1:7" ht="13.8">
      <c r="A584" s="47"/>
      <c r="B584" s="47"/>
      <c r="C584" s="47"/>
      <c r="D584" s="143"/>
      <c r="E584" s="48"/>
      <c r="F584" s="47"/>
      <c r="G584" s="47"/>
    </row>
    <row r="585" spans="1:7" ht="13.8">
      <c r="A585" s="80"/>
      <c r="B585" s="81"/>
      <c r="C585" s="51"/>
      <c r="D585" s="154"/>
      <c r="E585" s="51"/>
      <c r="F585" s="51"/>
      <c r="G585" s="52"/>
    </row>
    <row r="586" spans="1:7" ht="13.8">
      <c r="A586" s="60" t="s">
        <v>869</v>
      </c>
      <c r="B586" s="55"/>
      <c r="C586" s="14" t="s">
        <v>974</v>
      </c>
      <c r="D586" s="142"/>
      <c r="E586" s="16"/>
      <c r="F586" s="15"/>
      <c r="G586" s="15"/>
    </row>
    <row r="587" spans="1:7" ht="13.8">
      <c r="A587" s="15"/>
      <c r="B587" s="175"/>
      <c r="C587" s="15"/>
      <c r="D587" s="142"/>
      <c r="E587" s="16"/>
      <c r="F587" s="15"/>
      <c r="G587" s="15"/>
    </row>
    <row r="588" spans="1:7" ht="13.8">
      <c r="A588" s="60" t="s">
        <v>869</v>
      </c>
      <c r="B588" s="176" t="s">
        <v>871</v>
      </c>
      <c r="C588" s="174" t="s">
        <v>325</v>
      </c>
      <c r="D588" s="142"/>
      <c r="E588" s="16"/>
      <c r="F588" s="15"/>
      <c r="G588" s="15"/>
    </row>
    <row r="589" spans="1:7" ht="13.8">
      <c r="A589" s="15"/>
      <c r="B589" s="47"/>
      <c r="C589" s="15"/>
      <c r="D589" s="142"/>
      <c r="E589" s="16"/>
      <c r="F589" s="15"/>
      <c r="G589" s="15"/>
    </row>
    <row r="590" spans="1:7" s="178" customFormat="1" ht="13.8">
      <c r="A590" s="60"/>
      <c r="B590" s="177" t="s">
        <v>0</v>
      </c>
      <c r="C590" s="14" t="s">
        <v>1022</v>
      </c>
      <c r="D590" s="179"/>
      <c r="E590" s="180"/>
      <c r="F590" s="14"/>
      <c r="G590" s="14"/>
    </row>
    <row r="591" spans="1:7" s="160" customFormat="1" ht="82.5" customHeight="1">
      <c r="A591" s="17"/>
      <c r="B591" s="18" t="s">
        <v>252</v>
      </c>
      <c r="C591" s="32" t="s">
        <v>1234</v>
      </c>
      <c r="D591" s="71"/>
      <c r="E591" s="31"/>
      <c r="F591" s="15"/>
      <c r="G591" s="15"/>
    </row>
    <row r="592" spans="1:7" s="160" customFormat="1" ht="13.8">
      <c r="A592" s="15"/>
      <c r="B592" s="15"/>
      <c r="C592" s="32" t="s">
        <v>1231</v>
      </c>
      <c r="D592" s="71" t="s">
        <v>265</v>
      </c>
      <c r="E592" s="29">
        <v>55</v>
      </c>
      <c r="F592" s="12">
        <v>50</v>
      </c>
      <c r="G592" s="85">
        <f>E592*F592</f>
        <v>2750</v>
      </c>
    </row>
    <row r="593" spans="1:7" s="160" customFormat="1" ht="13.8">
      <c r="A593" s="15"/>
      <c r="B593" s="15"/>
      <c r="C593" s="32" t="s">
        <v>1000</v>
      </c>
      <c r="D593" s="142" t="s">
        <v>266</v>
      </c>
      <c r="E593" s="29">
        <v>55</v>
      </c>
      <c r="F593" s="12">
        <v>10</v>
      </c>
      <c r="G593" s="85">
        <f>E593*F593</f>
        <v>550</v>
      </c>
    </row>
    <row r="594" spans="1:7" s="160" customFormat="1" ht="13.8">
      <c r="A594" s="15"/>
      <c r="B594" s="15"/>
      <c r="C594" s="30"/>
      <c r="D594" s="21"/>
      <c r="E594" s="31"/>
      <c r="F594" s="15"/>
      <c r="G594" s="15"/>
    </row>
    <row r="595" spans="1:7" s="160" customFormat="1" ht="120" customHeight="1">
      <c r="A595" s="17"/>
      <c r="B595" s="18" t="s">
        <v>254</v>
      </c>
      <c r="C595" s="32" t="s">
        <v>1235</v>
      </c>
      <c r="D595" s="71"/>
      <c r="E595" s="31"/>
      <c r="F595" s="15"/>
      <c r="G595" s="15"/>
    </row>
    <row r="596" spans="1:7" s="160" customFormat="1" ht="13.8">
      <c r="A596" s="15"/>
      <c r="B596" s="15"/>
      <c r="C596" s="32" t="s">
        <v>1232</v>
      </c>
      <c r="D596" s="71" t="s">
        <v>268</v>
      </c>
      <c r="E596" s="29">
        <v>18</v>
      </c>
      <c r="F596" s="12">
        <v>50</v>
      </c>
      <c r="G596" s="85">
        <f>F596*E596</f>
        <v>900</v>
      </c>
    </row>
    <row r="597" spans="1:7" s="160" customFormat="1" ht="13.8">
      <c r="A597" s="15"/>
      <c r="B597" s="15"/>
      <c r="C597" s="32" t="s">
        <v>998</v>
      </c>
      <c r="D597" s="142" t="s">
        <v>266</v>
      </c>
      <c r="E597" s="29">
        <v>18</v>
      </c>
      <c r="F597" s="12">
        <v>10</v>
      </c>
      <c r="G597" s="85">
        <f>F597*E597</f>
        <v>180</v>
      </c>
    </row>
    <row r="598" spans="1:7" s="160" customFormat="1" ht="13.8">
      <c r="A598" s="15"/>
      <c r="B598" s="15"/>
      <c r="C598" s="30"/>
      <c r="D598" s="21"/>
      <c r="E598" s="31"/>
      <c r="F598" s="15"/>
      <c r="G598" s="15"/>
    </row>
    <row r="599" spans="1:7" s="160" customFormat="1" ht="138">
      <c r="A599" s="17"/>
      <c r="B599" s="18" t="s">
        <v>257</v>
      </c>
      <c r="C599" s="22" t="s">
        <v>1104</v>
      </c>
      <c r="D599" s="21"/>
      <c r="E599" s="12"/>
      <c r="F599" s="12"/>
      <c r="G599" s="23"/>
    </row>
    <row r="600" spans="1:7" ht="13.8">
      <c r="A600" s="61"/>
      <c r="B600" s="18"/>
      <c r="C600" s="32" t="s">
        <v>281</v>
      </c>
      <c r="D600" s="21" t="s">
        <v>268</v>
      </c>
      <c r="E600" s="12">
        <v>12</v>
      </c>
      <c r="F600" s="12">
        <v>80</v>
      </c>
      <c r="G600" s="85">
        <f>E600*F600</f>
        <v>960</v>
      </c>
    </row>
    <row r="601" spans="1:7" ht="13.8">
      <c r="A601" s="47"/>
      <c r="B601" s="47"/>
      <c r="C601" s="47"/>
      <c r="D601" s="143"/>
      <c r="E601" s="48"/>
      <c r="F601" s="47"/>
      <c r="G601" s="47"/>
    </row>
    <row r="602" spans="1:7" s="178" customFormat="1" ht="13.8">
      <c r="A602" s="60"/>
      <c r="B602" s="177" t="s">
        <v>4</v>
      </c>
      <c r="C602" s="14" t="s">
        <v>867</v>
      </c>
      <c r="D602" s="179"/>
      <c r="E602" s="180"/>
      <c r="F602" s="14"/>
      <c r="G602" s="14"/>
    </row>
    <row r="603" spans="1:7" s="160" customFormat="1" ht="120" customHeight="1">
      <c r="A603" s="17"/>
      <c r="B603" s="18" t="s">
        <v>260</v>
      </c>
      <c r="C603" s="22" t="s">
        <v>1230</v>
      </c>
      <c r="D603" s="21" t="s">
        <v>268</v>
      </c>
      <c r="E603" s="12">
        <v>250</v>
      </c>
      <c r="F603" s="12">
        <v>50</v>
      </c>
      <c r="G603" s="85">
        <f>F603*E603</f>
        <v>12500</v>
      </c>
    </row>
    <row r="604" spans="1:7" ht="13.8">
      <c r="A604" s="74"/>
      <c r="B604" s="18"/>
      <c r="C604" s="32"/>
      <c r="D604" s="21"/>
      <c r="E604" s="157"/>
      <c r="F604" s="12"/>
      <c r="G604" s="85"/>
    </row>
    <row r="605" spans="1:7" s="160" customFormat="1" ht="124.2">
      <c r="A605" s="42"/>
      <c r="B605" s="18" t="s">
        <v>261</v>
      </c>
      <c r="C605" s="32" t="s">
        <v>1103</v>
      </c>
      <c r="D605" s="21" t="s">
        <v>268</v>
      </c>
      <c r="E605" s="12">
        <v>7</v>
      </c>
      <c r="F605" s="12">
        <v>100</v>
      </c>
      <c r="G605" s="85">
        <f>F605*E605</f>
        <v>700</v>
      </c>
    </row>
    <row r="606" spans="1:7" s="160" customFormat="1" ht="13.8">
      <c r="A606" s="15"/>
      <c r="B606" s="15"/>
      <c r="C606" s="30"/>
      <c r="D606" s="21"/>
      <c r="E606" s="31"/>
      <c r="F606" s="15"/>
      <c r="G606" s="15"/>
    </row>
    <row r="607" spans="1:7" s="160" customFormat="1" ht="93" customHeight="1">
      <c r="A607" s="17"/>
      <c r="B607" s="18" t="s">
        <v>262</v>
      </c>
      <c r="C607" s="32" t="s">
        <v>1233</v>
      </c>
      <c r="D607" s="71"/>
      <c r="E607" s="31"/>
      <c r="F607" s="15"/>
      <c r="G607" s="15"/>
    </row>
    <row r="608" spans="1:7" s="160" customFormat="1" ht="13.8">
      <c r="A608" s="15"/>
      <c r="B608" s="15"/>
      <c r="C608" s="32" t="s">
        <v>1232</v>
      </c>
      <c r="D608" s="71" t="s">
        <v>268</v>
      </c>
      <c r="E608" s="29">
        <v>48</v>
      </c>
      <c r="F608" s="12">
        <v>50</v>
      </c>
      <c r="G608" s="85">
        <f>F608*E608</f>
        <v>2400</v>
      </c>
    </row>
    <row r="609" spans="1:7" s="160" customFormat="1" ht="13.8">
      <c r="A609" s="15"/>
      <c r="B609" s="15"/>
      <c r="C609" s="32" t="s">
        <v>998</v>
      </c>
      <c r="D609" s="142" t="s">
        <v>266</v>
      </c>
      <c r="E609" s="29">
        <v>48</v>
      </c>
      <c r="F609" s="12">
        <v>10</v>
      </c>
      <c r="G609" s="85">
        <f>F609*E609</f>
        <v>480</v>
      </c>
    </row>
    <row r="610" spans="1:7" ht="13.8">
      <c r="A610" s="47"/>
      <c r="B610" s="47"/>
      <c r="C610" s="47"/>
      <c r="D610" s="143"/>
      <c r="E610" s="48"/>
      <c r="F610" s="47"/>
      <c r="G610" s="47"/>
    </row>
    <row r="611" spans="1:7" ht="13.8">
      <c r="A611" s="82" t="s">
        <v>869</v>
      </c>
      <c r="B611" s="49" t="s">
        <v>871</v>
      </c>
      <c r="C611" s="54" t="s">
        <v>784</v>
      </c>
      <c r="D611" s="153"/>
      <c r="E611" s="54"/>
      <c r="F611" s="54"/>
      <c r="G611" s="84">
        <f>SUM(G592:G609)</f>
        <v>21420</v>
      </c>
    </row>
    <row r="612" spans="1:7" ht="13.8">
      <c r="A612" s="80"/>
      <c r="B612" s="81"/>
      <c r="C612" s="51"/>
      <c r="D612" s="154"/>
      <c r="E612" s="51"/>
      <c r="F612" s="51"/>
      <c r="G612" s="52"/>
    </row>
    <row r="613" spans="1:7" ht="13.8">
      <c r="A613" s="15"/>
      <c r="B613" s="15"/>
      <c r="C613" s="30"/>
      <c r="D613" s="21"/>
      <c r="E613" s="31"/>
      <c r="F613" s="15"/>
      <c r="G613" s="15"/>
    </row>
    <row r="614" spans="1:7" ht="13.8">
      <c r="A614" s="60" t="s">
        <v>869</v>
      </c>
      <c r="B614" s="176" t="s">
        <v>872</v>
      </c>
      <c r="C614" s="174" t="s">
        <v>285</v>
      </c>
      <c r="D614" s="142"/>
      <c r="E614" s="16"/>
      <c r="F614" s="15"/>
      <c r="G614" s="15"/>
    </row>
    <row r="615" spans="1:7" ht="13.8">
      <c r="A615" s="15"/>
      <c r="B615" s="47"/>
      <c r="C615" s="15"/>
      <c r="D615" s="142"/>
      <c r="E615" s="16"/>
      <c r="F615" s="15"/>
      <c r="G615" s="15"/>
    </row>
    <row r="616" spans="1:7" s="178" customFormat="1" ht="13.8">
      <c r="A616" s="60"/>
      <c r="B616" s="177" t="s">
        <v>0</v>
      </c>
      <c r="C616" s="14" t="s">
        <v>1022</v>
      </c>
      <c r="D616" s="179"/>
      <c r="E616" s="180"/>
      <c r="F616" s="14"/>
      <c r="G616" s="14"/>
    </row>
    <row r="617" spans="1:7" s="772" customFormat="1" ht="196.5" customHeight="1">
      <c r="A617" s="766"/>
      <c r="B617" s="767" t="s">
        <v>252</v>
      </c>
      <c r="C617" s="768" t="s">
        <v>1079</v>
      </c>
      <c r="D617" s="769"/>
      <c r="E617" s="770"/>
      <c r="F617" s="770"/>
      <c r="G617" s="771"/>
    </row>
    <row r="618" spans="1:7" s="772" customFormat="1" ht="29.25" customHeight="1">
      <c r="A618" s="773"/>
      <c r="B618" s="774"/>
      <c r="C618" s="775" t="s">
        <v>2694</v>
      </c>
      <c r="D618" s="776" t="s">
        <v>266</v>
      </c>
      <c r="E618" s="777">
        <v>2</v>
      </c>
      <c r="F618" s="778"/>
      <c r="G618" s="802"/>
    </row>
    <row r="619" spans="1:7" s="772" customFormat="1" ht="29.25" customHeight="1">
      <c r="A619" s="773"/>
      <c r="B619" s="774"/>
      <c r="C619" s="775" t="s">
        <v>2695</v>
      </c>
      <c r="D619" s="776" t="s">
        <v>266</v>
      </c>
      <c r="E619" s="777">
        <v>8</v>
      </c>
      <c r="F619" s="778"/>
      <c r="G619" s="802"/>
    </row>
    <row r="620" spans="1:7" s="772" customFormat="1" ht="13.8">
      <c r="A620" s="773"/>
      <c r="B620" s="774"/>
      <c r="C620" s="770"/>
      <c r="D620" s="769"/>
      <c r="E620" s="770"/>
      <c r="F620" s="770"/>
      <c r="G620" s="771"/>
    </row>
    <row r="621" spans="1:7" s="772" customFormat="1" ht="194.25" customHeight="1">
      <c r="A621" s="766"/>
      <c r="B621" s="767" t="s">
        <v>254</v>
      </c>
      <c r="C621" s="768" t="s">
        <v>1087</v>
      </c>
      <c r="D621" s="769"/>
      <c r="E621" s="770"/>
      <c r="F621" s="770"/>
      <c r="G621" s="771"/>
    </row>
    <row r="622" spans="1:7" s="772" customFormat="1" ht="44.25" customHeight="1">
      <c r="A622" s="773"/>
      <c r="B622" s="774"/>
      <c r="C622" s="775" t="s">
        <v>2696</v>
      </c>
      <c r="D622" s="779" t="s">
        <v>266</v>
      </c>
      <c r="E622" s="780">
        <v>1</v>
      </c>
      <c r="F622" s="780"/>
      <c r="G622" s="802"/>
    </row>
    <row r="623" spans="1:7" s="772" customFormat="1" ht="13.8">
      <c r="A623" s="781"/>
      <c r="B623" s="781"/>
      <c r="C623" s="781"/>
      <c r="D623" s="782"/>
      <c r="E623" s="783"/>
      <c r="F623" s="781"/>
      <c r="G623" s="781"/>
    </row>
    <row r="624" spans="1:7" s="772" customFormat="1" ht="55.2">
      <c r="A624" s="784"/>
      <c r="B624" s="767" t="s">
        <v>1078</v>
      </c>
      <c r="C624" s="785" t="s">
        <v>1083</v>
      </c>
      <c r="D624" s="786"/>
      <c r="E624" s="787"/>
      <c r="F624" s="787"/>
      <c r="G624" s="787"/>
    </row>
    <row r="625" spans="1:7" s="772" customFormat="1" ht="96.6">
      <c r="A625" s="788"/>
      <c r="B625" s="789"/>
      <c r="C625" s="790" t="s">
        <v>1116</v>
      </c>
      <c r="D625" s="791"/>
      <c r="E625" s="790"/>
      <c r="F625" s="790"/>
      <c r="G625" s="792"/>
    </row>
    <row r="626" spans="1:7" s="772" customFormat="1" ht="82.8">
      <c r="A626" s="784"/>
      <c r="B626" s="767"/>
      <c r="C626" s="785" t="s">
        <v>1115</v>
      </c>
      <c r="D626" s="786"/>
      <c r="E626" s="787"/>
      <c r="F626" s="787"/>
      <c r="G626" s="787"/>
    </row>
    <row r="627" spans="1:7" s="772" customFormat="1" ht="27.6">
      <c r="A627" s="784"/>
      <c r="B627" s="767"/>
      <c r="C627" s="785" t="s">
        <v>1084</v>
      </c>
      <c r="D627" s="786"/>
      <c r="E627" s="787"/>
      <c r="F627" s="787"/>
      <c r="G627" s="787"/>
    </row>
    <row r="628" spans="1:7" s="772" customFormat="1" ht="55.2">
      <c r="A628" s="793"/>
      <c r="B628" s="774"/>
      <c r="C628" s="794" t="s">
        <v>2697</v>
      </c>
      <c r="D628" s="795" t="s">
        <v>291</v>
      </c>
      <c r="E628" s="796">
        <v>3</v>
      </c>
      <c r="F628" s="787"/>
      <c r="G628" s="801"/>
    </row>
    <row r="629" spans="1:7" s="772" customFormat="1" ht="41.4">
      <c r="A629" s="793"/>
      <c r="B629" s="774"/>
      <c r="C629" s="785" t="s">
        <v>1114</v>
      </c>
      <c r="D629" s="786"/>
      <c r="E629" s="787"/>
      <c r="F629" s="787"/>
      <c r="G629" s="787"/>
    </row>
    <row r="630" spans="1:7" s="772" customFormat="1" ht="69">
      <c r="A630" s="793"/>
      <c r="B630" s="774"/>
      <c r="C630" s="794" t="s">
        <v>2698</v>
      </c>
      <c r="D630" s="795" t="s">
        <v>291</v>
      </c>
      <c r="E630" s="796">
        <v>2</v>
      </c>
      <c r="F630" s="787"/>
      <c r="G630" s="801"/>
    </row>
    <row r="631" spans="1:7" s="772" customFormat="1" ht="13.8">
      <c r="A631" s="781"/>
      <c r="B631" s="781"/>
      <c r="C631" s="781"/>
      <c r="D631" s="782"/>
      <c r="E631" s="783"/>
      <c r="F631" s="781"/>
      <c r="G631" s="781"/>
    </row>
    <row r="632" spans="1:7" s="772" customFormat="1" ht="69" customHeight="1">
      <c r="A632" s="784"/>
      <c r="B632" s="767" t="s">
        <v>304</v>
      </c>
      <c r="C632" s="797" t="s">
        <v>1080</v>
      </c>
      <c r="D632" s="786"/>
      <c r="E632" s="787"/>
      <c r="F632" s="787"/>
      <c r="G632" s="787"/>
    </row>
    <row r="633" spans="1:7" s="772" customFormat="1" ht="196.5" customHeight="1">
      <c r="A633" s="798"/>
      <c r="B633" s="799"/>
      <c r="C633" s="797" t="s">
        <v>844</v>
      </c>
      <c r="D633" s="786"/>
      <c r="E633" s="787"/>
      <c r="F633" s="787"/>
      <c r="G633" s="787"/>
    </row>
    <row r="634" spans="1:7" s="772" customFormat="1" ht="92.25" customHeight="1">
      <c r="A634" s="798"/>
      <c r="B634" s="799"/>
      <c r="C634" s="797" t="s">
        <v>1081</v>
      </c>
      <c r="D634" s="786"/>
      <c r="E634" s="787"/>
      <c r="F634" s="787"/>
      <c r="G634" s="787"/>
    </row>
    <row r="635" spans="1:7" s="772" customFormat="1" ht="81.75" customHeight="1">
      <c r="A635" s="798"/>
      <c r="B635" s="799"/>
      <c r="C635" s="797" t="s">
        <v>861</v>
      </c>
      <c r="D635" s="786"/>
      <c r="E635" s="787"/>
      <c r="F635" s="787"/>
      <c r="G635" s="787"/>
    </row>
    <row r="636" spans="1:7" s="772" customFormat="1" ht="186" customHeight="1">
      <c r="A636" s="798"/>
      <c r="B636" s="799"/>
      <c r="C636" s="797" t="s">
        <v>862</v>
      </c>
      <c r="D636" s="786"/>
      <c r="E636" s="787"/>
      <c r="F636" s="787"/>
      <c r="G636" s="787"/>
    </row>
    <row r="637" spans="1:7" s="772" customFormat="1" ht="212.4" customHeight="1">
      <c r="A637" s="798"/>
      <c r="B637" s="799"/>
      <c r="C637" s="797" t="s">
        <v>863</v>
      </c>
      <c r="D637" s="786"/>
      <c r="E637" s="787"/>
      <c r="F637" s="787"/>
      <c r="G637" s="787"/>
    </row>
    <row r="638" spans="1:7" s="772" customFormat="1" ht="53.25" customHeight="1">
      <c r="A638" s="798"/>
      <c r="B638" s="799"/>
      <c r="C638" s="797" t="s">
        <v>632</v>
      </c>
      <c r="D638" s="786"/>
      <c r="E638" s="787"/>
      <c r="F638" s="787"/>
      <c r="G638" s="787"/>
    </row>
    <row r="639" spans="1:7" s="772" customFormat="1" ht="30" customHeight="1">
      <c r="A639" s="798"/>
      <c r="B639" s="799"/>
      <c r="C639" s="797" t="s">
        <v>2699</v>
      </c>
      <c r="D639" s="786"/>
      <c r="E639" s="787"/>
      <c r="F639" s="787"/>
      <c r="G639" s="787"/>
    </row>
    <row r="640" spans="1:7" s="772" customFormat="1" ht="81.75" customHeight="1">
      <c r="A640" s="798"/>
      <c r="B640" s="799"/>
      <c r="C640" s="800" t="s">
        <v>1085</v>
      </c>
      <c r="D640" s="786"/>
      <c r="E640" s="787"/>
      <c r="F640" s="787"/>
      <c r="G640" s="801"/>
    </row>
    <row r="641" spans="1:7" s="772" customFormat="1" ht="55.2">
      <c r="A641" s="798"/>
      <c r="B641" s="799"/>
      <c r="C641" s="800" t="s">
        <v>2692</v>
      </c>
      <c r="D641" s="786" t="s">
        <v>253</v>
      </c>
      <c r="E641" s="787">
        <v>1</v>
      </c>
      <c r="F641" s="787"/>
      <c r="G641" s="801"/>
    </row>
    <row r="642" spans="1:7" s="772" customFormat="1" ht="27.6">
      <c r="A642" s="798"/>
      <c r="B642" s="799"/>
      <c r="C642" s="797" t="s">
        <v>2700</v>
      </c>
      <c r="D642" s="786"/>
      <c r="E642" s="787"/>
      <c r="F642" s="787"/>
      <c r="G642" s="787"/>
    </row>
    <row r="643" spans="1:7" s="772" customFormat="1" ht="130.5" customHeight="1">
      <c r="A643" s="798"/>
      <c r="B643" s="799"/>
      <c r="C643" s="800" t="s">
        <v>1105</v>
      </c>
      <c r="D643" s="786"/>
      <c r="E643" s="787"/>
      <c r="F643" s="787"/>
      <c r="G643" s="787"/>
    </row>
    <row r="644" spans="1:7" s="772" customFormat="1" ht="43.5" customHeight="1">
      <c r="A644" s="798"/>
      <c r="B644" s="799"/>
      <c r="C644" s="800" t="s">
        <v>2693</v>
      </c>
      <c r="D644" s="786" t="s">
        <v>253</v>
      </c>
      <c r="E644" s="787">
        <v>1</v>
      </c>
      <c r="F644" s="787"/>
      <c r="G644" s="801"/>
    </row>
    <row r="645" spans="1:7" s="809" customFormat="1" ht="13.8">
      <c r="A645" s="810"/>
      <c r="B645" s="811"/>
      <c r="C645" s="807"/>
      <c r="D645" s="806"/>
      <c r="E645" s="807"/>
      <c r="F645" s="807"/>
      <c r="G645" s="808"/>
    </row>
    <row r="646" spans="1:7" s="809" customFormat="1" ht="196.5" customHeight="1">
      <c r="A646" s="803"/>
      <c r="B646" s="804" t="s">
        <v>252</v>
      </c>
      <c r="C646" s="805" t="s">
        <v>1079</v>
      </c>
      <c r="D646" s="806"/>
      <c r="E646" s="807"/>
      <c r="F646" s="807"/>
      <c r="G646" s="808"/>
    </row>
    <row r="647" spans="1:7" s="809" customFormat="1" ht="29.25" customHeight="1">
      <c r="A647" s="810"/>
      <c r="B647" s="811"/>
      <c r="C647" s="812" t="s">
        <v>2701</v>
      </c>
      <c r="D647" s="813" t="s">
        <v>266</v>
      </c>
      <c r="E647" s="814">
        <v>8</v>
      </c>
      <c r="F647" s="815">
        <v>3000</v>
      </c>
      <c r="G647" s="816">
        <f>E647*F647</f>
        <v>24000</v>
      </c>
    </row>
    <row r="648" spans="1:7" s="809" customFormat="1" ht="29.25" customHeight="1">
      <c r="A648" s="810"/>
      <c r="B648" s="811"/>
      <c r="C648" s="812" t="s">
        <v>2702</v>
      </c>
      <c r="D648" s="813" t="s">
        <v>266</v>
      </c>
      <c r="E648" s="814">
        <v>2</v>
      </c>
      <c r="F648" s="815">
        <v>3000</v>
      </c>
      <c r="G648" s="816">
        <f>E648*F648</f>
        <v>6000</v>
      </c>
    </row>
    <row r="649" spans="1:7" s="809" customFormat="1" ht="13.8">
      <c r="A649" s="810"/>
      <c r="B649" s="811"/>
      <c r="C649" s="807"/>
      <c r="D649" s="806"/>
      <c r="E649" s="807"/>
      <c r="F649" s="807"/>
      <c r="G649" s="808"/>
    </row>
    <row r="650" spans="1:7" s="809" customFormat="1" ht="194.25" customHeight="1">
      <c r="A650" s="803"/>
      <c r="B650" s="804" t="s">
        <v>254</v>
      </c>
      <c r="C650" s="805" t="s">
        <v>1087</v>
      </c>
      <c r="D650" s="806"/>
      <c r="E650" s="807"/>
      <c r="F650" s="807"/>
      <c r="G650" s="808"/>
    </row>
    <row r="651" spans="1:7" s="809" customFormat="1" ht="44.25" customHeight="1">
      <c r="A651" s="810"/>
      <c r="B651" s="811"/>
      <c r="C651" s="812" t="s">
        <v>2703</v>
      </c>
      <c r="D651" s="817" t="s">
        <v>266</v>
      </c>
      <c r="E651" s="818">
        <v>1</v>
      </c>
      <c r="F651" s="818">
        <v>6100</v>
      </c>
      <c r="G651" s="816">
        <f>E651*F651</f>
        <v>6100</v>
      </c>
    </row>
    <row r="652" spans="1:7" s="809" customFormat="1" ht="13.8">
      <c r="A652" s="819"/>
      <c r="B652" s="819"/>
      <c r="C652" s="819"/>
      <c r="D652" s="820"/>
      <c r="E652" s="821"/>
      <c r="F652" s="819"/>
      <c r="G652" s="819"/>
    </row>
    <row r="653" spans="1:7" s="809" customFormat="1" ht="55.2">
      <c r="A653" s="822"/>
      <c r="B653" s="804" t="s">
        <v>1078</v>
      </c>
      <c r="C653" s="823" t="s">
        <v>1083</v>
      </c>
      <c r="D653" s="824"/>
      <c r="E653" s="825"/>
      <c r="F653" s="825"/>
      <c r="G653" s="825"/>
    </row>
    <row r="654" spans="1:7" s="809" customFormat="1" ht="96.6">
      <c r="A654" s="826"/>
      <c r="B654" s="827"/>
      <c r="C654" s="828" t="s">
        <v>1116</v>
      </c>
      <c r="D654" s="829"/>
      <c r="E654" s="828"/>
      <c r="F654" s="828"/>
      <c r="G654" s="830"/>
    </row>
    <row r="655" spans="1:7" s="809" customFormat="1" ht="82.8">
      <c r="A655" s="822"/>
      <c r="B655" s="804"/>
      <c r="C655" s="823" t="s">
        <v>1115</v>
      </c>
      <c r="D655" s="824"/>
      <c r="E655" s="825"/>
      <c r="F655" s="825"/>
      <c r="G655" s="825"/>
    </row>
    <row r="656" spans="1:7" s="809" customFormat="1" ht="27.6">
      <c r="A656" s="822"/>
      <c r="B656" s="804"/>
      <c r="C656" s="823" t="s">
        <v>1084</v>
      </c>
      <c r="D656" s="824"/>
      <c r="E656" s="825"/>
      <c r="F656" s="825"/>
      <c r="G656" s="825"/>
    </row>
    <row r="657" spans="1:7" s="809" customFormat="1" ht="55.2">
      <c r="A657" s="831"/>
      <c r="B657" s="811"/>
      <c r="C657" s="832" t="s">
        <v>2704</v>
      </c>
      <c r="D657" s="833" t="s">
        <v>291</v>
      </c>
      <c r="E657" s="834">
        <v>3</v>
      </c>
      <c r="F657" s="825">
        <v>900</v>
      </c>
      <c r="G657" s="835">
        <f t="shared" ref="G657" si="2">E657*F657</f>
        <v>2700</v>
      </c>
    </row>
    <row r="658" spans="1:7" s="809" customFormat="1" ht="41.4">
      <c r="A658" s="831"/>
      <c r="B658" s="811"/>
      <c r="C658" s="823" t="s">
        <v>1114</v>
      </c>
      <c r="D658" s="824"/>
      <c r="E658" s="825"/>
      <c r="F658" s="825"/>
      <c r="G658" s="825"/>
    </row>
    <row r="659" spans="1:7" s="809" customFormat="1" ht="69">
      <c r="A659" s="831"/>
      <c r="B659" s="811"/>
      <c r="C659" s="832" t="s">
        <v>2705</v>
      </c>
      <c r="D659" s="833" t="s">
        <v>291</v>
      </c>
      <c r="E659" s="834">
        <v>2</v>
      </c>
      <c r="F659" s="825">
        <v>900</v>
      </c>
      <c r="G659" s="835">
        <f t="shared" ref="G659" si="3">E659*F659</f>
        <v>1800</v>
      </c>
    </row>
    <row r="660" spans="1:7" s="809" customFormat="1" ht="13.8">
      <c r="A660" s="819"/>
      <c r="B660" s="819"/>
      <c r="C660" s="819"/>
      <c r="D660" s="820"/>
      <c r="E660" s="821"/>
      <c r="F660" s="819"/>
      <c r="G660" s="819"/>
    </row>
    <row r="661" spans="1:7" s="809" customFormat="1" ht="69" customHeight="1">
      <c r="A661" s="822"/>
      <c r="B661" s="804" t="s">
        <v>304</v>
      </c>
      <c r="C661" s="836" t="s">
        <v>1080</v>
      </c>
      <c r="D661" s="824"/>
      <c r="E661" s="825"/>
      <c r="F661" s="825"/>
      <c r="G661" s="825"/>
    </row>
    <row r="662" spans="1:7" s="809" customFormat="1" ht="196.5" customHeight="1">
      <c r="A662" s="837"/>
      <c r="B662" s="838"/>
      <c r="C662" s="836" t="s">
        <v>844</v>
      </c>
      <c r="D662" s="824"/>
      <c r="E662" s="825"/>
      <c r="F662" s="825"/>
      <c r="G662" s="825"/>
    </row>
    <row r="663" spans="1:7" s="809" customFormat="1" ht="92.25" customHeight="1">
      <c r="A663" s="837"/>
      <c r="B663" s="838"/>
      <c r="C663" s="836" t="s">
        <v>1081</v>
      </c>
      <c r="D663" s="824"/>
      <c r="E663" s="825"/>
      <c r="F663" s="825"/>
      <c r="G663" s="825"/>
    </row>
    <row r="664" spans="1:7" s="809" customFormat="1" ht="81.75" customHeight="1">
      <c r="A664" s="837"/>
      <c r="B664" s="838"/>
      <c r="C664" s="836" t="s">
        <v>861</v>
      </c>
      <c r="D664" s="824"/>
      <c r="E664" s="825"/>
      <c r="F664" s="825"/>
      <c r="G664" s="825"/>
    </row>
    <row r="665" spans="1:7" s="809" customFormat="1" ht="169.5" customHeight="1">
      <c r="A665" s="837"/>
      <c r="B665" s="838"/>
      <c r="C665" s="836" t="s">
        <v>862</v>
      </c>
      <c r="D665" s="824"/>
      <c r="E665" s="825"/>
      <c r="F665" s="825"/>
      <c r="G665" s="825"/>
    </row>
    <row r="666" spans="1:7" s="809" customFormat="1" ht="212.4" customHeight="1">
      <c r="A666" s="837"/>
      <c r="B666" s="838"/>
      <c r="C666" s="836" t="s">
        <v>863</v>
      </c>
      <c r="D666" s="824"/>
      <c r="E666" s="825"/>
      <c r="F666" s="825"/>
      <c r="G666" s="825"/>
    </row>
    <row r="667" spans="1:7" s="809" customFormat="1" ht="53.25" customHeight="1">
      <c r="A667" s="837"/>
      <c r="B667" s="838"/>
      <c r="C667" s="836" t="s">
        <v>632</v>
      </c>
      <c r="D667" s="824"/>
      <c r="E667" s="825"/>
      <c r="F667" s="825"/>
      <c r="G667" s="825"/>
    </row>
    <row r="668" spans="1:7" s="809" customFormat="1" ht="30" customHeight="1">
      <c r="A668" s="837"/>
      <c r="B668" s="838"/>
      <c r="C668" s="836" t="s">
        <v>2706</v>
      </c>
      <c r="D668" s="824"/>
      <c r="E668" s="825"/>
      <c r="F668" s="825"/>
      <c r="G668" s="825"/>
    </row>
    <row r="669" spans="1:7" s="809" customFormat="1" ht="81.75" customHeight="1">
      <c r="A669" s="837"/>
      <c r="B669" s="838"/>
      <c r="C669" s="839" t="s">
        <v>1085</v>
      </c>
      <c r="D669" s="824"/>
      <c r="E669" s="825"/>
      <c r="F669" s="825"/>
      <c r="G669" s="840"/>
    </row>
    <row r="670" spans="1:7" s="809" customFormat="1" ht="54.75" customHeight="1">
      <c r="A670" s="837"/>
      <c r="B670" s="838"/>
      <c r="C670" s="839" t="s">
        <v>2707</v>
      </c>
      <c r="D670" s="824" t="s">
        <v>253</v>
      </c>
      <c r="E670" s="825">
        <v>1</v>
      </c>
      <c r="F670" s="825">
        <v>1500</v>
      </c>
      <c r="G670" s="835">
        <f>E670*F670</f>
        <v>1500</v>
      </c>
    </row>
    <row r="671" spans="1:7" s="809" customFormat="1" ht="27.6">
      <c r="A671" s="837"/>
      <c r="B671" s="838"/>
      <c r="C671" s="836" t="s">
        <v>2708</v>
      </c>
      <c r="D671" s="824"/>
      <c r="E671" s="825"/>
      <c r="F671" s="825"/>
      <c r="G671" s="825"/>
    </row>
    <row r="672" spans="1:7" s="809" customFormat="1" ht="130.5" customHeight="1">
      <c r="A672" s="837"/>
      <c r="B672" s="838"/>
      <c r="C672" s="839" t="s">
        <v>1105</v>
      </c>
      <c r="D672" s="824"/>
      <c r="E672" s="825"/>
      <c r="F672" s="825"/>
      <c r="G672" s="825"/>
    </row>
    <row r="673" spans="1:7" s="809" customFormat="1" ht="43.5" customHeight="1">
      <c r="A673" s="837"/>
      <c r="B673" s="838"/>
      <c r="C673" s="839" t="s">
        <v>2693</v>
      </c>
      <c r="D673" s="824" t="s">
        <v>253</v>
      </c>
      <c r="E673" s="825">
        <v>1</v>
      </c>
      <c r="F673" s="825">
        <v>2000</v>
      </c>
      <c r="G673" s="835">
        <f>E673*F673</f>
        <v>2000</v>
      </c>
    </row>
    <row r="674" spans="1:7" ht="13.8">
      <c r="A674" s="47"/>
      <c r="B674" s="47"/>
      <c r="C674" s="47"/>
      <c r="D674" s="143"/>
      <c r="E674" s="48"/>
      <c r="F674" s="47"/>
      <c r="G674" s="47"/>
    </row>
    <row r="675" spans="1:7" s="178" customFormat="1" ht="13.8">
      <c r="A675" s="60"/>
      <c r="B675" s="177" t="s">
        <v>4</v>
      </c>
      <c r="C675" s="14" t="s">
        <v>867</v>
      </c>
      <c r="D675" s="179"/>
      <c r="E675" s="180"/>
      <c r="F675" s="14"/>
      <c r="G675" s="14"/>
    </row>
    <row r="676" spans="1:7" s="772" customFormat="1" ht="55.2">
      <c r="A676" s="784"/>
      <c r="B676" s="767" t="s">
        <v>260</v>
      </c>
      <c r="C676" s="785" t="s">
        <v>1106</v>
      </c>
      <c r="D676" s="786"/>
      <c r="E676" s="787"/>
      <c r="F676" s="787"/>
      <c r="G676" s="787"/>
    </row>
    <row r="677" spans="1:7" s="772" customFormat="1" ht="96.6">
      <c r="A677" s="788"/>
      <c r="B677" s="789"/>
      <c r="C677" s="790" t="s">
        <v>1116</v>
      </c>
      <c r="D677" s="791"/>
      <c r="E677" s="790"/>
      <c r="F677" s="790"/>
      <c r="G677" s="792"/>
    </row>
    <row r="678" spans="1:7" s="772" customFormat="1" ht="82.8">
      <c r="A678" s="784"/>
      <c r="B678" s="767"/>
      <c r="C678" s="785" t="s">
        <v>858</v>
      </c>
      <c r="D678" s="786"/>
      <c r="E678" s="787"/>
      <c r="F678" s="787"/>
      <c r="G678" s="787"/>
    </row>
    <row r="679" spans="1:7" s="772" customFormat="1" ht="27.6">
      <c r="A679" s="784"/>
      <c r="B679" s="767"/>
      <c r="C679" s="785" t="s">
        <v>1084</v>
      </c>
      <c r="D679" s="786"/>
      <c r="E679" s="787"/>
      <c r="F679" s="787"/>
      <c r="G679" s="787"/>
    </row>
    <row r="680" spans="1:7" s="772" customFormat="1" ht="69.75" customHeight="1">
      <c r="A680" s="793"/>
      <c r="B680" s="774"/>
      <c r="C680" s="794" t="s">
        <v>2709</v>
      </c>
      <c r="D680" s="795" t="s">
        <v>291</v>
      </c>
      <c r="E680" s="796">
        <v>2</v>
      </c>
      <c r="F680" s="787"/>
      <c r="G680" s="801"/>
    </row>
    <row r="681" spans="1:7" s="772" customFormat="1" ht="69">
      <c r="A681" s="793"/>
      <c r="B681" s="774"/>
      <c r="C681" s="794" t="s">
        <v>2698</v>
      </c>
      <c r="D681" s="795" t="s">
        <v>291</v>
      </c>
      <c r="E681" s="796">
        <v>4</v>
      </c>
      <c r="F681" s="787"/>
      <c r="G681" s="801"/>
    </row>
    <row r="682" spans="1:7" s="772" customFormat="1" ht="27.6">
      <c r="A682" s="793"/>
      <c r="B682" s="774"/>
      <c r="C682" s="794" t="s">
        <v>2710</v>
      </c>
      <c r="D682" s="795" t="s">
        <v>291</v>
      </c>
      <c r="E682" s="796">
        <v>3</v>
      </c>
      <c r="F682" s="787"/>
      <c r="G682" s="801"/>
    </row>
    <row r="683" spans="1:7" ht="13.8">
      <c r="A683" s="47"/>
      <c r="B683" s="47"/>
      <c r="C683" s="47"/>
      <c r="D683" s="143"/>
      <c r="E683" s="48"/>
      <c r="F683" s="47"/>
      <c r="G683" s="47"/>
    </row>
    <row r="684" spans="1:7" s="809" customFormat="1" ht="55.2">
      <c r="A684" s="822"/>
      <c r="B684" s="804" t="s">
        <v>260</v>
      </c>
      <c r="C684" s="823" t="s">
        <v>1106</v>
      </c>
      <c r="D684" s="824"/>
      <c r="E684" s="825"/>
      <c r="F684" s="825"/>
      <c r="G684" s="825"/>
    </row>
    <row r="685" spans="1:7" s="809" customFormat="1" ht="96.6">
      <c r="A685" s="826"/>
      <c r="B685" s="827"/>
      <c r="C685" s="828" t="s">
        <v>1116</v>
      </c>
      <c r="D685" s="829"/>
      <c r="E685" s="828"/>
      <c r="F685" s="828"/>
      <c r="G685" s="830"/>
    </row>
    <row r="686" spans="1:7" s="809" customFormat="1" ht="82.8">
      <c r="A686" s="822"/>
      <c r="B686" s="804"/>
      <c r="C686" s="823" t="s">
        <v>858</v>
      </c>
      <c r="D686" s="824"/>
      <c r="E686" s="825"/>
      <c r="F686" s="825"/>
      <c r="G686" s="825"/>
    </row>
    <row r="687" spans="1:7" s="809" customFormat="1" ht="27.6">
      <c r="A687" s="822"/>
      <c r="B687" s="804"/>
      <c r="C687" s="823" t="s">
        <v>1084</v>
      </c>
      <c r="D687" s="824"/>
      <c r="E687" s="825"/>
      <c r="F687" s="825"/>
      <c r="G687" s="825"/>
    </row>
    <row r="688" spans="1:7" s="809" customFormat="1" ht="69">
      <c r="A688" s="831"/>
      <c r="B688" s="811"/>
      <c r="C688" s="832" t="s">
        <v>2705</v>
      </c>
      <c r="D688" s="833" t="s">
        <v>291</v>
      </c>
      <c r="E688" s="834">
        <v>5</v>
      </c>
      <c r="F688" s="825">
        <v>900</v>
      </c>
      <c r="G688" s="835">
        <f t="shared" ref="G688" si="4">E688*F688</f>
        <v>4500</v>
      </c>
    </row>
    <row r="689" spans="1:7" s="809" customFormat="1" ht="69.75" customHeight="1">
      <c r="A689" s="831"/>
      <c r="B689" s="811"/>
      <c r="C689" s="832" t="s">
        <v>2716</v>
      </c>
      <c r="D689" s="833" t="s">
        <v>291</v>
      </c>
      <c r="E689" s="834">
        <v>1</v>
      </c>
      <c r="F689" s="825">
        <v>900</v>
      </c>
      <c r="G689" s="835">
        <f>E689*F689</f>
        <v>900</v>
      </c>
    </row>
    <row r="690" spans="1:7" s="809" customFormat="1" ht="13.8">
      <c r="A690" s="819"/>
      <c r="B690" s="819"/>
      <c r="C690" s="819"/>
      <c r="D690" s="820"/>
      <c r="E690" s="821"/>
      <c r="F690" s="819"/>
      <c r="G690" s="819"/>
    </row>
    <row r="691" spans="1:7" s="809" customFormat="1" ht="56.25" customHeight="1">
      <c r="A691" s="822"/>
      <c r="B691" s="804" t="s">
        <v>261</v>
      </c>
      <c r="C691" s="836" t="s">
        <v>2711</v>
      </c>
      <c r="D691" s="824"/>
      <c r="E691" s="825"/>
      <c r="F691" s="825"/>
      <c r="G691" s="825"/>
    </row>
    <row r="692" spans="1:7" s="809" customFormat="1" ht="196.5" customHeight="1">
      <c r="A692" s="837"/>
      <c r="B692" s="838"/>
      <c r="C692" s="836" t="s">
        <v>844</v>
      </c>
      <c r="D692" s="824"/>
      <c r="E692" s="825"/>
      <c r="F692" s="825"/>
      <c r="G692" s="825"/>
    </row>
    <row r="693" spans="1:7" s="809" customFormat="1" ht="93" customHeight="1">
      <c r="A693" s="837"/>
      <c r="B693" s="838"/>
      <c r="C693" s="836" t="s">
        <v>2712</v>
      </c>
      <c r="D693" s="824"/>
      <c r="E693" s="825"/>
      <c r="F693" s="825"/>
      <c r="G693" s="825"/>
    </row>
    <row r="694" spans="1:7" s="809" customFormat="1" ht="171" customHeight="1">
      <c r="A694" s="837"/>
      <c r="B694" s="838"/>
      <c r="C694" s="836" t="s">
        <v>862</v>
      </c>
      <c r="D694" s="824"/>
      <c r="E694" s="825"/>
      <c r="F694" s="825"/>
      <c r="G694" s="825"/>
    </row>
    <row r="695" spans="1:7" s="809" customFormat="1" ht="207.75" customHeight="1">
      <c r="A695" s="837"/>
      <c r="B695" s="838"/>
      <c r="C695" s="836" t="s">
        <v>863</v>
      </c>
      <c r="D695" s="824"/>
      <c r="E695" s="825"/>
      <c r="F695" s="825"/>
      <c r="G695" s="825"/>
    </row>
    <row r="696" spans="1:7" s="809" customFormat="1" ht="53.25" customHeight="1">
      <c r="A696" s="837"/>
      <c r="B696" s="838"/>
      <c r="C696" s="836" t="s">
        <v>632</v>
      </c>
      <c r="D696" s="824"/>
      <c r="E696" s="825"/>
      <c r="F696" s="825"/>
      <c r="G696" s="825"/>
    </row>
    <row r="697" spans="1:7" s="809" customFormat="1" ht="30" customHeight="1">
      <c r="A697" s="837"/>
      <c r="B697" s="838"/>
      <c r="C697" s="836" t="s">
        <v>2717</v>
      </c>
      <c r="D697" s="824"/>
      <c r="E697" s="825"/>
      <c r="F697" s="825"/>
      <c r="G697" s="825"/>
    </row>
    <row r="698" spans="1:7" s="809" customFormat="1" ht="69" customHeight="1">
      <c r="A698" s="837"/>
      <c r="B698" s="838"/>
      <c r="C698" s="839" t="s">
        <v>2713</v>
      </c>
      <c r="D698" s="824" t="s">
        <v>291</v>
      </c>
      <c r="E698" s="825">
        <v>1</v>
      </c>
      <c r="F698" s="825">
        <v>650</v>
      </c>
      <c r="G698" s="835">
        <f>E698*F698</f>
        <v>650</v>
      </c>
    </row>
    <row r="699" spans="1:7" s="809" customFormat="1" ht="30" customHeight="1">
      <c r="A699" s="837"/>
      <c r="B699" s="838"/>
      <c r="C699" s="836" t="s">
        <v>2718</v>
      </c>
      <c r="D699" s="824"/>
      <c r="E699" s="825"/>
      <c r="F699" s="825"/>
      <c r="G699" s="825"/>
    </row>
    <row r="700" spans="1:7" s="809" customFormat="1" ht="69" customHeight="1">
      <c r="A700" s="837"/>
      <c r="B700" s="838"/>
      <c r="C700" s="839" t="s">
        <v>2714</v>
      </c>
      <c r="D700" s="824" t="s">
        <v>291</v>
      </c>
      <c r="E700" s="825">
        <v>2</v>
      </c>
      <c r="F700" s="825">
        <v>500</v>
      </c>
      <c r="G700" s="835">
        <f>E700*F700</f>
        <v>1000</v>
      </c>
    </row>
    <row r="701" spans="1:7" s="809" customFormat="1" ht="30" customHeight="1">
      <c r="A701" s="837"/>
      <c r="B701" s="838"/>
      <c r="C701" s="836" t="s">
        <v>2719</v>
      </c>
      <c r="D701" s="824"/>
      <c r="E701" s="825"/>
      <c r="F701" s="825"/>
      <c r="G701" s="825"/>
    </row>
    <row r="702" spans="1:7" s="809" customFormat="1" ht="31.5" customHeight="1">
      <c r="A702" s="837"/>
      <c r="B702" s="838"/>
      <c r="C702" s="839" t="s">
        <v>2715</v>
      </c>
      <c r="D702" s="824" t="s">
        <v>291</v>
      </c>
      <c r="E702" s="825">
        <v>2</v>
      </c>
      <c r="F702" s="825">
        <v>200</v>
      </c>
      <c r="G702" s="835">
        <f>E702*F702</f>
        <v>400</v>
      </c>
    </row>
    <row r="703" spans="1:7" ht="13.8">
      <c r="A703" s="47"/>
      <c r="B703" s="47"/>
      <c r="C703" s="47"/>
      <c r="D703" s="143"/>
      <c r="E703" s="48"/>
      <c r="F703" s="47"/>
      <c r="G703" s="47"/>
    </row>
    <row r="704" spans="1:7" ht="13.8">
      <c r="A704" s="82" t="s">
        <v>869</v>
      </c>
      <c r="B704" s="49" t="s">
        <v>872</v>
      </c>
      <c r="C704" s="54" t="s">
        <v>758</v>
      </c>
      <c r="D704" s="153"/>
      <c r="E704" s="54"/>
      <c r="F704" s="54"/>
      <c r="G704" s="84">
        <f>SUM(G647:G702)</f>
        <v>51550</v>
      </c>
    </row>
    <row r="705" spans="1:7" ht="13.8">
      <c r="A705" s="80"/>
      <c r="B705" s="81"/>
      <c r="C705" s="51"/>
      <c r="D705" s="154"/>
      <c r="E705" s="51"/>
      <c r="F705" s="51"/>
      <c r="G705" s="52"/>
    </row>
    <row r="706" spans="1:7" ht="13.8">
      <c r="A706" s="47"/>
      <c r="B706" s="47"/>
      <c r="C706" s="47"/>
      <c r="D706" s="143"/>
      <c r="E706" s="48"/>
      <c r="F706" s="47"/>
      <c r="G706" s="47"/>
    </row>
    <row r="707" spans="1:7" ht="13.8">
      <c r="A707" s="60" t="s">
        <v>869</v>
      </c>
      <c r="B707" s="176" t="s">
        <v>874</v>
      </c>
      <c r="C707" s="174" t="s">
        <v>1082</v>
      </c>
      <c r="D707" s="142"/>
      <c r="E707" s="16"/>
      <c r="F707" s="15"/>
      <c r="G707" s="15"/>
    </row>
    <row r="708" spans="1:7" ht="13.8">
      <c r="A708" s="80"/>
      <c r="B708" s="81"/>
      <c r="C708" s="51"/>
      <c r="D708" s="154"/>
      <c r="E708" s="51"/>
      <c r="F708" s="51"/>
      <c r="G708" s="52"/>
    </row>
    <row r="709" spans="1:7" ht="13.8">
      <c r="A709" s="60"/>
      <c r="B709" s="176" t="s">
        <v>1135</v>
      </c>
      <c r="C709" s="174" t="s">
        <v>1086</v>
      </c>
      <c r="D709" s="142"/>
      <c r="E709" s="16"/>
      <c r="F709" s="15"/>
      <c r="G709" s="15"/>
    </row>
    <row r="710" spans="1:7" ht="13.8">
      <c r="A710" s="15"/>
      <c r="B710" s="47"/>
      <c r="C710" s="15"/>
      <c r="D710" s="142"/>
      <c r="E710" s="16"/>
      <c r="F710" s="15"/>
      <c r="G710" s="15"/>
    </row>
    <row r="711" spans="1:7" s="178" customFormat="1" ht="13.8">
      <c r="A711" s="60"/>
      <c r="B711" s="177" t="s">
        <v>4</v>
      </c>
      <c r="C711" s="14" t="s">
        <v>867</v>
      </c>
      <c r="D711" s="179"/>
      <c r="E711" s="180"/>
      <c r="F711" s="14"/>
      <c r="G711" s="14"/>
    </row>
    <row r="712" spans="1:7" s="772" customFormat="1" ht="135" customHeight="1">
      <c r="A712" s="766"/>
      <c r="B712" s="767" t="s">
        <v>260</v>
      </c>
      <c r="C712" s="842" t="s">
        <v>1108</v>
      </c>
      <c r="D712" s="843"/>
    </row>
    <row r="713" spans="1:7" s="772" customFormat="1" ht="41.4">
      <c r="C713" s="842" t="s">
        <v>2651</v>
      </c>
      <c r="D713" s="843"/>
    </row>
    <row r="714" spans="1:7" s="772" customFormat="1" ht="58.2" customHeight="1">
      <c r="A714" s="793"/>
      <c r="B714" s="774"/>
      <c r="C714" s="844" t="s">
        <v>1088</v>
      </c>
      <c r="D714" s="845"/>
      <c r="E714" s="846"/>
      <c r="F714" s="770"/>
      <c r="G714" s="771"/>
    </row>
    <row r="715" spans="1:7" s="772" customFormat="1" ht="27.6">
      <c r="C715" s="847" t="s">
        <v>633</v>
      </c>
      <c r="D715" s="843"/>
    </row>
    <row r="716" spans="1:7" s="772" customFormat="1" ht="27.6">
      <c r="A716" s="784"/>
      <c r="B716" s="767"/>
      <c r="C716" s="785" t="s">
        <v>1084</v>
      </c>
      <c r="D716" s="786"/>
      <c r="E716" s="787"/>
      <c r="F716" s="787"/>
      <c r="G716" s="787"/>
    </row>
    <row r="717" spans="1:7" s="851" customFormat="1" ht="27.6">
      <c r="A717" s="848"/>
      <c r="B717" s="849"/>
      <c r="C717" s="850" t="s">
        <v>2720</v>
      </c>
      <c r="D717" s="795" t="s">
        <v>291</v>
      </c>
      <c r="E717" s="796">
        <v>15</v>
      </c>
      <c r="F717" s="787"/>
      <c r="G717" s="801"/>
    </row>
    <row r="718" spans="1:7" s="851" customFormat="1" ht="27.6">
      <c r="A718" s="848"/>
      <c r="B718" s="849"/>
      <c r="C718" s="850" t="s">
        <v>2721</v>
      </c>
      <c r="D718" s="795" t="s">
        <v>291</v>
      </c>
      <c r="E718" s="796">
        <v>3</v>
      </c>
      <c r="F718" s="787"/>
      <c r="G718" s="801"/>
    </row>
    <row r="719" spans="1:7" s="772" customFormat="1" ht="13.8">
      <c r="A719" s="852"/>
      <c r="B719" s="853"/>
      <c r="C719" s="854"/>
      <c r="D719" s="855"/>
      <c r="E719" s="854"/>
      <c r="F719" s="854"/>
      <c r="G719" s="856"/>
    </row>
    <row r="720" spans="1:7" s="772" customFormat="1" ht="94.5" customHeight="1">
      <c r="A720" s="766"/>
      <c r="B720" s="767" t="s">
        <v>261</v>
      </c>
      <c r="C720" s="842" t="s">
        <v>1117</v>
      </c>
      <c r="D720" s="843"/>
    </row>
    <row r="721" spans="1:7" s="772" customFormat="1" ht="41.4">
      <c r="C721" s="842" t="s">
        <v>2651</v>
      </c>
      <c r="D721" s="843"/>
    </row>
    <row r="722" spans="1:7" s="772" customFormat="1" ht="47.4" customHeight="1">
      <c r="A722" s="793"/>
      <c r="B722" s="774"/>
      <c r="C722" s="844" t="s">
        <v>1089</v>
      </c>
      <c r="D722" s="845"/>
      <c r="E722" s="846"/>
      <c r="F722" s="770"/>
      <c r="G722" s="771"/>
    </row>
    <row r="723" spans="1:7" s="772" customFormat="1" ht="27.6">
      <c r="C723" s="847" t="s">
        <v>633</v>
      </c>
      <c r="D723" s="843"/>
    </row>
    <row r="724" spans="1:7" s="772" customFormat="1" ht="27.6">
      <c r="A724" s="784"/>
      <c r="B724" s="767"/>
      <c r="C724" s="785" t="s">
        <v>1084</v>
      </c>
      <c r="D724" s="786"/>
      <c r="E724" s="787"/>
      <c r="F724" s="787"/>
      <c r="G724" s="787"/>
    </row>
    <row r="725" spans="1:7" s="851" customFormat="1" ht="27.6">
      <c r="A725" s="848"/>
      <c r="B725" s="849"/>
      <c r="C725" s="850" t="s">
        <v>2722</v>
      </c>
      <c r="D725" s="795" t="s">
        <v>291</v>
      </c>
      <c r="E725" s="796">
        <v>1</v>
      </c>
      <c r="F725" s="787"/>
      <c r="G725" s="801"/>
    </row>
    <row r="726" spans="1:7" s="772" customFormat="1" ht="13.8">
      <c r="A726" s="781"/>
      <c r="B726" s="781"/>
      <c r="C726" s="781"/>
      <c r="D726" s="782"/>
      <c r="E726" s="783"/>
      <c r="F726" s="781"/>
      <c r="G726" s="781"/>
    </row>
    <row r="727" spans="1:7" s="772" customFormat="1" ht="121.5" customHeight="1">
      <c r="A727" s="766"/>
      <c r="B727" s="767" t="s">
        <v>262</v>
      </c>
      <c r="C727" s="842" t="s">
        <v>1109</v>
      </c>
      <c r="D727" s="843"/>
    </row>
    <row r="728" spans="1:7" s="772" customFormat="1" ht="41.4">
      <c r="C728" s="842" t="s">
        <v>2651</v>
      </c>
      <c r="D728" s="843"/>
    </row>
    <row r="729" spans="1:7" s="772" customFormat="1" ht="58.2" customHeight="1">
      <c r="A729" s="793"/>
      <c r="B729" s="774"/>
      <c r="C729" s="844" t="s">
        <v>1088</v>
      </c>
      <c r="D729" s="845"/>
      <c r="E729" s="846"/>
      <c r="F729" s="770"/>
      <c r="G729" s="771"/>
    </row>
    <row r="730" spans="1:7" s="772" customFormat="1" ht="27.6">
      <c r="C730" s="847" t="s">
        <v>633</v>
      </c>
      <c r="D730" s="843"/>
    </row>
    <row r="731" spans="1:7" s="772" customFormat="1" ht="27.6">
      <c r="A731" s="784"/>
      <c r="B731" s="767"/>
      <c r="C731" s="785" t="s">
        <v>1084</v>
      </c>
      <c r="D731" s="786"/>
      <c r="E731" s="787"/>
      <c r="F731" s="787"/>
      <c r="G731" s="787"/>
    </row>
    <row r="732" spans="1:7" s="851" customFormat="1" ht="27.6">
      <c r="A732" s="848"/>
      <c r="B732" s="849"/>
      <c r="C732" s="850" t="s">
        <v>2723</v>
      </c>
      <c r="D732" s="795" t="s">
        <v>291</v>
      </c>
      <c r="E732" s="796">
        <v>2</v>
      </c>
      <c r="F732" s="787"/>
      <c r="G732" s="801"/>
    </row>
    <row r="733" spans="1:7" s="851" customFormat="1" ht="27.6">
      <c r="A733" s="848"/>
      <c r="B733" s="849"/>
      <c r="C733" s="850" t="s">
        <v>2724</v>
      </c>
      <c r="D733" s="795" t="s">
        <v>291</v>
      </c>
      <c r="E733" s="796">
        <v>3</v>
      </c>
      <c r="F733" s="787"/>
      <c r="G733" s="801"/>
    </row>
    <row r="734" spans="1:7" s="772" customFormat="1" ht="13.8">
      <c r="A734" s="852"/>
      <c r="B734" s="853"/>
      <c r="C734" s="854"/>
      <c r="D734" s="855"/>
      <c r="E734" s="854"/>
      <c r="F734" s="854"/>
      <c r="G734" s="856"/>
    </row>
    <row r="735" spans="1:7" s="772" customFormat="1" ht="184.5" customHeight="1">
      <c r="A735" s="781"/>
      <c r="B735" s="767" t="s">
        <v>263</v>
      </c>
      <c r="C735" s="857" t="s">
        <v>1090</v>
      </c>
      <c r="D735" s="782"/>
      <c r="E735" s="783"/>
      <c r="F735" s="781"/>
      <c r="G735" s="781"/>
    </row>
    <row r="736" spans="1:7" s="861" customFormat="1" ht="317.39999999999998">
      <c r="A736" s="858"/>
      <c r="B736" s="859"/>
      <c r="C736" s="860" t="s">
        <v>1091</v>
      </c>
      <c r="D736" s="791"/>
      <c r="E736" s="790"/>
      <c r="F736" s="790"/>
      <c r="G736" s="792"/>
    </row>
    <row r="737" spans="1:7" s="772" customFormat="1" ht="96.75" customHeight="1">
      <c r="A737" s="798"/>
      <c r="B737" s="798"/>
      <c r="C737" s="768" t="s">
        <v>1099</v>
      </c>
      <c r="D737" s="776"/>
      <c r="E737" s="862"/>
      <c r="F737" s="798"/>
      <c r="G737" s="798"/>
    </row>
    <row r="738" spans="1:7" s="772" customFormat="1" ht="103.2" customHeight="1">
      <c r="A738" s="788"/>
      <c r="B738" s="863"/>
      <c r="C738" s="860" t="s">
        <v>1093</v>
      </c>
      <c r="D738" s="791"/>
      <c r="E738" s="790"/>
      <c r="F738" s="790"/>
      <c r="G738" s="792"/>
    </row>
    <row r="739" spans="1:7" s="772" customFormat="1" ht="110.4">
      <c r="A739" s="788"/>
      <c r="B739" s="789"/>
      <c r="C739" s="860" t="s">
        <v>1092</v>
      </c>
      <c r="D739" s="791"/>
      <c r="E739" s="790"/>
      <c r="F739" s="790"/>
      <c r="G739" s="792"/>
    </row>
    <row r="740" spans="1:7" s="772" customFormat="1" ht="55.2">
      <c r="A740" s="788"/>
      <c r="B740" s="789"/>
      <c r="C740" s="860" t="s">
        <v>1094</v>
      </c>
      <c r="D740" s="791"/>
      <c r="E740" s="790"/>
      <c r="F740" s="790"/>
      <c r="G740" s="792"/>
    </row>
    <row r="741" spans="1:7" s="772" customFormat="1" ht="68.25" customHeight="1">
      <c r="A741" s="781"/>
      <c r="B741" s="781"/>
      <c r="C741" s="857" t="s">
        <v>1095</v>
      </c>
      <c r="D741" s="782"/>
      <c r="E741" s="783"/>
      <c r="F741" s="781"/>
      <c r="G741" s="781"/>
    </row>
    <row r="742" spans="1:7" s="772" customFormat="1" ht="41.4">
      <c r="A742" s="781"/>
      <c r="B742" s="781"/>
      <c r="C742" s="857" t="s">
        <v>1096</v>
      </c>
      <c r="D742" s="782"/>
      <c r="E742" s="783"/>
      <c r="F742" s="781"/>
      <c r="G742" s="781"/>
    </row>
    <row r="743" spans="1:7" s="772" customFormat="1" ht="96.6">
      <c r="A743" s="781"/>
      <c r="B743" s="781"/>
      <c r="C743" s="857" t="s">
        <v>1097</v>
      </c>
      <c r="D743" s="782"/>
      <c r="E743" s="783"/>
      <c r="F743" s="781"/>
      <c r="G743" s="781"/>
    </row>
    <row r="744" spans="1:7" s="772" customFormat="1" ht="114.6" customHeight="1">
      <c r="A744" s="781"/>
      <c r="B744" s="781"/>
      <c r="C744" s="857" t="s">
        <v>1098</v>
      </c>
      <c r="D744" s="782"/>
      <c r="E744" s="783"/>
      <c r="F744" s="781"/>
      <c r="G744" s="781"/>
    </row>
    <row r="745" spans="1:7" s="772" customFormat="1" ht="42.75" customHeight="1">
      <c r="A745" s="781"/>
      <c r="B745" s="781"/>
      <c r="C745" s="857" t="s">
        <v>1107</v>
      </c>
      <c r="D745" s="782"/>
      <c r="E745" s="783"/>
      <c r="F745" s="781"/>
      <c r="G745" s="781"/>
    </row>
    <row r="746" spans="1:7" s="772" customFormat="1" ht="13.8">
      <c r="A746" s="781"/>
      <c r="B746" s="781"/>
      <c r="C746" s="781" t="s">
        <v>1100</v>
      </c>
      <c r="D746" s="782"/>
      <c r="E746" s="783"/>
      <c r="F746" s="781"/>
      <c r="G746" s="781"/>
    </row>
    <row r="747" spans="1:7" s="772" customFormat="1" ht="27.6">
      <c r="A747" s="784"/>
      <c r="B747" s="767"/>
      <c r="C747" s="785" t="s">
        <v>1084</v>
      </c>
      <c r="D747" s="786"/>
      <c r="E747" s="787"/>
      <c r="F747" s="787"/>
      <c r="G747" s="787"/>
    </row>
    <row r="748" spans="1:7" s="851" customFormat="1" ht="41.4">
      <c r="A748" s="848"/>
      <c r="B748" s="849"/>
      <c r="C748" s="850" t="s">
        <v>2725</v>
      </c>
      <c r="D748" s="795" t="s">
        <v>291</v>
      </c>
      <c r="E748" s="796">
        <v>2</v>
      </c>
      <c r="F748" s="787"/>
      <c r="G748" s="801"/>
    </row>
    <row r="749" spans="1:7" s="851" customFormat="1" ht="41.4">
      <c r="A749" s="848"/>
      <c r="B749" s="849"/>
      <c r="C749" s="850" t="s">
        <v>2726</v>
      </c>
      <c r="D749" s="795" t="s">
        <v>291</v>
      </c>
      <c r="E749" s="796">
        <v>1</v>
      </c>
      <c r="F749" s="787"/>
      <c r="G749" s="801"/>
    </row>
    <row r="750" spans="1:7" ht="13.8">
      <c r="A750" s="15"/>
      <c r="B750" s="47"/>
      <c r="C750" s="15"/>
      <c r="D750" s="142"/>
      <c r="E750" s="16"/>
      <c r="F750" s="15"/>
      <c r="G750" s="15"/>
    </row>
    <row r="751" spans="1:7" s="809" customFormat="1" ht="135" customHeight="1">
      <c r="A751" s="803"/>
      <c r="B751" s="804" t="s">
        <v>260</v>
      </c>
      <c r="C751" s="864" t="s">
        <v>1108</v>
      </c>
      <c r="D751" s="865"/>
    </row>
    <row r="752" spans="1:7" s="809" customFormat="1" ht="41.4">
      <c r="C752" s="864" t="s">
        <v>2651</v>
      </c>
      <c r="D752" s="865"/>
    </row>
    <row r="753" spans="1:7" s="809" customFormat="1" ht="58.2" customHeight="1">
      <c r="A753" s="831"/>
      <c r="B753" s="811"/>
      <c r="C753" s="866" t="s">
        <v>1088</v>
      </c>
      <c r="D753" s="867"/>
      <c r="E753" s="868"/>
      <c r="F753" s="807"/>
      <c r="G753" s="808"/>
    </row>
    <row r="754" spans="1:7" s="809" customFormat="1" ht="27.6">
      <c r="C754" s="869" t="s">
        <v>633</v>
      </c>
      <c r="D754" s="865"/>
    </row>
    <row r="755" spans="1:7" s="809" customFormat="1" ht="27.6">
      <c r="A755" s="822"/>
      <c r="B755" s="804"/>
      <c r="C755" s="823" t="s">
        <v>1084</v>
      </c>
      <c r="D755" s="824"/>
      <c r="E755" s="825"/>
      <c r="F755" s="825"/>
      <c r="G755" s="825"/>
    </row>
    <row r="756" spans="1:7" s="873" customFormat="1" ht="27.6">
      <c r="A756" s="870"/>
      <c r="B756" s="871"/>
      <c r="C756" s="872" t="s">
        <v>2727</v>
      </c>
      <c r="D756" s="833" t="s">
        <v>291</v>
      </c>
      <c r="E756" s="834">
        <v>15</v>
      </c>
      <c r="F756" s="825">
        <v>1000</v>
      </c>
      <c r="G756" s="835">
        <f t="shared" ref="G756:G757" si="5">E756*F756</f>
        <v>15000</v>
      </c>
    </row>
    <row r="757" spans="1:7" s="873" customFormat="1" ht="27.6">
      <c r="A757" s="870"/>
      <c r="B757" s="871"/>
      <c r="C757" s="872" t="s">
        <v>2728</v>
      </c>
      <c r="D757" s="833" t="s">
        <v>291</v>
      </c>
      <c r="E757" s="834">
        <v>3</v>
      </c>
      <c r="F757" s="825">
        <v>800</v>
      </c>
      <c r="G757" s="835">
        <f t="shared" si="5"/>
        <v>2400</v>
      </c>
    </row>
    <row r="758" spans="1:7" s="809" customFormat="1" ht="13.8">
      <c r="A758" s="874"/>
      <c r="B758" s="875"/>
      <c r="C758" s="876"/>
      <c r="D758" s="877"/>
      <c r="E758" s="876"/>
      <c r="F758" s="876"/>
      <c r="G758" s="878"/>
    </row>
    <row r="759" spans="1:7" s="809" customFormat="1" ht="94.5" customHeight="1">
      <c r="A759" s="803"/>
      <c r="B759" s="804" t="s">
        <v>261</v>
      </c>
      <c r="C759" s="864" t="s">
        <v>1117</v>
      </c>
      <c r="D759" s="865"/>
    </row>
    <row r="760" spans="1:7" s="809" customFormat="1" ht="41.4">
      <c r="C760" s="864" t="s">
        <v>2651</v>
      </c>
      <c r="D760" s="865"/>
    </row>
    <row r="761" spans="1:7" s="809" customFormat="1" ht="47.4" customHeight="1">
      <c r="A761" s="831"/>
      <c r="B761" s="811"/>
      <c r="C761" s="866" t="s">
        <v>1089</v>
      </c>
      <c r="D761" s="867"/>
      <c r="E761" s="868"/>
      <c r="F761" s="807"/>
      <c r="G761" s="808"/>
    </row>
    <row r="762" spans="1:7" s="809" customFormat="1" ht="27.6">
      <c r="C762" s="869" t="s">
        <v>633</v>
      </c>
      <c r="D762" s="865"/>
    </row>
    <row r="763" spans="1:7" s="809" customFormat="1" ht="27.6">
      <c r="A763" s="822"/>
      <c r="B763" s="804"/>
      <c r="C763" s="823" t="s">
        <v>1084</v>
      </c>
      <c r="D763" s="824"/>
      <c r="E763" s="825"/>
      <c r="F763" s="825"/>
      <c r="G763" s="825"/>
    </row>
    <row r="764" spans="1:7" s="873" customFormat="1" ht="27.6">
      <c r="A764" s="870"/>
      <c r="B764" s="871"/>
      <c r="C764" s="872" t="s">
        <v>2729</v>
      </c>
      <c r="D764" s="833" t="s">
        <v>291</v>
      </c>
      <c r="E764" s="834">
        <v>1</v>
      </c>
      <c r="F764" s="825">
        <v>1200</v>
      </c>
      <c r="G764" s="835">
        <f t="shared" ref="G764" si="6">E764*F764</f>
        <v>1200</v>
      </c>
    </row>
    <row r="765" spans="1:7" s="809" customFormat="1" ht="13.8">
      <c r="A765" s="819"/>
      <c r="B765" s="819"/>
      <c r="C765" s="819"/>
      <c r="D765" s="820"/>
      <c r="E765" s="821"/>
      <c r="F765" s="819"/>
      <c r="G765" s="819"/>
    </row>
    <row r="766" spans="1:7" s="809" customFormat="1" ht="121.5" customHeight="1">
      <c r="A766" s="803"/>
      <c r="B766" s="804" t="s">
        <v>262</v>
      </c>
      <c r="C766" s="864" t="s">
        <v>1109</v>
      </c>
      <c r="D766" s="865"/>
    </row>
    <row r="767" spans="1:7" s="809" customFormat="1" ht="41.4">
      <c r="C767" s="864" t="s">
        <v>2651</v>
      </c>
      <c r="D767" s="865"/>
    </row>
    <row r="768" spans="1:7" s="809" customFormat="1" ht="58.2" customHeight="1">
      <c r="A768" s="831"/>
      <c r="B768" s="811"/>
      <c r="C768" s="866" t="s">
        <v>1088</v>
      </c>
      <c r="D768" s="867"/>
      <c r="E768" s="868"/>
      <c r="F768" s="807"/>
      <c r="G768" s="808"/>
    </row>
    <row r="769" spans="1:7" s="809" customFormat="1" ht="27.6">
      <c r="C769" s="869" t="s">
        <v>633</v>
      </c>
      <c r="D769" s="865"/>
    </row>
    <row r="770" spans="1:7" s="809" customFormat="1" ht="27.6">
      <c r="A770" s="822"/>
      <c r="B770" s="804"/>
      <c r="C770" s="823" t="s">
        <v>1084</v>
      </c>
      <c r="D770" s="824"/>
      <c r="E770" s="825"/>
      <c r="F770" s="825"/>
      <c r="G770" s="825"/>
    </row>
    <row r="771" spans="1:7" s="873" customFormat="1" ht="27.6">
      <c r="A771" s="870"/>
      <c r="B771" s="871"/>
      <c r="C771" s="872" t="s">
        <v>2730</v>
      </c>
      <c r="D771" s="833" t="s">
        <v>291</v>
      </c>
      <c r="E771" s="834">
        <v>2</v>
      </c>
      <c r="F771" s="825">
        <v>700</v>
      </c>
      <c r="G771" s="835">
        <f t="shared" ref="G771:G772" si="7">E771*F771</f>
        <v>1400</v>
      </c>
    </row>
    <row r="772" spans="1:7" s="873" customFormat="1" ht="27.6">
      <c r="A772" s="870"/>
      <c r="B772" s="871"/>
      <c r="C772" s="872" t="s">
        <v>2731</v>
      </c>
      <c r="D772" s="833" t="s">
        <v>291</v>
      </c>
      <c r="E772" s="834">
        <v>3</v>
      </c>
      <c r="F772" s="825">
        <v>700</v>
      </c>
      <c r="G772" s="835">
        <f t="shared" si="7"/>
        <v>2100</v>
      </c>
    </row>
    <row r="773" spans="1:7" s="809" customFormat="1" ht="13.8">
      <c r="A773" s="874"/>
      <c r="B773" s="875"/>
      <c r="C773" s="876"/>
      <c r="D773" s="877"/>
      <c r="E773" s="876"/>
      <c r="F773" s="876"/>
      <c r="G773" s="878"/>
    </row>
    <row r="774" spans="1:7" s="809" customFormat="1" ht="184.5" customHeight="1">
      <c r="A774" s="819"/>
      <c r="B774" s="804" t="s">
        <v>263</v>
      </c>
      <c r="C774" s="879" t="s">
        <v>1090</v>
      </c>
      <c r="D774" s="820"/>
      <c r="E774" s="821"/>
      <c r="F774" s="819"/>
      <c r="G774" s="819"/>
    </row>
    <row r="775" spans="1:7" s="883" customFormat="1" ht="317.39999999999998">
      <c r="A775" s="880"/>
      <c r="B775" s="881"/>
      <c r="C775" s="882" t="s">
        <v>1091</v>
      </c>
      <c r="D775" s="829"/>
      <c r="E775" s="828"/>
      <c r="F775" s="828"/>
      <c r="G775" s="830"/>
    </row>
    <row r="776" spans="1:7" s="809" customFormat="1" ht="96.75" customHeight="1">
      <c r="A776" s="837"/>
      <c r="B776" s="837"/>
      <c r="C776" s="805" t="s">
        <v>1099</v>
      </c>
      <c r="D776" s="813"/>
      <c r="E776" s="884"/>
      <c r="F776" s="837"/>
      <c r="G776" s="837"/>
    </row>
    <row r="777" spans="1:7" s="809" customFormat="1" ht="103.2" customHeight="1">
      <c r="A777" s="826"/>
      <c r="B777" s="885"/>
      <c r="C777" s="882" t="s">
        <v>1093</v>
      </c>
      <c r="D777" s="829"/>
      <c r="E777" s="828"/>
      <c r="F777" s="828"/>
      <c r="G777" s="830"/>
    </row>
    <row r="778" spans="1:7" s="809" customFormat="1" ht="110.4">
      <c r="A778" s="826"/>
      <c r="B778" s="827"/>
      <c r="C778" s="882" t="s">
        <v>1092</v>
      </c>
      <c r="D778" s="829"/>
      <c r="E778" s="828"/>
      <c r="F778" s="828"/>
      <c r="G778" s="830"/>
    </row>
    <row r="779" spans="1:7" s="809" customFormat="1" ht="55.2">
      <c r="A779" s="826"/>
      <c r="B779" s="827"/>
      <c r="C779" s="882" t="s">
        <v>1094</v>
      </c>
      <c r="D779" s="829"/>
      <c r="E779" s="828"/>
      <c r="F779" s="828"/>
      <c r="G779" s="830"/>
    </row>
    <row r="780" spans="1:7" s="809" customFormat="1" ht="68.25" customHeight="1">
      <c r="A780" s="819"/>
      <c r="B780" s="819"/>
      <c r="C780" s="879" t="s">
        <v>1095</v>
      </c>
      <c r="D780" s="820"/>
      <c r="E780" s="821"/>
      <c r="F780" s="819"/>
      <c r="G780" s="819"/>
    </row>
    <row r="781" spans="1:7" s="809" customFormat="1" ht="41.4">
      <c r="A781" s="819"/>
      <c r="B781" s="819"/>
      <c r="C781" s="879" t="s">
        <v>1096</v>
      </c>
      <c r="D781" s="820"/>
      <c r="E781" s="821"/>
      <c r="F781" s="819"/>
      <c r="G781" s="819"/>
    </row>
    <row r="782" spans="1:7" s="809" customFormat="1" ht="96.6">
      <c r="A782" s="819"/>
      <c r="B782" s="819"/>
      <c r="C782" s="879" t="s">
        <v>1097</v>
      </c>
      <c r="D782" s="820"/>
      <c r="E782" s="821"/>
      <c r="F782" s="819"/>
      <c r="G782" s="819"/>
    </row>
    <row r="783" spans="1:7" s="809" customFormat="1" ht="114.6" customHeight="1">
      <c r="A783" s="819"/>
      <c r="B783" s="819"/>
      <c r="C783" s="879" t="s">
        <v>1098</v>
      </c>
      <c r="D783" s="820"/>
      <c r="E783" s="821"/>
      <c r="F783" s="819"/>
      <c r="G783" s="819"/>
    </row>
    <row r="784" spans="1:7" s="809" customFormat="1" ht="42.75" customHeight="1">
      <c r="A784" s="819"/>
      <c r="B784" s="819"/>
      <c r="C784" s="879" t="s">
        <v>1107</v>
      </c>
      <c r="D784" s="820"/>
      <c r="E784" s="821"/>
      <c r="F784" s="819"/>
      <c r="G784" s="819"/>
    </row>
    <row r="785" spans="1:7" s="809" customFormat="1" ht="13.8">
      <c r="A785" s="819"/>
      <c r="B785" s="819"/>
      <c r="C785" s="819" t="s">
        <v>1100</v>
      </c>
      <c r="D785" s="820"/>
      <c r="E785" s="821"/>
      <c r="F785" s="819"/>
      <c r="G785" s="819"/>
    </row>
    <row r="786" spans="1:7" s="809" customFormat="1" ht="27.6">
      <c r="A786" s="822"/>
      <c r="B786" s="804"/>
      <c r="C786" s="823" t="s">
        <v>1084</v>
      </c>
      <c r="D786" s="824"/>
      <c r="E786" s="825"/>
      <c r="F786" s="825"/>
      <c r="G786" s="825"/>
    </row>
    <row r="787" spans="1:7" s="873" customFormat="1" ht="41.4">
      <c r="A787" s="870"/>
      <c r="B787" s="871"/>
      <c r="C787" s="872" t="s">
        <v>2732</v>
      </c>
      <c r="D787" s="833" t="s">
        <v>291</v>
      </c>
      <c r="E787" s="834">
        <v>2</v>
      </c>
      <c r="F787" s="825">
        <v>12000</v>
      </c>
      <c r="G787" s="835">
        <f t="shared" ref="G787:G788" si="8">E787*F787</f>
        <v>24000</v>
      </c>
    </row>
    <row r="788" spans="1:7" s="873" customFormat="1" ht="41.4">
      <c r="A788" s="870"/>
      <c r="B788" s="871"/>
      <c r="C788" s="872" t="s">
        <v>2733</v>
      </c>
      <c r="D788" s="833" t="s">
        <v>291</v>
      </c>
      <c r="E788" s="834">
        <v>1</v>
      </c>
      <c r="F788" s="825">
        <v>10000</v>
      </c>
      <c r="G788" s="835">
        <f t="shared" si="8"/>
        <v>10000</v>
      </c>
    </row>
    <row r="789" spans="1:7" ht="13.8">
      <c r="A789" s="47"/>
      <c r="B789" s="47"/>
      <c r="C789" s="47"/>
      <c r="D789" s="143"/>
      <c r="E789" s="48"/>
      <c r="F789" s="47"/>
      <c r="G789" s="47"/>
    </row>
    <row r="790" spans="1:7" ht="13.8">
      <c r="A790" s="82"/>
      <c r="B790" s="49" t="s">
        <v>1135</v>
      </c>
      <c r="C790" s="54" t="s">
        <v>1101</v>
      </c>
      <c r="D790" s="153"/>
      <c r="E790" s="54"/>
      <c r="F790" s="54"/>
      <c r="G790" s="84">
        <f>SUM(G756:G788)</f>
        <v>56100</v>
      </c>
    </row>
    <row r="791" spans="1:7" ht="13.8">
      <c r="A791" s="47"/>
      <c r="B791" s="47"/>
      <c r="C791" s="47"/>
      <c r="D791" s="143"/>
      <c r="E791" s="48"/>
      <c r="F791" s="47"/>
      <c r="G791" s="47"/>
    </row>
    <row r="792" spans="1:7" ht="13.8">
      <c r="A792" s="60"/>
      <c r="B792" s="176" t="s">
        <v>1134</v>
      </c>
      <c r="C792" s="174" t="s">
        <v>1102</v>
      </c>
      <c r="D792" s="142"/>
      <c r="E792" s="16"/>
      <c r="F792" s="15"/>
      <c r="G792" s="15"/>
    </row>
    <row r="793" spans="1:7" ht="13.8">
      <c r="A793" s="15"/>
      <c r="B793" s="47"/>
      <c r="C793" s="15"/>
      <c r="D793" s="142"/>
      <c r="E793" s="16"/>
      <c r="F793" s="15"/>
      <c r="G793" s="15"/>
    </row>
    <row r="794" spans="1:7" s="178" customFormat="1" ht="13.8">
      <c r="A794" s="60"/>
      <c r="B794" s="177" t="s">
        <v>4</v>
      </c>
      <c r="C794" s="14" t="s">
        <v>867</v>
      </c>
      <c r="D794" s="179"/>
      <c r="E794" s="180"/>
      <c r="F794" s="14"/>
      <c r="G794" s="14"/>
    </row>
    <row r="795" spans="1:7" s="772" customFormat="1" ht="57" customHeight="1">
      <c r="A795" s="766"/>
      <c r="B795" s="767" t="s">
        <v>260</v>
      </c>
      <c r="C795" s="842" t="s">
        <v>1110</v>
      </c>
      <c r="D795" s="843"/>
    </row>
    <row r="796" spans="1:7" s="772" customFormat="1" ht="31.5" customHeight="1">
      <c r="A796" s="781"/>
      <c r="B796" s="781"/>
      <c r="C796" s="857" t="s">
        <v>1112</v>
      </c>
      <c r="D796" s="782"/>
      <c r="E796" s="783"/>
      <c r="F796" s="781"/>
      <c r="G796" s="781"/>
    </row>
    <row r="797" spans="1:7" s="772" customFormat="1" ht="41.4">
      <c r="C797" s="842" t="s">
        <v>2651</v>
      </c>
      <c r="D797" s="843"/>
    </row>
    <row r="798" spans="1:7" s="772" customFormat="1" ht="70.2" customHeight="1">
      <c r="A798" s="793"/>
      <c r="B798" s="774"/>
      <c r="C798" s="844" t="s">
        <v>1111</v>
      </c>
      <c r="D798" s="845"/>
      <c r="E798" s="846"/>
      <c r="F798" s="770"/>
      <c r="G798" s="771"/>
    </row>
    <row r="799" spans="1:7" s="772" customFormat="1" ht="27.6">
      <c r="C799" s="847" t="s">
        <v>633</v>
      </c>
      <c r="D799" s="843"/>
    </row>
    <row r="800" spans="1:7" s="772" customFormat="1" ht="27.6">
      <c r="A800" s="784"/>
      <c r="B800" s="767"/>
      <c r="C800" s="785" t="s">
        <v>1084</v>
      </c>
      <c r="D800" s="786"/>
      <c r="E800" s="787"/>
      <c r="F800" s="787"/>
      <c r="G800" s="787"/>
    </row>
    <row r="801" spans="1:7" s="851" customFormat="1" ht="30.75" customHeight="1">
      <c r="A801" s="848"/>
      <c r="B801" s="849"/>
      <c r="C801" s="850" t="s">
        <v>2734</v>
      </c>
      <c r="D801" s="795" t="s">
        <v>291</v>
      </c>
      <c r="E801" s="796">
        <v>3</v>
      </c>
      <c r="F801" s="787"/>
      <c r="G801" s="801"/>
    </row>
    <row r="802" spans="1:7" s="772" customFormat="1" ht="13.8">
      <c r="A802" s="781"/>
      <c r="B802" s="781"/>
      <c r="C802" s="781"/>
      <c r="D802" s="782"/>
      <c r="E802" s="783"/>
      <c r="F802" s="781"/>
      <c r="G802" s="781"/>
    </row>
    <row r="803" spans="1:7" s="772" customFormat="1" ht="55.5" customHeight="1">
      <c r="A803" s="766"/>
      <c r="B803" s="767" t="s">
        <v>261</v>
      </c>
      <c r="C803" s="842" t="s">
        <v>1113</v>
      </c>
      <c r="D803" s="843"/>
    </row>
    <row r="804" spans="1:7" s="772" customFormat="1" ht="41.4">
      <c r="C804" s="842" t="s">
        <v>2651</v>
      </c>
      <c r="D804" s="843"/>
    </row>
    <row r="805" spans="1:7" s="772" customFormat="1" ht="44.25" customHeight="1">
      <c r="A805" s="793"/>
      <c r="B805" s="774"/>
      <c r="C805" s="844" t="s">
        <v>1089</v>
      </c>
      <c r="D805" s="845"/>
      <c r="E805" s="846"/>
      <c r="F805" s="770"/>
      <c r="G805" s="771"/>
    </row>
    <row r="806" spans="1:7" s="772" customFormat="1" ht="27.6">
      <c r="C806" s="847" t="s">
        <v>633</v>
      </c>
      <c r="D806" s="843"/>
    </row>
    <row r="807" spans="1:7" s="772" customFormat="1" ht="27.6">
      <c r="A807" s="784"/>
      <c r="B807" s="767"/>
      <c r="C807" s="785" t="s">
        <v>1084</v>
      </c>
      <c r="D807" s="786"/>
      <c r="E807" s="787"/>
      <c r="F807" s="787"/>
      <c r="G807" s="787"/>
    </row>
    <row r="808" spans="1:7" s="851" customFormat="1" ht="45.6" customHeight="1">
      <c r="A808" s="848"/>
      <c r="B808" s="849"/>
      <c r="C808" s="850" t="s">
        <v>2735</v>
      </c>
      <c r="D808" s="795" t="s">
        <v>291</v>
      </c>
      <c r="E808" s="796">
        <v>1</v>
      </c>
      <c r="F808" s="787"/>
      <c r="G808" s="801"/>
    </row>
    <row r="809" spans="1:7" s="851" customFormat="1" ht="82.8">
      <c r="A809" s="848"/>
      <c r="B809" s="849"/>
      <c r="C809" s="850" t="s">
        <v>2736</v>
      </c>
      <c r="D809" s="795" t="s">
        <v>291</v>
      </c>
      <c r="E809" s="796">
        <v>1</v>
      </c>
      <c r="F809" s="787"/>
      <c r="G809" s="801"/>
    </row>
    <row r="810" spans="1:7" ht="13.8">
      <c r="A810" s="47"/>
      <c r="B810" s="47"/>
      <c r="C810" s="47"/>
      <c r="D810" s="143"/>
      <c r="E810" s="48"/>
      <c r="F810" s="47"/>
      <c r="G810" s="47"/>
    </row>
    <row r="811" spans="1:7" s="809" customFormat="1" ht="44.25" customHeight="1">
      <c r="A811" s="803"/>
      <c r="B811" s="804" t="s">
        <v>260</v>
      </c>
      <c r="C811" s="864" t="s">
        <v>2737</v>
      </c>
      <c r="D811" s="865"/>
    </row>
    <row r="812" spans="1:7" s="809" customFormat="1" ht="31.5" customHeight="1">
      <c r="A812" s="819"/>
      <c r="B812" s="819"/>
      <c r="C812" s="879" t="s">
        <v>1112</v>
      </c>
      <c r="D812" s="820"/>
      <c r="E812" s="821"/>
      <c r="F812" s="819"/>
      <c r="G812" s="819"/>
    </row>
    <row r="813" spans="1:7" s="809" customFormat="1" ht="41.4">
      <c r="C813" s="864" t="s">
        <v>2651</v>
      </c>
      <c r="D813" s="865"/>
    </row>
    <row r="814" spans="1:7" s="809" customFormat="1" ht="70.2" customHeight="1">
      <c r="A814" s="831"/>
      <c r="B814" s="811"/>
      <c r="C814" s="866" t="s">
        <v>1111</v>
      </c>
      <c r="D814" s="867"/>
      <c r="E814" s="868"/>
      <c r="F814" s="807"/>
      <c r="G814" s="808"/>
    </row>
    <row r="815" spans="1:7" s="809" customFormat="1" ht="27.6">
      <c r="C815" s="869" t="s">
        <v>633</v>
      </c>
      <c r="D815" s="865"/>
    </row>
    <row r="816" spans="1:7" s="809" customFormat="1" ht="27.6">
      <c r="A816" s="822"/>
      <c r="B816" s="804"/>
      <c r="C816" s="823" t="s">
        <v>1084</v>
      </c>
      <c r="D816" s="824"/>
      <c r="E816" s="825"/>
      <c r="F816" s="825"/>
      <c r="G816" s="825"/>
    </row>
    <row r="817" spans="1:7" s="873" customFormat="1" ht="30.75" customHeight="1">
      <c r="A817" s="870"/>
      <c r="B817" s="871"/>
      <c r="C817" s="872" t="s">
        <v>2739</v>
      </c>
      <c r="D817" s="833" t="s">
        <v>291</v>
      </c>
      <c r="E817" s="834">
        <v>3</v>
      </c>
      <c r="F817" s="825">
        <v>2000</v>
      </c>
      <c r="G817" s="835">
        <f t="shared" ref="G817" si="9">E817*F817</f>
        <v>6000</v>
      </c>
    </row>
    <row r="818" spans="1:7" s="809" customFormat="1" ht="13.8">
      <c r="A818" s="819"/>
      <c r="B818" s="819"/>
      <c r="C818" s="819"/>
      <c r="D818" s="820"/>
      <c r="E818" s="821"/>
      <c r="F818" s="819"/>
      <c r="G818" s="819"/>
    </row>
    <row r="819" spans="1:7" s="809" customFormat="1" ht="41.25" customHeight="1">
      <c r="A819" s="803"/>
      <c r="B819" s="804" t="s">
        <v>261</v>
      </c>
      <c r="C819" s="864" t="s">
        <v>2738</v>
      </c>
      <c r="D819" s="865"/>
    </row>
    <row r="820" spans="1:7" s="809" customFormat="1" ht="41.4">
      <c r="C820" s="864" t="s">
        <v>2651</v>
      </c>
      <c r="D820" s="865"/>
    </row>
    <row r="821" spans="1:7" s="809" customFormat="1" ht="44.25" customHeight="1">
      <c r="A821" s="831"/>
      <c r="B821" s="811"/>
      <c r="C821" s="866" t="s">
        <v>1089</v>
      </c>
      <c r="D821" s="867"/>
      <c r="E821" s="868"/>
      <c r="F821" s="807"/>
      <c r="G821" s="808"/>
    </row>
    <row r="822" spans="1:7" s="809" customFormat="1" ht="27.6">
      <c r="C822" s="869" t="s">
        <v>633</v>
      </c>
      <c r="D822" s="865"/>
    </row>
    <row r="823" spans="1:7" s="809" customFormat="1" ht="27.6">
      <c r="A823" s="822"/>
      <c r="B823" s="804"/>
      <c r="C823" s="823" t="s">
        <v>1084</v>
      </c>
      <c r="D823" s="824"/>
      <c r="E823" s="825"/>
      <c r="F823" s="825"/>
      <c r="G823" s="825"/>
    </row>
    <row r="824" spans="1:7" s="873" customFormat="1" ht="45.6" customHeight="1">
      <c r="A824" s="870"/>
      <c r="B824" s="871"/>
      <c r="C824" s="872" t="s">
        <v>2740</v>
      </c>
      <c r="D824" s="833" t="s">
        <v>291</v>
      </c>
      <c r="E824" s="834">
        <v>1</v>
      </c>
      <c r="F824" s="825">
        <v>1900</v>
      </c>
      <c r="G824" s="835">
        <f t="shared" ref="G824:G826" si="10">E824*F824</f>
        <v>1900</v>
      </c>
    </row>
    <row r="825" spans="1:7" s="873" customFormat="1" ht="80.25" customHeight="1">
      <c r="A825" s="870"/>
      <c r="B825" s="871"/>
      <c r="C825" s="872" t="s">
        <v>2741</v>
      </c>
      <c r="D825" s="833" t="s">
        <v>291</v>
      </c>
      <c r="E825" s="834">
        <v>1</v>
      </c>
      <c r="F825" s="825">
        <v>1500</v>
      </c>
      <c r="G825" s="835">
        <f t="shared" si="10"/>
        <v>1500</v>
      </c>
    </row>
    <row r="826" spans="1:7" s="873" customFormat="1" ht="81" customHeight="1">
      <c r="A826" s="870"/>
      <c r="B826" s="871"/>
      <c r="C826" s="872" t="s">
        <v>2742</v>
      </c>
      <c r="D826" s="833" t="s">
        <v>291</v>
      </c>
      <c r="E826" s="834">
        <v>1</v>
      </c>
      <c r="F826" s="825">
        <v>1500</v>
      </c>
      <c r="G826" s="835">
        <f t="shared" si="10"/>
        <v>1500</v>
      </c>
    </row>
    <row r="827" spans="1:7" ht="13.8">
      <c r="A827" s="47"/>
      <c r="B827" s="47"/>
      <c r="C827" s="47"/>
      <c r="D827" s="143"/>
      <c r="E827" s="48"/>
      <c r="F827" s="47"/>
      <c r="G827" s="47"/>
    </row>
    <row r="828" spans="1:7" ht="13.8">
      <c r="A828" s="82"/>
      <c r="B828" s="49" t="s">
        <v>1134</v>
      </c>
      <c r="C828" s="54" t="s">
        <v>1129</v>
      </c>
      <c r="D828" s="153"/>
      <c r="E828" s="54"/>
      <c r="F828" s="54"/>
      <c r="G828" s="84">
        <f>SUM(G817:G826)</f>
        <v>10900</v>
      </c>
    </row>
    <row r="829" spans="1:7" ht="13.8">
      <c r="A829" s="15"/>
      <c r="B829" s="15"/>
      <c r="C829" s="22" t="s">
        <v>1119</v>
      </c>
      <c r="D829" s="21"/>
      <c r="E829" s="31"/>
      <c r="F829" s="15"/>
      <c r="G829" s="15"/>
    </row>
    <row r="830" spans="1:7" ht="13.8">
      <c r="A830" s="60"/>
      <c r="B830" s="176" t="s">
        <v>1133</v>
      </c>
      <c r="C830" s="174" t="s">
        <v>1118</v>
      </c>
      <c r="D830" s="142"/>
      <c r="E830" s="16"/>
      <c r="F830" s="15"/>
      <c r="G830" s="15"/>
    </row>
    <row r="831" spans="1:7" ht="13.8">
      <c r="A831" s="15"/>
      <c r="B831" s="15"/>
      <c r="C831" s="22" t="s">
        <v>1119</v>
      </c>
      <c r="D831" s="21"/>
      <c r="E831" s="31"/>
      <c r="F831" s="15"/>
      <c r="G831" s="15"/>
    </row>
    <row r="832" spans="1:7" s="160" customFormat="1" ht="13.8">
      <c r="A832" s="219"/>
      <c r="B832" s="234"/>
      <c r="C832" s="227" t="s">
        <v>235</v>
      </c>
      <c r="D832" s="222"/>
      <c r="E832" s="221"/>
      <c r="F832" s="221"/>
      <c r="G832" s="223"/>
    </row>
    <row r="833" spans="1:7" s="160" customFormat="1" ht="68.25" customHeight="1">
      <c r="A833" s="15"/>
      <c r="B833" s="47"/>
      <c r="C833" s="36" t="s">
        <v>2653</v>
      </c>
      <c r="D833" s="142"/>
      <c r="E833" s="16"/>
      <c r="F833" s="15"/>
      <c r="G833" s="15"/>
    </row>
    <row r="834" spans="1:7" ht="151.80000000000001">
      <c r="A834" s="47"/>
      <c r="B834" s="47"/>
      <c r="C834" s="208" t="s">
        <v>2654</v>
      </c>
      <c r="D834" s="143"/>
      <c r="E834" s="48"/>
      <c r="F834" s="47"/>
      <c r="G834" s="47"/>
    </row>
    <row r="835" spans="1:7" ht="13.8">
      <c r="A835" s="47"/>
      <c r="B835" s="47"/>
      <c r="C835" s="261" t="s">
        <v>1120</v>
      </c>
      <c r="D835" s="143"/>
      <c r="E835" s="48"/>
      <c r="F835" s="47"/>
      <c r="G835" s="47"/>
    </row>
    <row r="836" spans="1:7" ht="13.8">
      <c r="A836" s="15"/>
      <c r="B836" s="47"/>
      <c r="C836" s="15"/>
      <c r="D836" s="142"/>
      <c r="E836" s="16"/>
      <c r="F836" s="15"/>
      <c r="G836" s="15"/>
    </row>
    <row r="837" spans="1:7" s="178" customFormat="1" ht="13.8">
      <c r="A837" s="60"/>
      <c r="B837" s="177" t="s">
        <v>4</v>
      </c>
      <c r="C837" s="14" t="s">
        <v>867</v>
      </c>
      <c r="D837" s="179"/>
      <c r="E837" s="180"/>
      <c r="F837" s="14"/>
      <c r="G837" s="14"/>
    </row>
    <row r="838" spans="1:7" s="772" customFormat="1" ht="69">
      <c r="A838" s="781"/>
      <c r="B838" s="767" t="s">
        <v>260</v>
      </c>
      <c r="C838" s="857" t="s">
        <v>2743</v>
      </c>
      <c r="D838" s="782"/>
      <c r="E838" s="783"/>
      <c r="F838" s="781"/>
      <c r="G838" s="781"/>
    </row>
    <row r="839" spans="1:7" s="772" customFormat="1" ht="27.6">
      <c r="A839" s="788"/>
      <c r="B839" s="863"/>
      <c r="C839" s="790" t="s">
        <v>1125</v>
      </c>
      <c r="D839" s="791"/>
      <c r="E839" s="790" t="s">
        <v>1119</v>
      </c>
      <c r="F839" s="790"/>
      <c r="G839" s="792"/>
    </row>
    <row r="840" spans="1:7" s="772" customFormat="1" ht="27.6">
      <c r="A840" s="781"/>
      <c r="B840" s="781"/>
      <c r="C840" s="857" t="s">
        <v>1126</v>
      </c>
      <c r="D840" s="782"/>
      <c r="E840" s="783"/>
      <c r="F840" s="781"/>
      <c r="G840" s="781"/>
    </row>
    <row r="841" spans="1:7" s="772" customFormat="1" ht="27.6">
      <c r="A841" s="798"/>
      <c r="B841" s="798"/>
      <c r="C841" s="768" t="s">
        <v>1121</v>
      </c>
      <c r="D841" s="776"/>
      <c r="E841" s="862"/>
      <c r="F841" s="798"/>
      <c r="G841" s="798"/>
    </row>
    <row r="842" spans="1:7" s="772" customFormat="1" ht="30" customHeight="1">
      <c r="C842" s="842" t="s">
        <v>2652</v>
      </c>
      <c r="D842" s="843"/>
    </row>
    <row r="843" spans="1:7" s="772" customFormat="1" ht="41.4">
      <c r="A843" s="788"/>
      <c r="B843" s="863"/>
      <c r="C843" s="790" t="s">
        <v>1123</v>
      </c>
      <c r="D843" s="791"/>
      <c r="E843" s="790"/>
      <c r="F843" s="790"/>
      <c r="G843" s="792"/>
    </row>
    <row r="844" spans="1:7" s="772" customFormat="1" ht="31.95" customHeight="1">
      <c r="A844" s="793"/>
      <c r="B844" s="774"/>
      <c r="C844" s="844" t="s">
        <v>1122</v>
      </c>
      <c r="D844" s="845"/>
      <c r="E844" s="846"/>
      <c r="F844" s="770"/>
      <c r="G844" s="771"/>
    </row>
    <row r="845" spans="1:7" s="772" customFormat="1" ht="27.6">
      <c r="C845" s="847" t="s">
        <v>633</v>
      </c>
      <c r="D845" s="843"/>
    </row>
    <row r="846" spans="1:7" s="772" customFormat="1" ht="27.6">
      <c r="A846" s="784"/>
      <c r="B846" s="767"/>
      <c r="C846" s="785" t="s">
        <v>1084</v>
      </c>
      <c r="D846" s="786"/>
      <c r="E846" s="787"/>
      <c r="F846" s="787"/>
      <c r="G846" s="787"/>
    </row>
    <row r="847" spans="1:7" s="851" customFormat="1" ht="41.4">
      <c r="A847" s="848"/>
      <c r="B847" s="849"/>
      <c r="C847" s="850" t="s">
        <v>2744</v>
      </c>
      <c r="D847" s="795" t="s">
        <v>291</v>
      </c>
      <c r="E847" s="796">
        <v>1</v>
      </c>
      <c r="F847" s="787"/>
      <c r="G847" s="801"/>
    </row>
    <row r="848" spans="1:7" s="772" customFormat="1" ht="13.8">
      <c r="A848" s="852"/>
      <c r="B848" s="853"/>
      <c r="C848" s="854"/>
      <c r="D848" s="855"/>
      <c r="E848" s="854"/>
      <c r="F848" s="854"/>
      <c r="G848" s="856"/>
    </row>
    <row r="849" spans="1:7" s="772" customFormat="1" ht="55.2">
      <c r="A849" s="781"/>
      <c r="B849" s="767" t="s">
        <v>261</v>
      </c>
      <c r="C849" s="857" t="s">
        <v>2745</v>
      </c>
      <c r="D849" s="782"/>
      <c r="E849" s="783"/>
      <c r="F849" s="781"/>
      <c r="G849" s="781"/>
    </row>
    <row r="850" spans="1:7" s="772" customFormat="1" ht="41.4">
      <c r="A850" s="788"/>
      <c r="B850" s="863"/>
      <c r="C850" s="790" t="s">
        <v>1127</v>
      </c>
      <c r="D850" s="791"/>
      <c r="E850" s="790" t="s">
        <v>1119</v>
      </c>
      <c r="F850" s="790"/>
      <c r="G850" s="792"/>
    </row>
    <row r="851" spans="1:7" s="772" customFormat="1" ht="55.2">
      <c r="A851" s="781"/>
      <c r="B851" s="781"/>
      <c r="C851" s="857" t="s">
        <v>1124</v>
      </c>
      <c r="D851" s="782"/>
      <c r="E851" s="783"/>
      <c r="F851" s="781"/>
      <c r="G851" s="781"/>
    </row>
    <row r="852" spans="1:7" s="772" customFormat="1" ht="27.6">
      <c r="A852" s="798"/>
      <c r="B852" s="798"/>
      <c r="C852" s="768" t="s">
        <v>1121</v>
      </c>
      <c r="D852" s="776"/>
      <c r="E852" s="862"/>
      <c r="F852" s="798"/>
      <c r="G852" s="798"/>
    </row>
    <row r="853" spans="1:7" s="772" customFormat="1" ht="31.5" customHeight="1">
      <c r="C853" s="842" t="s">
        <v>2652</v>
      </c>
      <c r="D853" s="843"/>
    </row>
    <row r="854" spans="1:7" s="772" customFormat="1" ht="41.4">
      <c r="A854" s="788"/>
      <c r="B854" s="863"/>
      <c r="C854" s="790" t="s">
        <v>1123</v>
      </c>
      <c r="D854" s="791"/>
      <c r="E854" s="790"/>
      <c r="F854" s="790"/>
      <c r="G854" s="792"/>
    </row>
    <row r="855" spans="1:7" s="772" customFormat="1" ht="31.95" customHeight="1">
      <c r="A855" s="793"/>
      <c r="B855" s="774"/>
      <c r="C855" s="844" t="s">
        <v>1122</v>
      </c>
      <c r="D855" s="845"/>
      <c r="E855" s="846"/>
      <c r="F855" s="770"/>
      <c r="G855" s="771"/>
    </row>
    <row r="856" spans="1:7" s="772" customFormat="1" ht="27.6">
      <c r="C856" s="847" t="s">
        <v>633</v>
      </c>
      <c r="D856" s="843"/>
    </row>
    <row r="857" spans="1:7" s="772" customFormat="1" ht="27.6">
      <c r="A857" s="784"/>
      <c r="B857" s="767"/>
      <c r="C857" s="785" t="s">
        <v>1084</v>
      </c>
      <c r="D857" s="786"/>
      <c r="E857" s="787"/>
      <c r="F857" s="787"/>
      <c r="G857" s="787"/>
    </row>
    <row r="858" spans="1:7" s="851" customFormat="1" ht="69">
      <c r="A858" s="848"/>
      <c r="B858" s="849"/>
      <c r="C858" s="850" t="s">
        <v>2746</v>
      </c>
      <c r="D858" s="795" t="s">
        <v>291</v>
      </c>
      <c r="E858" s="796">
        <v>1</v>
      </c>
      <c r="F858" s="787"/>
      <c r="G858" s="801"/>
    </row>
    <row r="859" spans="1:7" s="772" customFormat="1" ht="13.8">
      <c r="A859" s="852"/>
      <c r="B859" s="841"/>
      <c r="C859" s="854"/>
      <c r="D859" s="855"/>
      <c r="E859" s="854"/>
      <c r="F859" s="854"/>
      <c r="G859" s="856"/>
    </row>
    <row r="860" spans="1:7" s="772" customFormat="1" ht="69">
      <c r="A860" s="781"/>
      <c r="B860" s="767" t="s">
        <v>262</v>
      </c>
      <c r="C860" s="857" t="s">
        <v>1128</v>
      </c>
      <c r="D860" s="782"/>
      <c r="E860" s="783"/>
      <c r="F860" s="781"/>
      <c r="G860" s="781"/>
    </row>
    <row r="861" spans="1:7" s="772" customFormat="1" ht="27.6">
      <c r="A861" s="788"/>
      <c r="B861" s="863"/>
      <c r="C861" s="790" t="s">
        <v>1125</v>
      </c>
      <c r="D861" s="791"/>
      <c r="E861" s="790" t="s">
        <v>1119</v>
      </c>
      <c r="F861" s="790"/>
      <c r="G861" s="792"/>
    </row>
    <row r="862" spans="1:7" s="772" customFormat="1" ht="27.6">
      <c r="A862" s="781"/>
      <c r="B862" s="781"/>
      <c r="C862" s="857" t="s">
        <v>1126</v>
      </c>
      <c r="D862" s="782"/>
      <c r="E862" s="783"/>
      <c r="F862" s="781"/>
      <c r="G862" s="781"/>
    </row>
    <row r="863" spans="1:7" s="772" customFormat="1" ht="27.6">
      <c r="A863" s="798"/>
      <c r="B863" s="798"/>
      <c r="C863" s="768" t="s">
        <v>1121</v>
      </c>
      <c r="D863" s="776"/>
      <c r="E863" s="862"/>
      <c r="F863" s="798"/>
      <c r="G863" s="798"/>
    </row>
    <row r="864" spans="1:7" s="772" customFormat="1" ht="30.75" customHeight="1">
      <c r="C864" s="842" t="s">
        <v>2652</v>
      </c>
      <c r="D864" s="843"/>
    </row>
    <row r="865" spans="1:7" s="772" customFormat="1" ht="31.95" customHeight="1">
      <c r="A865" s="793"/>
      <c r="B865" s="774"/>
      <c r="C865" s="844" t="s">
        <v>1122</v>
      </c>
      <c r="D865" s="845"/>
      <c r="E865" s="846"/>
      <c r="F865" s="770"/>
      <c r="G865" s="771"/>
    </row>
    <row r="866" spans="1:7" s="772" customFormat="1" ht="27.6">
      <c r="C866" s="847" t="s">
        <v>633</v>
      </c>
      <c r="D866" s="843"/>
    </row>
    <row r="867" spans="1:7" s="772" customFormat="1" ht="27.6">
      <c r="A867" s="784"/>
      <c r="B867" s="767"/>
      <c r="C867" s="785" t="s">
        <v>1084</v>
      </c>
      <c r="D867" s="786"/>
      <c r="E867" s="787"/>
      <c r="F867" s="787"/>
      <c r="G867" s="787"/>
    </row>
    <row r="868" spans="1:7" s="851" customFormat="1" ht="27.6">
      <c r="A868" s="848"/>
      <c r="B868" s="849"/>
      <c r="C868" s="850" t="s">
        <v>2747</v>
      </c>
      <c r="D868" s="795" t="s">
        <v>291</v>
      </c>
      <c r="E868" s="796">
        <v>1</v>
      </c>
      <c r="F868" s="787"/>
      <c r="G868" s="801"/>
    </row>
    <row r="869" spans="1:7" s="772" customFormat="1" ht="13.8">
      <c r="A869" s="781"/>
      <c r="B869" s="781"/>
      <c r="C869" s="781"/>
      <c r="D869" s="782"/>
      <c r="E869" s="783"/>
      <c r="F869" s="781"/>
      <c r="G869" s="781"/>
    </row>
    <row r="870" spans="1:7" s="772" customFormat="1" ht="122.25" customHeight="1">
      <c r="A870" s="781"/>
      <c r="B870" s="767" t="s">
        <v>263</v>
      </c>
      <c r="C870" s="857" t="s">
        <v>1169</v>
      </c>
      <c r="D870" s="795" t="s">
        <v>291</v>
      </c>
      <c r="E870" s="796">
        <v>1</v>
      </c>
      <c r="F870" s="787"/>
      <c r="G870" s="801"/>
    </row>
    <row r="871" spans="1:7" ht="13.8">
      <c r="A871" s="15"/>
      <c r="B871" s="47"/>
      <c r="C871" s="15"/>
      <c r="D871" s="142"/>
      <c r="E871" s="16"/>
      <c r="F871" s="15"/>
      <c r="G871" s="15"/>
    </row>
    <row r="872" spans="1:7" s="809" customFormat="1" ht="69">
      <c r="A872" s="819"/>
      <c r="B872" s="804" t="s">
        <v>260</v>
      </c>
      <c r="C872" s="879" t="s">
        <v>2749</v>
      </c>
      <c r="D872" s="820"/>
      <c r="E872" s="821"/>
      <c r="F872" s="819"/>
      <c r="G872" s="819"/>
    </row>
    <row r="873" spans="1:7" s="809" customFormat="1" ht="27.6">
      <c r="A873" s="826"/>
      <c r="B873" s="885"/>
      <c r="C873" s="828" t="s">
        <v>1125</v>
      </c>
      <c r="D873" s="829"/>
      <c r="E873" s="828" t="s">
        <v>1119</v>
      </c>
      <c r="F873" s="828"/>
      <c r="G873" s="830"/>
    </row>
    <row r="874" spans="1:7" s="809" customFormat="1" ht="27.6">
      <c r="A874" s="819"/>
      <c r="B874" s="819"/>
      <c r="C874" s="879" t="s">
        <v>1126</v>
      </c>
      <c r="D874" s="820"/>
      <c r="E874" s="821"/>
      <c r="F874" s="819"/>
      <c r="G874" s="819"/>
    </row>
    <row r="875" spans="1:7" s="809" customFormat="1" ht="27.6">
      <c r="A875" s="837"/>
      <c r="B875" s="837"/>
      <c r="C875" s="805" t="s">
        <v>1121</v>
      </c>
      <c r="D875" s="813"/>
      <c r="E875" s="884"/>
      <c r="F875" s="837"/>
      <c r="G875" s="837"/>
    </row>
    <row r="876" spans="1:7" s="809" customFormat="1" ht="30" customHeight="1">
      <c r="C876" s="864" t="s">
        <v>2652</v>
      </c>
      <c r="D876" s="865"/>
    </row>
    <row r="877" spans="1:7" s="809" customFormat="1" ht="41.4">
      <c r="A877" s="826"/>
      <c r="B877" s="885"/>
      <c r="C877" s="828" t="s">
        <v>1123</v>
      </c>
      <c r="D877" s="829"/>
      <c r="E877" s="828"/>
      <c r="F877" s="828"/>
      <c r="G877" s="830"/>
    </row>
    <row r="878" spans="1:7" s="809" customFormat="1" ht="31.95" customHeight="1">
      <c r="A878" s="831"/>
      <c r="B878" s="811"/>
      <c r="C878" s="866" t="s">
        <v>1122</v>
      </c>
      <c r="D878" s="867"/>
      <c r="E878" s="868"/>
      <c r="F878" s="807"/>
      <c r="G878" s="808"/>
    </row>
    <row r="879" spans="1:7" s="809" customFormat="1" ht="27.6">
      <c r="C879" s="869" t="s">
        <v>633</v>
      </c>
      <c r="D879" s="865"/>
    </row>
    <row r="880" spans="1:7" s="809" customFormat="1" ht="27.6">
      <c r="A880" s="822"/>
      <c r="B880" s="804"/>
      <c r="C880" s="823" t="s">
        <v>1084</v>
      </c>
      <c r="D880" s="824"/>
      <c r="E880" s="825"/>
      <c r="F880" s="825"/>
      <c r="G880" s="825"/>
    </row>
    <row r="881" spans="1:7" s="873" customFormat="1" ht="41.4">
      <c r="A881" s="870"/>
      <c r="B881" s="871"/>
      <c r="C881" s="872" t="s">
        <v>2750</v>
      </c>
      <c r="D881" s="833" t="s">
        <v>291</v>
      </c>
      <c r="E881" s="834">
        <v>1</v>
      </c>
      <c r="F881" s="825">
        <v>7280</v>
      </c>
      <c r="G881" s="835">
        <f t="shared" ref="G881" si="11">E881*F881</f>
        <v>7280</v>
      </c>
    </row>
    <row r="882" spans="1:7" s="809" customFormat="1" ht="13.8">
      <c r="A882" s="874"/>
      <c r="B882" s="875"/>
      <c r="C882" s="876"/>
      <c r="D882" s="877"/>
      <c r="E882" s="876"/>
      <c r="F882" s="876"/>
      <c r="G882" s="878"/>
    </row>
    <row r="883" spans="1:7" s="809" customFormat="1" ht="55.2">
      <c r="A883" s="819"/>
      <c r="B883" s="804" t="s">
        <v>261</v>
      </c>
      <c r="C883" s="879" t="s">
        <v>2751</v>
      </c>
      <c r="D883" s="820"/>
      <c r="E883" s="821"/>
      <c r="F883" s="819"/>
      <c r="G883" s="819"/>
    </row>
    <row r="884" spans="1:7" s="809" customFormat="1" ht="41.4">
      <c r="A884" s="826"/>
      <c r="B884" s="885"/>
      <c r="C884" s="828" t="s">
        <v>1127</v>
      </c>
      <c r="D884" s="829"/>
      <c r="E884" s="828" t="s">
        <v>1119</v>
      </c>
      <c r="F884" s="828"/>
      <c r="G884" s="830"/>
    </row>
    <row r="885" spans="1:7" s="809" customFormat="1" ht="55.2">
      <c r="A885" s="819"/>
      <c r="B885" s="819"/>
      <c r="C885" s="879" t="s">
        <v>1124</v>
      </c>
      <c r="D885" s="820"/>
      <c r="E885" s="821"/>
      <c r="F885" s="819"/>
      <c r="G885" s="819"/>
    </row>
    <row r="886" spans="1:7" s="809" customFormat="1" ht="27.6">
      <c r="A886" s="837"/>
      <c r="B886" s="837"/>
      <c r="C886" s="805" t="s">
        <v>1121</v>
      </c>
      <c r="D886" s="813"/>
      <c r="E886" s="884"/>
      <c r="F886" s="837"/>
      <c r="G886" s="837"/>
    </row>
    <row r="887" spans="1:7" s="809" customFormat="1" ht="31.5" customHeight="1">
      <c r="C887" s="864" t="s">
        <v>2652</v>
      </c>
      <c r="D887" s="865"/>
    </row>
    <row r="888" spans="1:7" s="809" customFormat="1" ht="41.4">
      <c r="A888" s="826"/>
      <c r="B888" s="885"/>
      <c r="C888" s="828" t="s">
        <v>1123</v>
      </c>
      <c r="D888" s="829"/>
      <c r="E888" s="828"/>
      <c r="F888" s="828"/>
      <c r="G888" s="830"/>
    </row>
    <row r="889" spans="1:7" s="809" customFormat="1" ht="31.95" customHeight="1">
      <c r="A889" s="831"/>
      <c r="B889" s="811"/>
      <c r="C889" s="866" t="s">
        <v>1122</v>
      </c>
      <c r="D889" s="867"/>
      <c r="E889" s="868"/>
      <c r="F889" s="807"/>
      <c r="G889" s="808"/>
    </row>
    <row r="890" spans="1:7" s="809" customFormat="1" ht="27.6">
      <c r="C890" s="869" t="s">
        <v>633</v>
      </c>
      <c r="D890" s="865"/>
    </row>
    <row r="891" spans="1:7" s="809" customFormat="1" ht="27.6">
      <c r="A891" s="822"/>
      <c r="B891" s="804"/>
      <c r="C891" s="823" t="s">
        <v>1084</v>
      </c>
      <c r="D891" s="824"/>
      <c r="E891" s="825"/>
      <c r="F891" s="825"/>
      <c r="G891" s="825"/>
    </row>
    <row r="892" spans="1:7" s="873" customFormat="1" ht="69">
      <c r="A892" s="870"/>
      <c r="B892" s="871"/>
      <c r="C892" s="872" t="s">
        <v>2752</v>
      </c>
      <c r="D892" s="833" t="s">
        <v>291</v>
      </c>
      <c r="E892" s="834">
        <v>1</v>
      </c>
      <c r="F892" s="825">
        <v>1700</v>
      </c>
      <c r="G892" s="835">
        <f t="shared" ref="G892" si="12">E892*F892</f>
        <v>1700</v>
      </c>
    </row>
    <row r="893" spans="1:7" s="809" customFormat="1" ht="13.8">
      <c r="A893" s="874"/>
      <c r="B893" s="886"/>
      <c r="C893" s="876"/>
      <c r="D893" s="877"/>
      <c r="E893" s="876"/>
      <c r="F893" s="876"/>
      <c r="G893" s="878"/>
    </row>
    <row r="894" spans="1:7" s="809" customFormat="1" ht="69">
      <c r="A894" s="819"/>
      <c r="B894" s="804" t="s">
        <v>262</v>
      </c>
      <c r="C894" s="879" t="s">
        <v>1128</v>
      </c>
      <c r="D894" s="820"/>
      <c r="E894" s="821"/>
      <c r="F894" s="819"/>
      <c r="G894" s="819"/>
    </row>
    <row r="895" spans="1:7" s="809" customFormat="1" ht="27.6">
      <c r="A895" s="826"/>
      <c r="B895" s="885"/>
      <c r="C895" s="828" t="s">
        <v>1125</v>
      </c>
      <c r="D895" s="829"/>
      <c r="E895" s="828" t="s">
        <v>1119</v>
      </c>
      <c r="F895" s="828"/>
      <c r="G895" s="830"/>
    </row>
    <row r="896" spans="1:7" s="809" customFormat="1" ht="27.6">
      <c r="A896" s="819"/>
      <c r="B896" s="819"/>
      <c r="C896" s="879" t="s">
        <v>1126</v>
      </c>
      <c r="D896" s="820"/>
      <c r="E896" s="821"/>
      <c r="F896" s="819"/>
      <c r="G896" s="819"/>
    </row>
    <row r="897" spans="1:7" s="809" customFormat="1" ht="13.8">
      <c r="A897" s="837"/>
      <c r="B897" s="837"/>
      <c r="C897" s="805" t="s">
        <v>2748</v>
      </c>
      <c r="D897" s="813"/>
      <c r="E897" s="884"/>
      <c r="F897" s="837"/>
      <c r="G897" s="837"/>
    </row>
    <row r="898" spans="1:7" s="809" customFormat="1" ht="30.75" customHeight="1">
      <c r="C898" s="864" t="s">
        <v>2652</v>
      </c>
      <c r="D898" s="865"/>
    </row>
    <row r="899" spans="1:7" s="809" customFormat="1" ht="31.95" customHeight="1">
      <c r="A899" s="831"/>
      <c r="B899" s="811"/>
      <c r="C899" s="866" t="s">
        <v>1122</v>
      </c>
      <c r="D899" s="867"/>
      <c r="E899" s="868"/>
      <c r="F899" s="807"/>
      <c r="G899" s="808"/>
    </row>
    <row r="900" spans="1:7" s="809" customFormat="1" ht="27.6">
      <c r="C900" s="869" t="s">
        <v>633</v>
      </c>
      <c r="D900" s="865"/>
    </row>
    <row r="901" spans="1:7" s="809" customFormat="1" ht="27.6">
      <c r="A901" s="822"/>
      <c r="B901" s="804"/>
      <c r="C901" s="823" t="s">
        <v>1084</v>
      </c>
      <c r="D901" s="824"/>
      <c r="E901" s="825"/>
      <c r="F901" s="825"/>
      <c r="G901" s="825"/>
    </row>
    <row r="902" spans="1:7" s="873" customFormat="1" ht="27.6">
      <c r="A902" s="870"/>
      <c r="B902" s="871"/>
      <c r="C902" s="872" t="s">
        <v>2753</v>
      </c>
      <c r="D902" s="833" t="s">
        <v>291</v>
      </c>
      <c r="E902" s="834">
        <v>1</v>
      </c>
      <c r="F902" s="825">
        <v>2820</v>
      </c>
      <c r="G902" s="835">
        <f t="shared" ref="G902" si="13">E902*F902</f>
        <v>2820</v>
      </c>
    </row>
    <row r="903" spans="1:7" s="809" customFormat="1" ht="13.8">
      <c r="A903" s="819"/>
      <c r="B903" s="819"/>
      <c r="C903" s="819"/>
      <c r="D903" s="820"/>
      <c r="E903" s="821"/>
      <c r="F903" s="819"/>
      <c r="G903" s="819"/>
    </row>
    <row r="904" spans="1:7" s="809" customFormat="1" ht="119.25" customHeight="1">
      <c r="A904" s="819"/>
      <c r="B904" s="804" t="s">
        <v>263</v>
      </c>
      <c r="C904" s="879" t="s">
        <v>2754</v>
      </c>
      <c r="D904" s="833" t="s">
        <v>291</v>
      </c>
      <c r="E904" s="834">
        <v>1</v>
      </c>
      <c r="F904" s="825">
        <v>2500</v>
      </c>
      <c r="G904" s="835">
        <f t="shared" ref="G904" si="14">E904*F904</f>
        <v>2500</v>
      </c>
    </row>
    <row r="905" spans="1:7" ht="13.8">
      <c r="A905" s="47"/>
      <c r="B905" s="47"/>
      <c r="C905" s="47"/>
      <c r="D905" s="143"/>
      <c r="E905" s="48"/>
      <c r="F905" s="47"/>
      <c r="G905" s="47"/>
    </row>
    <row r="906" spans="1:7" ht="13.8">
      <c r="A906" s="82"/>
      <c r="B906" s="49" t="s">
        <v>1133</v>
      </c>
      <c r="C906" s="54" t="s">
        <v>1130</v>
      </c>
      <c r="D906" s="153"/>
      <c r="E906" s="54"/>
      <c r="F906" s="54"/>
      <c r="G906" s="84">
        <f>SUM(G881:G904)</f>
        <v>14300</v>
      </c>
    </row>
    <row r="907" spans="1:7" ht="13.8">
      <c r="A907" s="47"/>
      <c r="B907" s="47"/>
      <c r="C907" s="47"/>
      <c r="D907" s="143"/>
      <c r="E907" s="48"/>
      <c r="F907" s="47"/>
      <c r="G907" s="47"/>
    </row>
    <row r="908" spans="1:7" ht="13.8">
      <c r="A908" s="60"/>
      <c r="B908" s="176" t="s">
        <v>1132</v>
      </c>
      <c r="C908" s="174" t="s">
        <v>1131</v>
      </c>
      <c r="D908" s="142"/>
      <c r="E908" s="16"/>
      <c r="F908" s="15"/>
      <c r="G908" s="15"/>
    </row>
    <row r="909" spans="1:7" ht="13.8">
      <c r="A909" s="15"/>
      <c r="B909" s="47"/>
      <c r="C909" s="15"/>
      <c r="D909" s="142"/>
      <c r="E909" s="16"/>
      <c r="F909" s="15"/>
      <c r="G909" s="15"/>
    </row>
    <row r="910" spans="1:7" s="178" customFormat="1" ht="13.8">
      <c r="A910" s="60"/>
      <c r="B910" s="177" t="s">
        <v>0</v>
      </c>
      <c r="C910" s="14" t="s">
        <v>1022</v>
      </c>
      <c r="D910" s="179"/>
      <c r="E910" s="180"/>
      <c r="F910" s="14"/>
      <c r="G910" s="14"/>
    </row>
    <row r="911" spans="1:7" s="772" customFormat="1" ht="138">
      <c r="A911" s="788"/>
      <c r="B911" s="767" t="s">
        <v>252</v>
      </c>
      <c r="C911" s="860" t="s">
        <v>1236</v>
      </c>
      <c r="D911" s="791"/>
      <c r="E911" s="790"/>
      <c r="F911" s="790"/>
      <c r="G911" s="792"/>
    </row>
    <row r="912" spans="1:7" s="772" customFormat="1" ht="27.6">
      <c r="A912" s="781"/>
      <c r="B912" s="781"/>
      <c r="C912" s="857" t="s">
        <v>1136</v>
      </c>
      <c r="D912" s="782"/>
      <c r="E912" s="783"/>
      <c r="F912" s="781"/>
      <c r="G912" s="781"/>
    </row>
    <row r="913" spans="1:7" s="772" customFormat="1" ht="41.4">
      <c r="A913" s="788"/>
      <c r="B913" s="863"/>
      <c r="C913" s="860" t="s">
        <v>1137</v>
      </c>
      <c r="D913" s="887" t="s">
        <v>268</v>
      </c>
      <c r="E913" s="787">
        <v>3</v>
      </c>
      <c r="F913" s="888"/>
      <c r="G913" s="801"/>
    </row>
    <row r="914" spans="1:7" s="772" customFormat="1" ht="13.8">
      <c r="A914" s="798"/>
      <c r="B914" s="798"/>
      <c r="C914" s="889"/>
      <c r="D914" s="776"/>
      <c r="E914" s="862"/>
      <c r="F914" s="798"/>
      <c r="G914" s="798"/>
    </row>
    <row r="915" spans="1:7" s="772" customFormat="1" ht="124.2">
      <c r="A915" s="781"/>
      <c r="B915" s="767" t="s">
        <v>254</v>
      </c>
      <c r="C915" s="857" t="s">
        <v>1140</v>
      </c>
      <c r="D915" s="782"/>
      <c r="E915" s="783"/>
      <c r="F915" s="781"/>
      <c r="G915" s="781"/>
    </row>
    <row r="916" spans="1:7" s="772" customFormat="1" ht="56.25" customHeight="1">
      <c r="A916" s="781"/>
      <c r="B916" s="767"/>
      <c r="C916" s="857" t="s">
        <v>1257</v>
      </c>
      <c r="D916" s="782"/>
      <c r="E916" s="783"/>
      <c r="F916" s="781"/>
      <c r="G916" s="781"/>
    </row>
    <row r="917" spans="1:7" s="772" customFormat="1" ht="13.8">
      <c r="A917" s="852"/>
      <c r="B917" s="841"/>
      <c r="C917" s="790" t="s">
        <v>1139</v>
      </c>
      <c r="D917" s="887" t="s">
        <v>268</v>
      </c>
      <c r="E917" s="787">
        <v>35</v>
      </c>
      <c r="F917" s="888"/>
      <c r="G917" s="801"/>
    </row>
    <row r="918" spans="1:7" ht="13.8">
      <c r="A918" s="15"/>
      <c r="B918" s="15"/>
      <c r="C918" s="30"/>
      <c r="D918" s="21"/>
      <c r="E918" s="31"/>
      <c r="F918" s="15"/>
      <c r="G918" s="15"/>
    </row>
    <row r="919" spans="1:7" s="809" customFormat="1" ht="146.25" customHeight="1">
      <c r="A919" s="826"/>
      <c r="B919" s="804" t="s">
        <v>252</v>
      </c>
      <c r="C919" s="882" t="s">
        <v>2755</v>
      </c>
      <c r="D919" s="829"/>
      <c r="E919" s="828"/>
      <c r="F919" s="828"/>
      <c r="G919" s="830"/>
    </row>
    <row r="920" spans="1:7" s="809" customFormat="1" ht="27.6">
      <c r="A920" s="819"/>
      <c r="B920" s="819"/>
      <c r="C920" s="879" t="s">
        <v>1136</v>
      </c>
      <c r="D920" s="820"/>
      <c r="E920" s="821"/>
      <c r="F920" s="819"/>
      <c r="G920" s="819"/>
    </row>
    <row r="921" spans="1:7" s="809" customFormat="1" ht="41.4">
      <c r="A921" s="826"/>
      <c r="B921" s="885"/>
      <c r="C921" s="882" t="s">
        <v>1137</v>
      </c>
      <c r="D921" s="890" t="s">
        <v>268</v>
      </c>
      <c r="E921" s="825">
        <v>3</v>
      </c>
      <c r="F921" s="891">
        <v>660</v>
      </c>
      <c r="G921" s="835">
        <f>E921*F921</f>
        <v>1980</v>
      </c>
    </row>
    <row r="922" spans="1:7" s="809" customFormat="1" ht="13.8">
      <c r="A922" s="837"/>
      <c r="B922" s="837"/>
      <c r="C922" s="892"/>
      <c r="D922" s="813"/>
      <c r="E922" s="884"/>
      <c r="F922" s="837"/>
      <c r="G922" s="837"/>
    </row>
    <row r="923" spans="1:7" s="809" customFormat="1" ht="124.2">
      <c r="A923" s="819"/>
      <c r="B923" s="804" t="s">
        <v>254</v>
      </c>
      <c r="C923" s="879" t="s">
        <v>1140</v>
      </c>
      <c r="D923" s="820"/>
      <c r="E923" s="821"/>
      <c r="F923" s="819"/>
      <c r="G923" s="819"/>
    </row>
    <row r="924" spans="1:7" s="809" customFormat="1" ht="56.25" customHeight="1">
      <c r="A924" s="819"/>
      <c r="B924" s="804"/>
      <c r="C924" s="879" t="s">
        <v>1257</v>
      </c>
      <c r="D924" s="820"/>
      <c r="E924" s="821"/>
      <c r="F924" s="819"/>
      <c r="G924" s="819"/>
    </row>
    <row r="925" spans="1:7" s="809" customFormat="1" ht="13.8">
      <c r="A925" s="874"/>
      <c r="B925" s="886"/>
      <c r="C925" s="828" t="s">
        <v>1139</v>
      </c>
      <c r="D925" s="890" t="s">
        <v>268</v>
      </c>
      <c r="E925" s="825">
        <v>35</v>
      </c>
      <c r="F925" s="891">
        <v>250</v>
      </c>
      <c r="G925" s="835">
        <f>E925*F925</f>
        <v>8750</v>
      </c>
    </row>
    <row r="926" spans="1:7" s="178" customFormat="1" ht="13.8">
      <c r="A926" s="60"/>
      <c r="B926" s="177"/>
      <c r="C926" s="14"/>
      <c r="D926" s="179"/>
      <c r="E926" s="180"/>
      <c r="F926" s="14"/>
      <c r="G926" s="14"/>
    </row>
    <row r="927" spans="1:7" ht="13.8">
      <c r="A927" s="82"/>
      <c r="B927" s="49" t="s">
        <v>1132</v>
      </c>
      <c r="C927" s="54" t="s">
        <v>1138</v>
      </c>
      <c r="D927" s="153"/>
      <c r="E927" s="54"/>
      <c r="F927" s="54"/>
      <c r="G927" s="84">
        <f>SUM(G921:G925)</f>
        <v>10730</v>
      </c>
    </row>
    <row r="928" spans="1:7" ht="13.8">
      <c r="A928" s="47"/>
      <c r="B928" s="47"/>
      <c r="C928" s="47"/>
      <c r="D928" s="143"/>
      <c r="E928" s="48"/>
      <c r="F928" s="47"/>
      <c r="G928" s="47"/>
    </row>
    <row r="929" spans="1:7" ht="13.8">
      <c r="A929" s="82" t="s">
        <v>869</v>
      </c>
      <c r="B929" s="49" t="s">
        <v>874</v>
      </c>
      <c r="C929" s="54" t="s">
        <v>759</v>
      </c>
      <c r="D929" s="153"/>
      <c r="E929" s="54"/>
      <c r="F929" s="54"/>
      <c r="G929" s="84">
        <f>G790+G828+G906+G927</f>
        <v>92030</v>
      </c>
    </row>
    <row r="930" spans="1:7" ht="13.8">
      <c r="A930" s="80"/>
      <c r="B930" s="81"/>
      <c r="C930" s="51"/>
      <c r="D930" s="154"/>
      <c r="E930" s="51"/>
      <c r="F930" s="51"/>
      <c r="G930" s="52"/>
    </row>
    <row r="931" spans="1:7" ht="13.8">
      <c r="A931" s="15"/>
      <c r="B931" s="15"/>
      <c r="C931" s="30"/>
      <c r="D931" s="21"/>
      <c r="E931" s="31"/>
      <c r="F931" s="15"/>
      <c r="G931" s="15"/>
    </row>
    <row r="932" spans="1:7" ht="13.8">
      <c r="A932" s="60" t="s">
        <v>869</v>
      </c>
      <c r="B932" s="176" t="s">
        <v>939</v>
      </c>
      <c r="C932" s="174" t="s">
        <v>860</v>
      </c>
      <c r="D932" s="142"/>
      <c r="E932" s="16"/>
      <c r="F932" s="15"/>
      <c r="G932" s="15"/>
    </row>
    <row r="933" spans="1:7" ht="13.8">
      <c r="A933" s="15"/>
      <c r="B933" s="47"/>
      <c r="C933" s="15"/>
      <c r="D933" s="142"/>
      <c r="E933" s="16"/>
      <c r="F933" s="15"/>
      <c r="G933" s="15"/>
    </row>
    <row r="934" spans="1:7" s="178" customFormat="1" ht="13.8">
      <c r="A934" s="60"/>
      <c r="B934" s="177" t="s">
        <v>0</v>
      </c>
      <c r="C934" s="14" t="s">
        <v>1022</v>
      </c>
      <c r="D934" s="179"/>
      <c r="E934" s="180"/>
      <c r="F934" s="14"/>
      <c r="G934" s="14"/>
    </row>
    <row r="935" spans="1:7" s="160" customFormat="1" ht="170.25" customHeight="1">
      <c r="A935" s="47"/>
      <c r="B935" s="220" t="s">
        <v>252</v>
      </c>
      <c r="C935" s="263" t="s">
        <v>1141</v>
      </c>
      <c r="D935" s="148" t="s">
        <v>256</v>
      </c>
      <c r="E935" s="41">
        <v>52</v>
      </c>
      <c r="F935" s="78">
        <v>32</v>
      </c>
      <c r="G935" s="86">
        <f>E935*F935</f>
        <v>1664</v>
      </c>
    </row>
    <row r="936" spans="1:7" ht="13.8">
      <c r="A936" s="47"/>
      <c r="B936" s="47"/>
      <c r="C936" s="47"/>
      <c r="D936" s="143"/>
      <c r="E936" s="48"/>
      <c r="F936" s="47"/>
      <c r="G936" s="47"/>
    </row>
    <row r="937" spans="1:7" s="160" customFormat="1" ht="220.8">
      <c r="A937" s="47"/>
      <c r="B937" s="220" t="s">
        <v>254</v>
      </c>
      <c r="C937" s="263" t="s">
        <v>1142</v>
      </c>
      <c r="D937" s="148" t="s">
        <v>256</v>
      </c>
      <c r="E937" s="41">
        <v>35</v>
      </c>
      <c r="F937" s="78">
        <v>40</v>
      </c>
      <c r="G937" s="86">
        <f>E937*F937</f>
        <v>1400</v>
      </c>
    </row>
    <row r="938" spans="1:7" ht="13.8">
      <c r="A938" s="80"/>
      <c r="B938" s="81"/>
      <c r="C938" s="51"/>
      <c r="D938" s="154"/>
      <c r="E938" s="51"/>
      <c r="F938" s="51"/>
      <c r="G938" s="52"/>
    </row>
    <row r="939" spans="1:7" s="160" customFormat="1" ht="193.2">
      <c r="A939" s="47"/>
      <c r="B939" s="220" t="s">
        <v>257</v>
      </c>
      <c r="C939" s="263" t="s">
        <v>1229</v>
      </c>
      <c r="D939" s="148" t="s">
        <v>256</v>
      </c>
      <c r="E939" s="41">
        <v>140</v>
      </c>
      <c r="F939" s="78">
        <v>32</v>
      </c>
      <c r="G939" s="86">
        <f>E939*F939</f>
        <v>4480</v>
      </c>
    </row>
    <row r="940" spans="1:7" ht="13.8">
      <c r="A940" s="47"/>
      <c r="B940" s="47"/>
      <c r="C940" s="47"/>
      <c r="D940" s="143"/>
      <c r="E940" s="48"/>
      <c r="F940" s="47"/>
      <c r="G940" s="47"/>
    </row>
    <row r="941" spans="1:7" s="178" customFormat="1" ht="13.8">
      <c r="A941" s="60"/>
      <c r="B941" s="177" t="s">
        <v>4</v>
      </c>
      <c r="C941" s="14" t="s">
        <v>867</v>
      </c>
      <c r="D941" s="179"/>
      <c r="E941" s="180"/>
      <c r="F941" s="14"/>
      <c r="G941" s="14"/>
    </row>
    <row r="942" spans="1:7" s="160" customFormat="1" ht="171.75" customHeight="1">
      <c r="A942" s="47"/>
      <c r="B942" s="220" t="s">
        <v>260</v>
      </c>
      <c r="C942" s="263" t="s">
        <v>1143</v>
      </c>
      <c r="D942" s="148" t="s">
        <v>256</v>
      </c>
      <c r="E942" s="41">
        <v>100</v>
      </c>
      <c r="F942" s="78">
        <v>38</v>
      </c>
      <c r="G942" s="86">
        <f>E942*F942</f>
        <v>3800</v>
      </c>
    </row>
    <row r="943" spans="1:7" ht="13.8">
      <c r="A943" s="80"/>
      <c r="B943" s="81"/>
      <c r="C943" s="51"/>
      <c r="D943" s="154"/>
      <c r="E943" s="51"/>
      <c r="F943" s="51"/>
      <c r="G943" s="52"/>
    </row>
    <row r="944" spans="1:7" s="160" customFormat="1" ht="174" customHeight="1">
      <c r="A944" s="47"/>
      <c r="B944" s="220" t="s">
        <v>260</v>
      </c>
      <c r="C944" s="263" t="s">
        <v>1144</v>
      </c>
      <c r="D944" s="148" t="s">
        <v>256</v>
      </c>
      <c r="E944" s="41">
        <v>115</v>
      </c>
      <c r="F944" s="78">
        <v>42</v>
      </c>
      <c r="G944" s="86">
        <f>E944*F944</f>
        <v>4830</v>
      </c>
    </row>
    <row r="945" spans="1:7" ht="13.8">
      <c r="A945" s="47"/>
      <c r="B945" s="47"/>
      <c r="C945" s="47"/>
      <c r="D945" s="143"/>
      <c r="E945" s="48"/>
      <c r="F945" s="47"/>
      <c r="G945" s="47"/>
    </row>
    <row r="946" spans="1:7" ht="13.8">
      <c r="A946" s="82" t="s">
        <v>869</v>
      </c>
      <c r="B946" s="49" t="s">
        <v>939</v>
      </c>
      <c r="C946" s="54" t="s">
        <v>864</v>
      </c>
      <c r="D946" s="153"/>
      <c r="E946" s="54"/>
      <c r="F946" s="54"/>
      <c r="G946" s="84">
        <f>SUM(G935:G944)</f>
        <v>16174</v>
      </c>
    </row>
    <row r="947" spans="1:7" ht="13.8">
      <c r="A947" s="80"/>
      <c r="B947" s="81"/>
      <c r="C947" s="51"/>
      <c r="D947" s="154"/>
      <c r="E947" s="51"/>
      <c r="F947" s="51"/>
      <c r="G947" s="52"/>
    </row>
    <row r="948" spans="1:7" ht="13.8">
      <c r="A948" s="15"/>
      <c r="B948" s="15"/>
      <c r="C948" s="30"/>
      <c r="D948" s="21"/>
      <c r="E948" s="31"/>
      <c r="F948" s="15"/>
      <c r="G948" s="15"/>
    </row>
    <row r="949" spans="1:7" ht="13.8">
      <c r="A949" s="60" t="s">
        <v>869</v>
      </c>
      <c r="B949" s="176" t="s">
        <v>940</v>
      </c>
      <c r="C949" s="174" t="s">
        <v>294</v>
      </c>
      <c r="D949" s="142"/>
      <c r="E949" s="16"/>
      <c r="F949" s="15"/>
      <c r="G949" s="15"/>
    </row>
    <row r="950" spans="1:7" ht="13.8">
      <c r="A950" s="15"/>
      <c r="B950" s="47"/>
      <c r="C950" s="15"/>
      <c r="D950" s="142"/>
      <c r="E950" s="16"/>
      <c r="F950" s="15"/>
      <c r="G950" s="15"/>
    </row>
    <row r="951" spans="1:7" s="178" customFormat="1" ht="13.8">
      <c r="A951" s="60"/>
      <c r="B951" s="177" t="s">
        <v>0</v>
      </c>
      <c r="C951" s="14" t="s">
        <v>1022</v>
      </c>
      <c r="D951" s="179"/>
      <c r="E951" s="180"/>
      <c r="F951" s="14"/>
      <c r="G951" s="14"/>
    </row>
    <row r="952" spans="1:7" ht="106.5" customHeight="1">
      <c r="A952" s="70"/>
      <c r="B952" s="18" t="s">
        <v>252</v>
      </c>
      <c r="C952" s="64" t="s">
        <v>1145</v>
      </c>
      <c r="D952" s="144"/>
      <c r="E952" s="41"/>
      <c r="F952" s="41"/>
      <c r="G952" s="73"/>
    </row>
    <row r="953" spans="1:7" ht="42.75" customHeight="1">
      <c r="A953" s="74"/>
      <c r="B953" s="33"/>
      <c r="C953" s="64" t="s">
        <v>1146</v>
      </c>
      <c r="D953" s="144"/>
      <c r="E953" s="41"/>
      <c r="F953" s="41"/>
      <c r="G953" s="73"/>
    </row>
    <row r="954" spans="1:7" ht="27.6">
      <c r="A954" s="74"/>
      <c r="B954" s="33"/>
      <c r="C954" s="64" t="s">
        <v>295</v>
      </c>
      <c r="D954" s="144"/>
      <c r="E954" s="41"/>
      <c r="F954" s="41"/>
      <c r="G954" s="73"/>
    </row>
    <row r="955" spans="1:7" s="160" customFormat="1" ht="27.6">
      <c r="A955" s="42"/>
      <c r="B955" s="33"/>
      <c r="C955" s="218" t="s">
        <v>296</v>
      </c>
      <c r="D955" s="159" t="s">
        <v>256</v>
      </c>
      <c r="E955" s="41">
        <v>18</v>
      </c>
      <c r="F955" s="41">
        <v>60</v>
      </c>
      <c r="G955" s="86">
        <f>E955*F955</f>
        <v>1080</v>
      </c>
    </row>
    <row r="956" spans="1:7" ht="13.8">
      <c r="A956" s="74"/>
      <c r="B956" s="33"/>
      <c r="C956" s="141"/>
      <c r="D956" s="156"/>
      <c r="E956" s="141"/>
      <c r="F956" s="141"/>
      <c r="G956" s="28"/>
    </row>
    <row r="957" spans="1:7" ht="131.25" customHeight="1">
      <c r="A957" s="70"/>
      <c r="B957" s="18" t="s">
        <v>254</v>
      </c>
      <c r="C957" s="64" t="s">
        <v>859</v>
      </c>
      <c r="D957" s="144"/>
      <c r="E957" s="41"/>
      <c r="F957" s="41"/>
      <c r="G957" s="73"/>
    </row>
    <row r="958" spans="1:7" ht="55.5" customHeight="1">
      <c r="A958" s="74"/>
      <c r="B958" s="33"/>
      <c r="C958" s="64" t="s">
        <v>1146</v>
      </c>
      <c r="D958" s="144"/>
      <c r="E958" s="41"/>
      <c r="F958" s="41"/>
      <c r="G958" s="73"/>
    </row>
    <row r="959" spans="1:7" ht="27.6">
      <c r="A959" s="74"/>
      <c r="B959" s="33"/>
      <c r="C959" s="64" t="s">
        <v>295</v>
      </c>
      <c r="D959" s="144"/>
      <c r="E959" s="41"/>
      <c r="F959" s="41"/>
      <c r="G959" s="73"/>
    </row>
    <row r="960" spans="1:7" s="160" customFormat="1" ht="27.6">
      <c r="A960" s="42"/>
      <c r="B960" s="33"/>
      <c r="C960" s="218" t="s">
        <v>296</v>
      </c>
      <c r="D960" s="159" t="s">
        <v>256</v>
      </c>
      <c r="E960" s="41">
        <v>28</v>
      </c>
      <c r="F960" s="41">
        <v>70</v>
      </c>
      <c r="G960" s="86">
        <f>E960*F960</f>
        <v>1960</v>
      </c>
    </row>
    <row r="961" spans="1:7" ht="13.8">
      <c r="A961" s="80"/>
      <c r="B961" s="50"/>
      <c r="C961" s="51"/>
      <c r="D961" s="154"/>
      <c r="E961" s="51"/>
      <c r="F961" s="51"/>
      <c r="G961" s="52"/>
    </row>
    <row r="962" spans="1:7" s="178" customFormat="1" ht="13.8">
      <c r="A962" s="60"/>
      <c r="B962" s="177" t="s">
        <v>4</v>
      </c>
      <c r="C962" s="14" t="s">
        <v>867</v>
      </c>
      <c r="D962" s="179"/>
      <c r="E962" s="180"/>
      <c r="F962" s="14"/>
      <c r="G962" s="14"/>
    </row>
    <row r="963" spans="1:7" ht="119.25" customHeight="1">
      <c r="A963" s="70"/>
      <c r="B963" s="18" t="s">
        <v>260</v>
      </c>
      <c r="C963" s="64" t="s">
        <v>1147</v>
      </c>
      <c r="D963" s="144"/>
      <c r="E963" s="41"/>
      <c r="F963" s="41"/>
      <c r="G963" s="73"/>
    </row>
    <row r="964" spans="1:7" ht="53.25" customHeight="1">
      <c r="A964" s="74"/>
      <c r="B964" s="33"/>
      <c r="C964" s="64" t="s">
        <v>1146</v>
      </c>
      <c r="D964" s="144"/>
      <c r="E964" s="41"/>
      <c r="F964" s="41"/>
      <c r="G964" s="73"/>
    </row>
    <row r="965" spans="1:7" ht="27.6">
      <c r="A965" s="74"/>
      <c r="B965" s="33"/>
      <c r="C965" s="64" t="s">
        <v>295</v>
      </c>
      <c r="D965" s="144"/>
      <c r="E965" s="41"/>
      <c r="F965" s="41"/>
      <c r="G965" s="73"/>
    </row>
    <row r="966" spans="1:7" s="160" customFormat="1" ht="27.6">
      <c r="A966" s="42"/>
      <c r="B966" s="33"/>
      <c r="C966" s="218" t="s">
        <v>296</v>
      </c>
      <c r="D966" s="159" t="s">
        <v>256</v>
      </c>
      <c r="E966" s="41">
        <v>82</v>
      </c>
      <c r="F966" s="41">
        <v>70</v>
      </c>
      <c r="G966" s="86">
        <f>E966*F966</f>
        <v>5740</v>
      </c>
    </row>
    <row r="967" spans="1:7" ht="13.8">
      <c r="A967" s="74"/>
      <c r="B967" s="33"/>
      <c r="C967" s="141"/>
      <c r="D967" s="156"/>
      <c r="E967" s="141"/>
      <c r="F967" s="141"/>
      <c r="G967" s="28"/>
    </row>
    <row r="968" spans="1:7" ht="131.25" customHeight="1">
      <c r="A968" s="70"/>
      <c r="B968" s="18" t="s">
        <v>261</v>
      </c>
      <c r="C968" s="64" t="s">
        <v>859</v>
      </c>
      <c r="D968" s="144"/>
      <c r="E968" s="41"/>
      <c r="F968" s="41"/>
      <c r="G968" s="73"/>
    </row>
    <row r="969" spans="1:7" ht="42.75" customHeight="1">
      <c r="A969" s="74"/>
      <c r="B969" s="33"/>
      <c r="C969" s="64" t="s">
        <v>1146</v>
      </c>
      <c r="D969" s="144"/>
      <c r="E969" s="41"/>
      <c r="F969" s="41"/>
      <c r="G969" s="73"/>
    </row>
    <row r="970" spans="1:7" ht="27.6">
      <c r="A970" s="74"/>
      <c r="B970" s="33"/>
      <c r="C970" s="64" t="s">
        <v>295</v>
      </c>
      <c r="D970" s="144"/>
      <c r="E970" s="41"/>
      <c r="F970" s="41"/>
      <c r="G970" s="73"/>
    </row>
    <row r="971" spans="1:7" s="160" customFormat="1" ht="27.6">
      <c r="A971" s="42"/>
      <c r="B971" s="33"/>
      <c r="C971" s="218" t="s">
        <v>296</v>
      </c>
      <c r="D971" s="159" t="s">
        <v>256</v>
      </c>
      <c r="E971" s="41">
        <v>170</v>
      </c>
      <c r="F971" s="41">
        <v>60</v>
      </c>
      <c r="G971" s="86">
        <f>E971*F971</f>
        <v>10200</v>
      </c>
    </row>
    <row r="972" spans="1:7" ht="13.8">
      <c r="A972" s="47"/>
      <c r="B972" s="47"/>
      <c r="C972" s="47"/>
      <c r="D972" s="143"/>
      <c r="E972" s="48"/>
      <c r="F972" s="47"/>
      <c r="G972" s="47"/>
    </row>
    <row r="973" spans="1:7" ht="13.8">
      <c r="A973" s="82" t="s">
        <v>869</v>
      </c>
      <c r="B973" s="49" t="s">
        <v>940</v>
      </c>
      <c r="C973" s="54" t="s">
        <v>865</v>
      </c>
      <c r="D973" s="153"/>
      <c r="E973" s="54"/>
      <c r="F973" s="54"/>
      <c r="G973" s="84">
        <f>SUM(G955:G971)</f>
        <v>18980</v>
      </c>
    </row>
    <row r="974" spans="1:7" ht="13.8">
      <c r="A974" s="80"/>
      <c r="B974" s="81"/>
      <c r="C974" s="51"/>
      <c r="D974" s="154"/>
      <c r="E974" s="51"/>
      <c r="F974" s="51"/>
      <c r="G974" s="52"/>
    </row>
    <row r="975" spans="1:7" ht="13.8">
      <c r="A975" s="15"/>
      <c r="B975" s="15"/>
      <c r="C975" s="30"/>
      <c r="D975" s="21"/>
      <c r="E975" s="31"/>
      <c r="F975" s="15"/>
      <c r="G975" s="15"/>
    </row>
    <row r="976" spans="1:7" ht="13.8">
      <c r="A976" s="60" t="s">
        <v>869</v>
      </c>
      <c r="B976" s="176" t="s">
        <v>958</v>
      </c>
      <c r="C976" s="174" t="s">
        <v>1148</v>
      </c>
      <c r="D976" s="142"/>
      <c r="E976" s="16"/>
      <c r="F976" s="15"/>
      <c r="G976" s="15"/>
    </row>
    <row r="977" spans="1:7" ht="13.8">
      <c r="A977" s="15"/>
      <c r="B977" s="47"/>
      <c r="C977" s="15"/>
      <c r="D977" s="142"/>
      <c r="E977" s="16"/>
      <c r="F977" s="15"/>
      <c r="G977" s="15"/>
    </row>
    <row r="978" spans="1:7" s="178" customFormat="1" ht="13.8">
      <c r="A978" s="60"/>
      <c r="B978" s="177" t="s">
        <v>0</v>
      </c>
      <c r="C978" s="14" t="s">
        <v>1022</v>
      </c>
      <c r="D978" s="179"/>
      <c r="E978" s="180"/>
      <c r="F978" s="14"/>
      <c r="G978" s="14"/>
    </row>
    <row r="979" spans="1:7" s="160" customFormat="1" ht="300" customHeight="1">
      <c r="A979" s="17"/>
      <c r="B979" s="18" t="s">
        <v>252</v>
      </c>
      <c r="C979" s="30" t="s">
        <v>1149</v>
      </c>
      <c r="D979" s="21" t="s">
        <v>256</v>
      </c>
      <c r="E979" s="29">
        <v>220</v>
      </c>
      <c r="F979" s="12">
        <v>30</v>
      </c>
      <c r="G979" s="85">
        <f>E979*F979</f>
        <v>6600</v>
      </c>
    </row>
    <row r="980" spans="1:7" ht="13.8">
      <c r="A980" s="47"/>
      <c r="B980" s="47"/>
      <c r="C980" s="47"/>
      <c r="D980" s="143"/>
      <c r="E980" s="48"/>
      <c r="F980" s="47"/>
      <c r="G980" s="47"/>
    </row>
    <row r="981" spans="1:7" ht="165.6">
      <c r="A981" s="61"/>
      <c r="B981" s="18" t="s">
        <v>254</v>
      </c>
      <c r="C981" s="32" t="s">
        <v>1150</v>
      </c>
      <c r="D981" s="21" t="s">
        <v>256</v>
      </c>
      <c r="E981" s="29">
        <v>30</v>
      </c>
      <c r="F981" s="12">
        <v>60</v>
      </c>
      <c r="G981" s="85">
        <f>E981*F981</f>
        <v>1800</v>
      </c>
    </row>
    <row r="982" spans="1:7" ht="13.8">
      <c r="A982" s="47"/>
      <c r="B982" s="47"/>
      <c r="C982" s="47"/>
      <c r="D982" s="143"/>
      <c r="E982" s="48"/>
      <c r="F982" s="47"/>
      <c r="G982" s="47"/>
    </row>
    <row r="983" spans="1:7" ht="69">
      <c r="A983" s="61"/>
      <c r="B983" s="18" t="s">
        <v>257</v>
      </c>
      <c r="C983" s="22" t="s">
        <v>1151</v>
      </c>
      <c r="D983" s="21"/>
      <c r="E983" s="29"/>
      <c r="F983" s="12"/>
      <c r="G983" s="209"/>
    </row>
    <row r="984" spans="1:7" s="160" customFormat="1" ht="29.25" customHeight="1">
      <c r="A984" s="61"/>
      <c r="B984" s="18"/>
      <c r="C984" s="257" t="s">
        <v>1154</v>
      </c>
      <c r="D984" s="21" t="s">
        <v>256</v>
      </c>
      <c r="E984" s="29">
        <v>22</v>
      </c>
      <c r="F984" s="12">
        <v>80</v>
      </c>
      <c r="G984" s="85">
        <f>E984*F984</f>
        <v>1760</v>
      </c>
    </row>
    <row r="985" spans="1:7" s="160" customFormat="1" ht="29.25" customHeight="1">
      <c r="A985" s="61"/>
      <c r="B985" s="18"/>
      <c r="C985" s="257" t="s">
        <v>1153</v>
      </c>
      <c r="D985" s="21" t="s">
        <v>256</v>
      </c>
      <c r="E985" s="29">
        <v>70</v>
      </c>
      <c r="F985" s="12">
        <v>80</v>
      </c>
      <c r="G985" s="85">
        <f>E985*F985</f>
        <v>5600</v>
      </c>
    </row>
    <row r="986" spans="1:7" s="160" customFormat="1" ht="44.25" customHeight="1">
      <c r="A986" s="61"/>
      <c r="B986" s="18"/>
      <c r="C986" s="257" t="s">
        <v>1152</v>
      </c>
      <c r="D986" s="71" t="s">
        <v>256</v>
      </c>
      <c r="E986" s="233">
        <v>10</v>
      </c>
      <c r="F986" s="233">
        <v>100</v>
      </c>
      <c r="G986" s="85">
        <f>E986*F986</f>
        <v>1000</v>
      </c>
    </row>
    <row r="987" spans="1:7" ht="13.8">
      <c r="A987" s="47"/>
      <c r="B987" s="47"/>
      <c r="C987" s="47"/>
      <c r="D987" s="143"/>
      <c r="E987" s="48"/>
      <c r="F987" s="47"/>
      <c r="G987" s="47"/>
    </row>
    <row r="988" spans="1:7" s="160" customFormat="1" ht="80.25" customHeight="1">
      <c r="A988" s="216"/>
      <c r="B988" s="18" t="s">
        <v>304</v>
      </c>
      <c r="C988" s="218" t="s">
        <v>841</v>
      </c>
      <c r="D988" s="159"/>
      <c r="E988" s="41"/>
      <c r="F988" s="41"/>
      <c r="G988" s="41"/>
    </row>
    <row r="989" spans="1:7" ht="96.6">
      <c r="A989" s="70"/>
      <c r="B989" s="18"/>
      <c r="C989" s="64" t="s">
        <v>856</v>
      </c>
      <c r="D989" s="144"/>
      <c r="E989" s="41"/>
      <c r="F989" s="41"/>
      <c r="G989" s="73"/>
    </row>
    <row r="990" spans="1:7" ht="27.6">
      <c r="A990" s="74"/>
      <c r="B990" s="33"/>
      <c r="C990" s="64" t="s">
        <v>292</v>
      </c>
      <c r="D990" s="144"/>
      <c r="E990" s="41"/>
      <c r="F990" s="41"/>
      <c r="G990" s="73"/>
    </row>
    <row r="991" spans="1:7" s="160" customFormat="1" ht="13.8">
      <c r="A991" s="42"/>
      <c r="B991" s="33"/>
      <c r="C991" s="218" t="s">
        <v>293</v>
      </c>
      <c r="D991" s="159" t="s">
        <v>256</v>
      </c>
      <c r="E991" s="41">
        <v>440</v>
      </c>
      <c r="F991" s="41">
        <v>16</v>
      </c>
      <c r="G991" s="86">
        <f>E991*F991</f>
        <v>7040</v>
      </c>
    </row>
    <row r="992" spans="1:7" ht="13.8">
      <c r="A992" s="80"/>
      <c r="B992" s="81"/>
      <c r="C992" s="51"/>
      <c r="D992" s="154"/>
      <c r="E992" s="51"/>
      <c r="F992" s="51"/>
      <c r="G992" s="52"/>
    </row>
    <row r="993" spans="1:7" ht="70.5" customHeight="1">
      <c r="A993" s="70"/>
      <c r="B993" s="18" t="s">
        <v>319</v>
      </c>
      <c r="C993" s="58" t="s">
        <v>857</v>
      </c>
      <c r="D993" s="144"/>
      <c r="E993" s="41"/>
      <c r="F993" s="41"/>
      <c r="G993" s="73"/>
    </row>
    <row r="994" spans="1:7" ht="96.6">
      <c r="A994" s="70"/>
      <c r="B994" s="18"/>
      <c r="C994" s="64" t="s">
        <v>856</v>
      </c>
      <c r="D994" s="144"/>
      <c r="E994" s="41"/>
      <c r="F994" s="41"/>
      <c r="G994" s="73"/>
    </row>
    <row r="995" spans="1:7" ht="27.6">
      <c r="A995" s="74"/>
      <c r="B995" s="33"/>
      <c r="C995" s="64" t="s">
        <v>292</v>
      </c>
      <c r="D995" s="144"/>
      <c r="E995" s="41"/>
      <c r="F995" s="41"/>
      <c r="G995" s="73"/>
    </row>
    <row r="996" spans="1:7" s="160" customFormat="1" ht="13.8">
      <c r="A996" s="42"/>
      <c r="B996" s="33"/>
      <c r="C996" s="218" t="s">
        <v>293</v>
      </c>
      <c r="D996" s="159" t="s">
        <v>256</v>
      </c>
      <c r="E996" s="41">
        <v>140</v>
      </c>
      <c r="F996" s="41">
        <v>10</v>
      </c>
      <c r="G996" s="86">
        <f>E996*F996</f>
        <v>1400</v>
      </c>
    </row>
    <row r="997" spans="1:7" ht="13.8">
      <c r="A997" s="47"/>
      <c r="B997" s="47"/>
      <c r="C997" s="47"/>
      <c r="D997" s="143"/>
      <c r="E997" s="48"/>
      <c r="F997" s="47"/>
      <c r="G997" s="47"/>
    </row>
    <row r="998" spans="1:7" s="178" customFormat="1" ht="13.8">
      <c r="A998" s="60"/>
      <c r="B998" s="177" t="s">
        <v>4</v>
      </c>
      <c r="C998" s="14" t="s">
        <v>867</v>
      </c>
      <c r="D998" s="179"/>
      <c r="E998" s="180"/>
      <c r="F998" s="14"/>
      <c r="G998" s="14"/>
    </row>
    <row r="999" spans="1:7" s="160" customFormat="1" ht="67.5" customHeight="1">
      <c r="A999" s="216"/>
      <c r="B999" s="18" t="s">
        <v>260</v>
      </c>
      <c r="C999" s="218" t="s">
        <v>1156</v>
      </c>
      <c r="D999" s="159"/>
      <c r="E999" s="41"/>
      <c r="F999" s="41"/>
      <c r="G999" s="41"/>
    </row>
    <row r="1000" spans="1:7" ht="96.6">
      <c r="A1000" s="70"/>
      <c r="B1000" s="18"/>
      <c r="C1000" s="64" t="s">
        <v>856</v>
      </c>
      <c r="D1000" s="144"/>
      <c r="E1000" s="41"/>
      <c r="F1000" s="41"/>
      <c r="G1000" s="73"/>
    </row>
    <row r="1001" spans="1:7" ht="27.6">
      <c r="A1001" s="74"/>
      <c r="B1001" s="33"/>
      <c r="C1001" s="64" t="s">
        <v>292</v>
      </c>
      <c r="D1001" s="144"/>
      <c r="E1001" s="41"/>
      <c r="F1001" s="41"/>
      <c r="G1001" s="73"/>
    </row>
    <row r="1002" spans="1:7" s="160" customFormat="1" ht="13.8">
      <c r="A1002" s="42"/>
      <c r="B1002" s="33"/>
      <c r="C1002" s="218" t="s">
        <v>293</v>
      </c>
      <c r="D1002" s="159" t="s">
        <v>256</v>
      </c>
      <c r="E1002" s="41">
        <v>3435</v>
      </c>
      <c r="F1002" s="41">
        <v>1</v>
      </c>
      <c r="G1002" s="86">
        <f>E1002*F1002</f>
        <v>3435</v>
      </c>
    </row>
    <row r="1003" spans="1:7" ht="13.8">
      <c r="A1003" s="80"/>
      <c r="B1003" s="81"/>
      <c r="C1003" s="51"/>
      <c r="D1003" s="154"/>
      <c r="E1003" s="51"/>
      <c r="F1003" s="51"/>
      <c r="G1003" s="52"/>
    </row>
    <row r="1004" spans="1:7" ht="55.5" customHeight="1">
      <c r="A1004" s="70"/>
      <c r="B1004" s="18" t="s">
        <v>261</v>
      </c>
      <c r="C1004" s="58" t="s">
        <v>1155</v>
      </c>
      <c r="D1004" s="144"/>
      <c r="E1004" s="41"/>
      <c r="F1004" s="41"/>
      <c r="G1004" s="73"/>
    </row>
    <row r="1005" spans="1:7" ht="96.6">
      <c r="A1005" s="70"/>
      <c r="B1005" s="18"/>
      <c r="C1005" s="64" t="s">
        <v>856</v>
      </c>
      <c r="D1005" s="144"/>
      <c r="E1005" s="41"/>
      <c r="F1005" s="41"/>
      <c r="G1005" s="73"/>
    </row>
    <row r="1006" spans="1:7" ht="27.6">
      <c r="A1006" s="74"/>
      <c r="B1006" s="33"/>
      <c r="C1006" s="64" t="s">
        <v>292</v>
      </c>
      <c r="D1006" s="144"/>
      <c r="E1006" s="41"/>
      <c r="F1006" s="41"/>
      <c r="G1006" s="73"/>
    </row>
    <row r="1007" spans="1:7" s="160" customFormat="1" ht="13.8">
      <c r="A1007" s="42"/>
      <c r="B1007" s="33"/>
      <c r="C1007" s="218" t="s">
        <v>293</v>
      </c>
      <c r="D1007" s="159" t="s">
        <v>256</v>
      </c>
      <c r="E1007" s="41">
        <v>1835</v>
      </c>
      <c r="F1007" s="41">
        <v>32</v>
      </c>
      <c r="G1007" s="86">
        <f>E1007*F1007</f>
        <v>58720</v>
      </c>
    </row>
    <row r="1008" spans="1:7" ht="13.8">
      <c r="A1008" s="47"/>
      <c r="B1008" s="47"/>
      <c r="C1008" s="47"/>
      <c r="D1008" s="143"/>
      <c r="E1008" s="48"/>
      <c r="F1008" s="47"/>
      <c r="G1008" s="47"/>
    </row>
    <row r="1009" spans="1:7" ht="13.8">
      <c r="A1009" s="82" t="s">
        <v>869</v>
      </c>
      <c r="B1009" s="49" t="s">
        <v>958</v>
      </c>
      <c r="C1009" s="54" t="s">
        <v>1157</v>
      </c>
      <c r="D1009" s="153"/>
      <c r="E1009" s="54"/>
      <c r="F1009" s="54"/>
      <c r="G1009" s="84">
        <f>SUM(G979:G1007)</f>
        <v>87355</v>
      </c>
    </row>
    <row r="1010" spans="1:7" ht="13.8">
      <c r="A1010" s="80"/>
      <c r="B1010" s="81"/>
      <c r="C1010" s="51"/>
      <c r="D1010" s="154"/>
      <c r="E1010" s="51"/>
      <c r="F1010" s="51"/>
      <c r="G1010" s="52"/>
    </row>
    <row r="1011" spans="1:7" ht="13.8">
      <c r="A1011" s="15"/>
      <c r="B1011" s="15"/>
      <c r="C1011" s="30"/>
      <c r="D1011" s="21"/>
      <c r="E1011" s="31"/>
      <c r="F1011" s="15"/>
      <c r="G1011" s="15"/>
    </row>
    <row r="1012" spans="1:7" ht="13.8">
      <c r="A1012" s="60" t="s">
        <v>869</v>
      </c>
      <c r="B1012" s="176" t="s">
        <v>962</v>
      </c>
      <c r="C1012" s="174" t="s">
        <v>297</v>
      </c>
      <c r="D1012" s="142"/>
      <c r="E1012" s="16"/>
      <c r="F1012" s="15"/>
      <c r="G1012" s="15"/>
    </row>
    <row r="1013" spans="1:7" ht="13.8">
      <c r="A1013" s="15"/>
      <c r="B1013" s="47"/>
      <c r="C1013" s="15"/>
      <c r="D1013" s="142"/>
      <c r="E1013" s="16"/>
      <c r="F1013" s="15"/>
      <c r="G1013" s="15"/>
    </row>
    <row r="1014" spans="1:7" s="178" customFormat="1" ht="13.8">
      <c r="A1014" s="60"/>
      <c r="B1014" s="177" t="s">
        <v>0</v>
      </c>
      <c r="C1014" s="14" t="s">
        <v>1022</v>
      </c>
      <c r="D1014" s="179"/>
      <c r="E1014" s="180"/>
      <c r="F1014" s="14"/>
      <c r="G1014" s="14"/>
    </row>
    <row r="1015" spans="1:7" s="259" customFormat="1" ht="41.4">
      <c r="A1015" s="260"/>
      <c r="B1015" s="265" t="s">
        <v>252</v>
      </c>
      <c r="C1015" s="268" t="s">
        <v>1158</v>
      </c>
      <c r="D1015" s="222"/>
      <c r="E1015" s="221"/>
      <c r="F1015" s="221"/>
      <c r="G1015" s="223"/>
    </row>
    <row r="1016" spans="1:7" s="259" customFormat="1" ht="93.75" customHeight="1">
      <c r="A1016" s="266"/>
      <c r="B1016" s="266"/>
      <c r="C1016" s="263" t="s">
        <v>1159</v>
      </c>
      <c r="D1016" s="264"/>
      <c r="E1016" s="267"/>
      <c r="F1016" s="266"/>
      <c r="G1016" s="266"/>
    </row>
    <row r="1017" spans="1:7" s="259" customFormat="1" ht="117.75" customHeight="1">
      <c r="A1017" s="260"/>
      <c r="B1017" s="262"/>
      <c r="C1017" s="268" t="s">
        <v>1160</v>
      </c>
      <c r="D1017" s="222"/>
      <c r="E1017" s="221"/>
      <c r="F1017" s="221"/>
      <c r="G1017" s="223"/>
    </row>
    <row r="1018" spans="1:7" s="275" customFormat="1" ht="41.4">
      <c r="A1018" s="194"/>
      <c r="B1018" s="194"/>
      <c r="C1018" s="270" t="s">
        <v>1265</v>
      </c>
      <c r="D1018" s="273"/>
      <c r="E1018" s="274"/>
      <c r="F1018" s="194"/>
      <c r="G1018" s="194"/>
    </row>
    <row r="1019" spans="1:7" s="275" customFormat="1" ht="41.4">
      <c r="A1019" s="261"/>
      <c r="B1019" s="261"/>
      <c r="C1019" s="263" t="s">
        <v>1266</v>
      </c>
      <c r="D1019" s="276"/>
      <c r="E1019" s="277"/>
      <c r="F1019" s="261"/>
      <c r="G1019" s="261"/>
    </row>
    <row r="1020" spans="1:7" s="275" customFormat="1" ht="27.6">
      <c r="A1020" s="261"/>
      <c r="B1020" s="261"/>
      <c r="C1020" s="263" t="s">
        <v>1267</v>
      </c>
      <c r="D1020" s="276"/>
      <c r="E1020" s="277"/>
      <c r="F1020" s="261"/>
      <c r="G1020" s="261"/>
    </row>
    <row r="1021" spans="1:7" s="275" customFormat="1" ht="27.6">
      <c r="A1021" s="219"/>
      <c r="B1021" s="220"/>
      <c r="C1021" s="268" t="s">
        <v>1268</v>
      </c>
      <c r="D1021" s="278"/>
      <c r="E1021" s="227"/>
      <c r="F1021" s="227"/>
      <c r="G1021" s="279"/>
    </row>
    <row r="1022" spans="1:7" s="275" customFormat="1" ht="41.4">
      <c r="C1022" s="225" t="s">
        <v>1269</v>
      </c>
      <c r="D1022" s="280"/>
    </row>
    <row r="1023" spans="1:7" s="275" customFormat="1" ht="27.6">
      <c r="C1023" s="225" t="s">
        <v>1270</v>
      </c>
      <c r="D1023" s="280"/>
    </row>
    <row r="1024" spans="1:7" s="275" customFormat="1" ht="41.4">
      <c r="C1024" s="225" t="s">
        <v>1271</v>
      </c>
      <c r="D1024" s="280"/>
    </row>
    <row r="1025" spans="1:7" s="275" customFormat="1" ht="41.4">
      <c r="C1025" s="225" t="s">
        <v>1272</v>
      </c>
      <c r="D1025" s="280"/>
    </row>
    <row r="1026" spans="1:7" s="275" customFormat="1" ht="13.8">
      <c r="C1026" s="225" t="s">
        <v>1273</v>
      </c>
      <c r="D1026" s="280"/>
    </row>
    <row r="1027" spans="1:7" s="275" customFormat="1" ht="30" customHeight="1">
      <c r="C1027" s="225" t="s">
        <v>1274</v>
      </c>
      <c r="D1027" s="280"/>
    </row>
    <row r="1028" spans="1:7" s="275" customFormat="1" ht="42" customHeight="1">
      <c r="C1028" s="225" t="s">
        <v>1275</v>
      </c>
      <c r="D1028" s="280"/>
    </row>
    <row r="1029" spans="1:7" s="275" customFormat="1" ht="41.4">
      <c r="C1029" s="225" t="s">
        <v>1276</v>
      </c>
      <c r="D1029" s="280"/>
    </row>
    <row r="1030" spans="1:7" s="275" customFormat="1" ht="27.6">
      <c r="A1030" s="272"/>
      <c r="B1030" s="234"/>
      <c r="C1030" s="268" t="s">
        <v>1277</v>
      </c>
      <c r="D1030" s="278"/>
      <c r="E1030" s="227"/>
      <c r="F1030" s="227"/>
      <c r="G1030" s="279"/>
    </row>
    <row r="1031" spans="1:7" s="275" customFormat="1" ht="41.4">
      <c r="A1031" s="17"/>
      <c r="B1031" s="224"/>
      <c r="C1031" s="225" t="s">
        <v>1278</v>
      </c>
      <c r="D1031" s="288"/>
      <c r="E1031" s="20"/>
      <c r="F1031" s="20"/>
      <c r="G1031" s="282"/>
    </row>
    <row r="1032" spans="1:7" s="275" customFormat="1" ht="27.6">
      <c r="A1032" s="194"/>
      <c r="B1032" s="194"/>
      <c r="C1032" s="270" t="s">
        <v>1279</v>
      </c>
      <c r="D1032" s="273"/>
      <c r="E1032" s="274"/>
      <c r="F1032" s="281"/>
      <c r="G1032" s="282"/>
    </row>
    <row r="1033" spans="1:7" s="275" customFormat="1" ht="55.2">
      <c r="A1033" s="70"/>
      <c r="B1033" s="18"/>
      <c r="C1033" s="270" t="s">
        <v>1168</v>
      </c>
      <c r="D1033" s="273"/>
      <c r="E1033" s="283"/>
      <c r="F1033" s="281"/>
      <c r="G1033" s="284"/>
    </row>
    <row r="1034" spans="1:7" s="275" customFormat="1" ht="27.6">
      <c r="A1034" s="70"/>
      <c r="B1034" s="18"/>
      <c r="C1034" s="269" t="s">
        <v>1162</v>
      </c>
      <c r="D1034" s="273"/>
      <c r="E1034" s="20"/>
      <c r="F1034" s="20"/>
      <c r="G1034" s="284"/>
    </row>
    <row r="1035" spans="1:7" s="275" customFormat="1" ht="41.4">
      <c r="A1035" s="70"/>
      <c r="B1035" s="18"/>
      <c r="C1035" s="269" t="s">
        <v>1163</v>
      </c>
      <c r="D1035" s="273"/>
      <c r="E1035" s="20"/>
      <c r="F1035" s="20"/>
      <c r="G1035" s="284"/>
    </row>
    <row r="1036" spans="1:7" s="275" customFormat="1" ht="27.6">
      <c r="A1036" s="70"/>
      <c r="B1036" s="18"/>
      <c r="C1036" s="269" t="s">
        <v>1164</v>
      </c>
      <c r="D1036" s="273"/>
      <c r="E1036" s="20"/>
      <c r="F1036" s="20"/>
      <c r="G1036" s="284"/>
    </row>
    <row r="1037" spans="1:7" s="275" customFormat="1" ht="27.6">
      <c r="A1037" s="17"/>
      <c r="B1037" s="18"/>
      <c r="C1037" s="36" t="s">
        <v>1161</v>
      </c>
      <c r="D1037" s="159" t="s">
        <v>256</v>
      </c>
      <c r="E1037" s="41">
        <v>56</v>
      </c>
      <c r="F1037" s="41">
        <v>70</v>
      </c>
      <c r="G1037" s="86">
        <f>E1037*F1037</f>
        <v>3920</v>
      </c>
    </row>
    <row r="1038" spans="1:7" s="275" customFormat="1" ht="13.8">
      <c r="A1038" s="70"/>
      <c r="B1038" s="18"/>
      <c r="C1038" s="271"/>
      <c r="D1038" s="285"/>
      <c r="E1038" s="286"/>
      <c r="F1038" s="287"/>
      <c r="G1038" s="286"/>
    </row>
    <row r="1039" spans="1:7" s="275" customFormat="1" ht="82.8">
      <c r="A1039" s="216"/>
      <c r="B1039" s="265" t="s">
        <v>254</v>
      </c>
      <c r="C1039" s="225" t="s">
        <v>1165</v>
      </c>
      <c r="D1039" s="159" t="s">
        <v>268</v>
      </c>
      <c r="E1039" s="41">
        <v>57</v>
      </c>
      <c r="F1039" s="41">
        <v>20</v>
      </c>
      <c r="G1039" s="86">
        <f>E1039*F1039</f>
        <v>1140</v>
      </c>
    </row>
    <row r="1040" spans="1:7" ht="13.8">
      <c r="A1040" s="74"/>
      <c r="B1040" s="33"/>
      <c r="C1040" s="141"/>
      <c r="D1040" s="156"/>
      <c r="E1040" s="141"/>
      <c r="F1040" s="141"/>
      <c r="G1040" s="28"/>
    </row>
    <row r="1041" spans="1:7" s="160" customFormat="1" ht="110.4">
      <c r="A1041" s="216"/>
      <c r="B1041" s="265" t="s">
        <v>257</v>
      </c>
      <c r="C1041" s="217" t="s">
        <v>1255</v>
      </c>
      <c r="D1041" s="159"/>
      <c r="E1041" s="41"/>
      <c r="F1041" s="41"/>
      <c r="G1041" s="43"/>
    </row>
    <row r="1042" spans="1:7" s="275" customFormat="1" ht="41.4">
      <c r="A1042" s="17"/>
      <c r="B1042" s="18"/>
      <c r="C1042" s="36" t="s">
        <v>1256</v>
      </c>
      <c r="D1042" s="159" t="s">
        <v>256</v>
      </c>
      <c r="E1042" s="41">
        <v>60</v>
      </c>
      <c r="F1042" s="41">
        <v>50</v>
      </c>
      <c r="G1042" s="86">
        <f>E1042*F1042</f>
        <v>3000</v>
      </c>
    </row>
    <row r="1043" spans="1:7" ht="13.8">
      <c r="A1043" s="74"/>
      <c r="B1043" s="33"/>
      <c r="C1043" s="141"/>
      <c r="D1043" s="156"/>
      <c r="E1043" s="141"/>
      <c r="F1043" s="141"/>
      <c r="G1043" s="28"/>
    </row>
    <row r="1044" spans="1:7" s="178" customFormat="1" ht="13.8">
      <c r="A1044" s="60"/>
      <c r="B1044" s="177" t="s">
        <v>4</v>
      </c>
      <c r="C1044" s="14" t="s">
        <v>867</v>
      </c>
      <c r="D1044" s="179"/>
      <c r="E1044" s="180"/>
      <c r="F1044" s="14"/>
      <c r="G1044" s="14"/>
    </row>
    <row r="1045" spans="1:7" ht="409.6">
      <c r="A1045" s="79"/>
      <c r="B1045" s="18" t="s">
        <v>260</v>
      </c>
      <c r="C1045" s="45" t="s">
        <v>1166</v>
      </c>
      <c r="D1045" s="146"/>
      <c r="E1045" s="75"/>
      <c r="F1045" s="41"/>
      <c r="G1045" s="73"/>
    </row>
    <row r="1046" spans="1:7" s="160" customFormat="1" ht="248.25" customHeight="1">
      <c r="A1046" s="42"/>
      <c r="B1046" s="33"/>
      <c r="C1046" s="25" t="s">
        <v>1167</v>
      </c>
      <c r="D1046" s="159" t="s">
        <v>256</v>
      </c>
      <c r="E1046" s="41">
        <v>800</v>
      </c>
      <c r="F1046" s="41">
        <v>55</v>
      </c>
      <c r="G1046" s="86">
        <f>F1046*E1046</f>
        <v>44000</v>
      </c>
    </row>
    <row r="1047" spans="1:7" ht="13.8">
      <c r="A1047" s="74"/>
      <c r="B1047" s="33"/>
      <c r="C1047" s="141"/>
      <c r="D1047" s="156"/>
      <c r="E1047" s="141"/>
      <c r="F1047" s="141"/>
      <c r="G1047" s="28"/>
    </row>
    <row r="1048" spans="1:7" ht="13.8">
      <c r="A1048" s="74"/>
      <c r="B1048" s="33"/>
      <c r="C1048" s="141"/>
      <c r="D1048" s="156"/>
      <c r="E1048" s="141"/>
      <c r="F1048" s="141"/>
      <c r="G1048" s="28"/>
    </row>
    <row r="1049" spans="1:7" s="160" customFormat="1" ht="110.4">
      <c r="A1049" s="216"/>
      <c r="B1049" s="265" t="s">
        <v>261</v>
      </c>
      <c r="C1049" s="217" t="s">
        <v>1255</v>
      </c>
      <c r="D1049" s="159"/>
      <c r="E1049" s="41"/>
      <c r="F1049" s="41"/>
      <c r="G1049" s="43"/>
    </row>
    <row r="1050" spans="1:7" s="275" customFormat="1" ht="41.4">
      <c r="A1050" s="17"/>
      <c r="B1050" s="18"/>
      <c r="C1050" s="36" t="s">
        <v>1256</v>
      </c>
      <c r="D1050" s="159" t="s">
        <v>256</v>
      </c>
      <c r="E1050" s="41">
        <v>70</v>
      </c>
      <c r="F1050" s="41">
        <v>80</v>
      </c>
      <c r="G1050" s="86">
        <f>E1050*F1050</f>
        <v>5600</v>
      </c>
    </row>
    <row r="1051" spans="1:7" ht="13.8">
      <c r="A1051" s="47"/>
      <c r="B1051" s="47"/>
      <c r="C1051" s="47"/>
      <c r="D1051" s="143"/>
      <c r="E1051" s="48"/>
      <c r="F1051" s="47"/>
      <c r="G1051" s="47"/>
    </row>
    <row r="1052" spans="1:7" ht="13.8">
      <c r="A1052" s="82" t="s">
        <v>869</v>
      </c>
      <c r="B1052" s="49" t="s">
        <v>962</v>
      </c>
      <c r="C1052" s="54" t="s">
        <v>866</v>
      </c>
      <c r="D1052" s="153"/>
      <c r="E1052" s="54"/>
      <c r="F1052" s="54"/>
      <c r="G1052" s="84">
        <f>SUM(G1037:G1050)</f>
        <v>57660</v>
      </c>
    </row>
    <row r="1053" spans="1:7" ht="13.8">
      <c r="A1053" s="80"/>
      <c r="B1053" s="81"/>
      <c r="C1053" s="51"/>
      <c r="D1053" s="154"/>
      <c r="E1053" s="51"/>
      <c r="F1053" s="51"/>
      <c r="G1053" s="52"/>
    </row>
    <row r="1054" spans="1:7" ht="13.8">
      <c r="A1054" s="15"/>
      <c r="B1054" s="15"/>
      <c r="C1054" s="30"/>
      <c r="D1054" s="21"/>
      <c r="E1054" s="31"/>
      <c r="F1054" s="15"/>
      <c r="G1054" s="15"/>
    </row>
    <row r="1055" spans="1:7" ht="13.8">
      <c r="A1055" s="60" t="s">
        <v>869</v>
      </c>
      <c r="B1055" s="176" t="s">
        <v>965</v>
      </c>
      <c r="C1055" s="174" t="s">
        <v>1181</v>
      </c>
      <c r="D1055" s="142"/>
      <c r="E1055" s="16"/>
      <c r="F1055" s="15"/>
      <c r="G1055" s="15"/>
    </row>
    <row r="1056" spans="1:7" ht="13.8">
      <c r="A1056" s="80"/>
      <c r="B1056" s="81"/>
      <c r="C1056" s="51"/>
      <c r="D1056" s="154"/>
      <c r="E1056" s="51"/>
      <c r="F1056" s="51"/>
      <c r="G1056" s="52"/>
    </row>
    <row r="1057" spans="1:7" s="160" customFormat="1" ht="81.75" customHeight="1">
      <c r="B1057" s="18" t="s">
        <v>0</v>
      </c>
      <c r="C1057" s="36" t="s">
        <v>1183</v>
      </c>
      <c r="D1057" s="159" t="s">
        <v>291</v>
      </c>
      <c r="E1057" s="41">
        <v>9</v>
      </c>
      <c r="F1057" s="41">
        <v>150</v>
      </c>
      <c r="G1057" s="86">
        <f>F1057*E1057</f>
        <v>1350</v>
      </c>
    </row>
    <row r="1059" spans="1:7" s="160" customFormat="1" ht="44.25" customHeight="1">
      <c r="B1059" s="18" t="s">
        <v>4</v>
      </c>
      <c r="C1059" s="36" t="s">
        <v>1170</v>
      </c>
      <c r="D1059" s="159" t="s">
        <v>291</v>
      </c>
      <c r="E1059" s="41">
        <v>11</v>
      </c>
      <c r="F1059" s="41">
        <v>20</v>
      </c>
      <c r="G1059" s="86">
        <f>F1059*E1059</f>
        <v>220</v>
      </c>
    </row>
    <row r="1061" spans="1:7" s="160" customFormat="1" ht="138">
      <c r="B1061" s="18" t="s">
        <v>3</v>
      </c>
      <c r="C1061" s="36" t="s">
        <v>1174</v>
      </c>
      <c r="D1061" s="159" t="s">
        <v>291</v>
      </c>
      <c r="E1061" s="41">
        <v>17</v>
      </c>
      <c r="F1061" s="41">
        <v>20</v>
      </c>
      <c r="G1061" s="86">
        <f>F1061*E1061</f>
        <v>340</v>
      </c>
    </row>
    <row r="1063" spans="1:7" s="160" customFormat="1" ht="27.6">
      <c r="A1063" s="289"/>
      <c r="B1063" s="18" t="s">
        <v>5</v>
      </c>
      <c r="C1063" s="227" t="s">
        <v>1171</v>
      </c>
      <c r="D1063" s="159" t="s">
        <v>291</v>
      </c>
      <c r="E1063" s="41">
        <v>7</v>
      </c>
      <c r="F1063" s="41">
        <v>25</v>
      </c>
      <c r="G1063" s="86">
        <f>F1063*E1063</f>
        <v>175</v>
      </c>
    </row>
    <row r="1064" spans="1:7" s="166" customFormat="1" ht="13.8">
      <c r="A1064" s="161"/>
      <c r="B1064" s="162"/>
      <c r="C1064" s="163"/>
      <c r="D1064" s="149"/>
      <c r="E1064" s="164"/>
      <c r="F1064" s="164"/>
      <c r="G1064" s="165"/>
    </row>
    <row r="1065" spans="1:7" s="160" customFormat="1" ht="93" customHeight="1">
      <c r="A1065" s="15"/>
      <c r="B1065" s="18" t="s">
        <v>49</v>
      </c>
      <c r="C1065" s="30" t="s">
        <v>1175</v>
      </c>
      <c r="D1065" s="159" t="s">
        <v>291</v>
      </c>
      <c r="E1065" s="41">
        <v>1</v>
      </c>
      <c r="F1065" s="41">
        <v>1200</v>
      </c>
      <c r="G1065" s="86">
        <f>F1065*E1065</f>
        <v>1200</v>
      </c>
    </row>
    <row r="1066" spans="1:7" ht="13.8">
      <c r="A1066" s="74"/>
      <c r="B1066" s="33"/>
      <c r="C1066" s="22"/>
      <c r="D1066" s="21"/>
      <c r="E1066" s="16"/>
      <c r="F1066" s="12"/>
      <c r="G1066" s="209"/>
    </row>
    <row r="1067" spans="1:7" ht="96.6">
      <c r="A1067" s="74"/>
      <c r="B1067" s="18" t="s">
        <v>58</v>
      </c>
      <c r="C1067" s="20" t="s">
        <v>1172</v>
      </c>
      <c r="D1067" s="152"/>
      <c r="E1067" s="16"/>
      <c r="F1067" s="15"/>
      <c r="G1067" s="15"/>
    </row>
    <row r="1068" spans="1:7" s="160" customFormat="1" ht="69">
      <c r="A1068" s="42"/>
      <c r="B1068" s="33"/>
      <c r="C1068" s="22" t="s">
        <v>1173</v>
      </c>
      <c r="D1068" s="159" t="s">
        <v>253</v>
      </c>
      <c r="E1068" s="41">
        <v>1</v>
      </c>
      <c r="F1068" s="41">
        <v>1500</v>
      </c>
      <c r="G1068" s="86">
        <f>F1068*E1068</f>
        <v>1500</v>
      </c>
    </row>
    <row r="1069" spans="1:7" ht="13.8">
      <c r="A1069" s="74"/>
      <c r="B1069" s="33"/>
      <c r="C1069" s="22"/>
      <c r="D1069" s="21"/>
      <c r="E1069" s="16"/>
      <c r="F1069" s="12"/>
      <c r="G1069" s="209"/>
    </row>
    <row r="1070" spans="1:7" s="160" customFormat="1" ht="82.8">
      <c r="A1070" s="70"/>
      <c r="B1070" s="18" t="s">
        <v>141</v>
      </c>
      <c r="C1070" s="217" t="s">
        <v>1237</v>
      </c>
      <c r="D1070" s="159" t="s">
        <v>291</v>
      </c>
      <c r="E1070" s="41">
        <v>30</v>
      </c>
      <c r="F1070" s="41">
        <v>120</v>
      </c>
      <c r="G1070" s="86">
        <f>F1070*E1070</f>
        <v>3600</v>
      </c>
    </row>
    <row r="1071" spans="1:7" ht="13.8">
      <c r="A1071" s="74"/>
      <c r="B1071" s="33"/>
      <c r="C1071" s="22"/>
      <c r="D1071" s="21"/>
      <c r="E1071" s="16"/>
      <c r="F1071" s="12"/>
      <c r="G1071" s="209"/>
    </row>
    <row r="1072" spans="1:7" ht="13.8">
      <c r="A1072" s="82" t="s">
        <v>869</v>
      </c>
      <c r="B1072" s="49" t="s">
        <v>965</v>
      </c>
      <c r="C1072" s="54" t="s">
        <v>1182</v>
      </c>
      <c r="D1072" s="153"/>
      <c r="E1072" s="54"/>
      <c r="F1072" s="54"/>
      <c r="G1072" s="84">
        <f>SUM(G1057:G1070)</f>
        <v>8385</v>
      </c>
    </row>
    <row r="1073" spans="1:7" ht="13.8">
      <c r="A1073" s="74"/>
      <c r="B1073" s="33"/>
      <c r="C1073" s="141"/>
      <c r="D1073" s="156"/>
      <c r="E1073" s="141"/>
      <c r="F1073" s="141"/>
      <c r="G1073" s="210"/>
    </row>
    <row r="1074" spans="1:7" ht="13.8">
      <c r="A1074" s="74"/>
      <c r="B1074" s="33"/>
      <c r="C1074" s="141"/>
      <c r="D1074" s="156"/>
      <c r="E1074" s="141"/>
      <c r="F1074" s="141"/>
      <c r="G1074" s="210"/>
    </row>
    <row r="1075" spans="1:7" s="251" customFormat="1" ht="13.8">
      <c r="A1075" s="247" t="s">
        <v>869</v>
      </c>
      <c r="B1075" s="248"/>
      <c r="C1075" s="935" t="s">
        <v>1176</v>
      </c>
      <c r="D1075" s="935"/>
      <c r="E1075" s="249"/>
      <c r="F1075" s="249"/>
      <c r="G1075" s="250"/>
    </row>
    <row r="1076" spans="1:7" ht="13.8">
      <c r="A1076" s="80"/>
      <c r="B1076" s="81"/>
      <c r="C1076" s="51"/>
      <c r="D1076" s="154"/>
      <c r="E1076" s="51"/>
      <c r="F1076" s="51"/>
      <c r="G1076" s="52"/>
    </row>
    <row r="1077" spans="1:7" s="241" customFormat="1" ht="13.8">
      <c r="A1077" s="235"/>
      <c r="B1077" s="236" t="s">
        <v>871</v>
      </c>
      <c r="C1077" s="237" t="s">
        <v>325</v>
      </c>
      <c r="D1077" s="238"/>
      <c r="E1077" s="239"/>
      <c r="F1077" s="235"/>
      <c r="G1077" s="240">
        <f>G611</f>
        <v>21420</v>
      </c>
    </row>
    <row r="1078" spans="1:7" s="241" customFormat="1" ht="13.8">
      <c r="A1078" s="242"/>
      <c r="B1078" s="236" t="s">
        <v>872</v>
      </c>
      <c r="C1078" s="237" t="s">
        <v>285</v>
      </c>
      <c r="D1078" s="243"/>
      <c r="E1078" s="244"/>
      <c r="F1078" s="244"/>
      <c r="G1078" s="240">
        <f>G704</f>
        <v>51550</v>
      </c>
    </row>
    <row r="1079" spans="1:7" s="241" customFormat="1" ht="13.8">
      <c r="A1079" s="245"/>
      <c r="B1079" s="236" t="s">
        <v>874</v>
      </c>
      <c r="C1079" s="237" t="s">
        <v>1082</v>
      </c>
      <c r="D1079" s="150"/>
      <c r="E1079" s="246"/>
      <c r="F1079" s="46"/>
      <c r="G1079" s="240">
        <f>G929</f>
        <v>92030</v>
      </c>
    </row>
    <row r="1080" spans="1:7" s="241" customFormat="1" ht="13.8">
      <c r="A1080" s="235"/>
      <c r="B1080" s="236" t="s">
        <v>939</v>
      </c>
      <c r="C1080" s="237" t="s">
        <v>860</v>
      </c>
      <c r="D1080" s="238"/>
      <c r="E1080" s="239"/>
      <c r="F1080" s="235"/>
      <c r="G1080" s="240">
        <f>G946</f>
        <v>16174</v>
      </c>
    </row>
    <row r="1081" spans="1:7" s="241" customFormat="1" ht="13.8">
      <c r="A1081" s="242"/>
      <c r="B1081" s="236" t="s">
        <v>940</v>
      </c>
      <c r="C1081" s="237" t="s">
        <v>294</v>
      </c>
      <c r="D1081" s="243"/>
      <c r="E1081" s="244"/>
      <c r="F1081" s="244"/>
      <c r="G1081" s="240">
        <f>G973</f>
        <v>18980</v>
      </c>
    </row>
    <row r="1082" spans="1:7" s="241" customFormat="1" ht="13.8">
      <c r="A1082" s="235"/>
      <c r="B1082" s="236" t="s">
        <v>958</v>
      </c>
      <c r="C1082" s="237" t="s">
        <v>1148</v>
      </c>
      <c r="D1082" s="238"/>
      <c r="E1082" s="239"/>
      <c r="F1082" s="235"/>
      <c r="G1082" s="240">
        <f>G1009</f>
        <v>87355</v>
      </c>
    </row>
    <row r="1083" spans="1:7" s="241" customFormat="1" ht="13.8">
      <c r="A1083" s="242"/>
      <c r="B1083" s="236" t="s">
        <v>962</v>
      </c>
      <c r="C1083" s="244" t="s">
        <v>297</v>
      </c>
      <c r="D1083" s="243"/>
      <c r="E1083" s="244"/>
      <c r="F1083" s="244"/>
      <c r="G1083" s="240">
        <f>G1052</f>
        <v>57660</v>
      </c>
    </row>
    <row r="1084" spans="1:7" s="241" customFormat="1" ht="13.8">
      <c r="A1084" s="242"/>
      <c r="B1084" s="236" t="s">
        <v>965</v>
      </c>
      <c r="C1084" s="244" t="s">
        <v>1181</v>
      </c>
      <c r="D1084" s="243"/>
      <c r="E1084" s="244"/>
      <c r="F1084" s="244"/>
      <c r="G1084" s="240">
        <f>G1072</f>
        <v>8385</v>
      </c>
    </row>
    <row r="1085" spans="1:7" ht="13.8">
      <c r="A1085" s="47"/>
      <c r="B1085" s="47"/>
      <c r="C1085" s="47"/>
      <c r="D1085" s="143"/>
      <c r="E1085" s="48"/>
      <c r="F1085" s="47"/>
      <c r="G1085" s="47"/>
    </row>
    <row r="1086" spans="1:7" s="241" customFormat="1" ht="13.8">
      <c r="A1086" s="252" t="s">
        <v>869</v>
      </c>
      <c r="B1086" s="253"/>
      <c r="C1086" s="254" t="s">
        <v>1177</v>
      </c>
      <c r="D1086" s="255"/>
      <c r="E1086" s="254"/>
      <c r="F1086" s="254"/>
      <c r="G1086" s="256">
        <f>SUM(G1077:G1084)</f>
        <v>353554</v>
      </c>
    </row>
    <row r="1087" spans="1:7" ht="13.8">
      <c r="A1087" s="47"/>
      <c r="B1087" s="47"/>
      <c r="C1087" s="47"/>
      <c r="D1087" s="143"/>
      <c r="E1087" s="48"/>
      <c r="F1087" s="47"/>
      <c r="G1087" s="47"/>
    </row>
    <row r="1088" spans="1:7" ht="13.8">
      <c r="A1088" s="80"/>
      <c r="B1088" s="81"/>
      <c r="C1088" s="51"/>
      <c r="D1088" s="154"/>
      <c r="E1088" s="51"/>
      <c r="F1088" s="51"/>
      <c r="G1088" s="52"/>
    </row>
    <row r="1089" spans="1:7" ht="13.8">
      <c r="A1089" s="60" t="s">
        <v>1178</v>
      </c>
      <c r="B1089" s="55"/>
      <c r="C1089" s="14" t="s">
        <v>1179</v>
      </c>
      <c r="D1089" s="142"/>
      <c r="E1089" s="16"/>
      <c r="F1089" s="15"/>
      <c r="G1089" s="15"/>
    </row>
    <row r="1090" spans="1:7" ht="13.8">
      <c r="A1090" s="61"/>
      <c r="B1090" s="18"/>
      <c r="C1090" s="56"/>
      <c r="D1090" s="145"/>
      <c r="E1090" s="57"/>
      <c r="F1090" s="43"/>
      <c r="G1090" s="57"/>
    </row>
    <row r="1091" spans="1:7" ht="27.6">
      <c r="A1091" s="74"/>
      <c r="B1091" s="18" t="s">
        <v>0</v>
      </c>
      <c r="C1091" s="56" t="s">
        <v>1185</v>
      </c>
      <c r="D1091" s="159" t="s">
        <v>291</v>
      </c>
      <c r="E1091" s="41">
        <v>1</v>
      </c>
      <c r="F1091" s="41">
        <v>1000</v>
      </c>
      <c r="G1091" s="86">
        <f>F1091*E1091</f>
        <v>1000</v>
      </c>
    </row>
    <row r="1092" spans="1:7" ht="13.8">
      <c r="A1092" s="74"/>
      <c r="B1092" s="33"/>
      <c r="C1092" s="56"/>
      <c r="D1092" s="145"/>
      <c r="E1092" s="57"/>
      <c r="F1092" s="43"/>
      <c r="G1092" s="57"/>
    </row>
    <row r="1093" spans="1:7" ht="27.6">
      <c r="A1093" s="74"/>
      <c r="B1093" s="18" t="s">
        <v>4</v>
      </c>
      <c r="C1093" s="56" t="s">
        <v>1186</v>
      </c>
      <c r="D1093" s="159" t="s">
        <v>291</v>
      </c>
      <c r="E1093" s="41">
        <v>116</v>
      </c>
      <c r="F1093" s="41">
        <v>5</v>
      </c>
      <c r="G1093" s="86">
        <f>F1093*E1093</f>
        <v>580</v>
      </c>
    </row>
    <row r="1094" spans="1:7" s="160" customFormat="1" ht="13.8">
      <c r="A1094" s="17"/>
      <c r="B1094" s="18"/>
      <c r="C1094" s="218"/>
      <c r="D1094" s="159"/>
      <c r="E1094" s="41"/>
      <c r="F1094" s="41"/>
      <c r="G1094" s="41"/>
    </row>
    <row r="1095" spans="1:7" s="160" customFormat="1" ht="90.75" customHeight="1">
      <c r="A1095" s="17"/>
      <c r="B1095" s="18" t="s">
        <v>3</v>
      </c>
      <c r="C1095" s="36" t="s">
        <v>1262</v>
      </c>
      <c r="D1095" s="142"/>
      <c r="E1095" s="43"/>
      <c r="F1095" s="43"/>
      <c r="G1095" s="43"/>
    </row>
    <row r="1096" spans="1:7" s="160" customFormat="1" ht="82.8">
      <c r="A1096" s="42"/>
      <c r="B1096" s="33"/>
      <c r="C1096" s="36" t="s">
        <v>883</v>
      </c>
      <c r="D1096" s="142"/>
      <c r="E1096" s="43"/>
      <c r="F1096" s="43"/>
      <c r="G1096" s="43"/>
    </row>
    <row r="1097" spans="1:7" s="160" customFormat="1" ht="30.75" customHeight="1">
      <c r="A1097" s="42"/>
      <c r="B1097" s="33"/>
      <c r="C1097" s="36" t="s">
        <v>311</v>
      </c>
      <c r="D1097" s="142" t="s">
        <v>273</v>
      </c>
      <c r="E1097" s="43">
        <v>2500</v>
      </c>
      <c r="F1097" s="43">
        <v>10</v>
      </c>
      <c r="G1097" s="86">
        <f>E1097*F1097</f>
        <v>25000</v>
      </c>
    </row>
    <row r="1098" spans="1:7" s="160" customFormat="1" ht="13.8">
      <c r="A1098" s="17"/>
      <c r="B1098" s="18"/>
      <c r="C1098" s="36"/>
      <c r="D1098" s="142"/>
      <c r="E1098" s="43"/>
      <c r="F1098" s="43"/>
      <c r="G1098" s="43"/>
    </row>
    <row r="1099" spans="1:7" s="160" customFormat="1" ht="69">
      <c r="A1099" s="17"/>
      <c r="B1099" s="18" t="s">
        <v>5</v>
      </c>
      <c r="C1099" s="36" t="s">
        <v>931</v>
      </c>
      <c r="D1099" s="142"/>
      <c r="E1099" s="43"/>
      <c r="F1099" s="43"/>
      <c r="G1099" s="43"/>
    </row>
    <row r="1100" spans="1:7" s="160" customFormat="1" ht="13.8">
      <c r="A1100" s="17"/>
      <c r="B1100" s="18"/>
      <c r="C1100" s="218" t="s">
        <v>932</v>
      </c>
      <c r="D1100" s="159" t="s">
        <v>256</v>
      </c>
      <c r="E1100" s="41">
        <v>500</v>
      </c>
      <c r="F1100" s="41">
        <v>3</v>
      </c>
      <c r="G1100" s="86">
        <f>E1100*F1100</f>
        <v>1500</v>
      </c>
    </row>
    <row r="1101" spans="1:7" s="160" customFormat="1" ht="13.8">
      <c r="A1101" s="42"/>
      <c r="B1101" s="33"/>
      <c r="C1101" s="141"/>
      <c r="D1101" s="156"/>
      <c r="E1101" s="141"/>
      <c r="F1101" s="141"/>
      <c r="G1101" s="28"/>
    </row>
    <row r="1102" spans="1:7" ht="55.2">
      <c r="A1102" s="74"/>
      <c r="B1102" s="18" t="s">
        <v>49</v>
      </c>
      <c r="C1102" s="56" t="s">
        <v>1187</v>
      </c>
      <c r="D1102" s="159"/>
      <c r="E1102" s="41"/>
      <c r="F1102" s="41"/>
      <c r="G1102" s="43"/>
    </row>
    <row r="1103" spans="1:7" ht="13.8">
      <c r="C1103" s="36" t="s">
        <v>1188</v>
      </c>
      <c r="D1103" s="159" t="s">
        <v>268</v>
      </c>
      <c r="E1103" s="41">
        <v>800</v>
      </c>
      <c r="F1103" s="41">
        <v>1</v>
      </c>
      <c r="G1103" s="86">
        <f>F1103*E1103</f>
        <v>800</v>
      </c>
    </row>
    <row r="1105" spans="1:7" ht="55.2">
      <c r="B1105" s="18" t="s">
        <v>58</v>
      </c>
      <c r="C1105" s="36" t="s">
        <v>1189</v>
      </c>
      <c r="D1105" s="159" t="s">
        <v>309</v>
      </c>
      <c r="E1105" s="41">
        <v>9000</v>
      </c>
      <c r="F1105" s="41">
        <v>0.1</v>
      </c>
      <c r="G1105" s="86">
        <f>F1105*E1105</f>
        <v>900</v>
      </c>
    </row>
    <row r="1107" spans="1:7" ht="82.8">
      <c r="B1107" s="18" t="s">
        <v>141</v>
      </c>
      <c r="C1107" s="36" t="s">
        <v>1190</v>
      </c>
      <c r="D1107" s="159" t="s">
        <v>268</v>
      </c>
      <c r="E1107" s="41">
        <v>840</v>
      </c>
      <c r="F1107" s="41">
        <v>1</v>
      </c>
      <c r="G1107" s="86">
        <f>F1107*E1107</f>
        <v>840</v>
      </c>
    </row>
    <row r="1109" spans="1:7" ht="27.6">
      <c r="B1109" s="18" t="s">
        <v>1191</v>
      </c>
      <c r="C1109" s="36" t="s">
        <v>1192</v>
      </c>
      <c r="D1109" s="159" t="s">
        <v>291</v>
      </c>
      <c r="E1109" s="41">
        <v>95</v>
      </c>
      <c r="F1109" s="41">
        <v>1</v>
      </c>
      <c r="G1109" s="86">
        <f>F1109*E1109</f>
        <v>95</v>
      </c>
    </row>
    <row r="1110" spans="1:7" ht="13.8">
      <c r="C1110" s="36"/>
    </row>
    <row r="1111" spans="1:7" ht="96.6">
      <c r="A1111" s="83"/>
      <c r="B1111" s="18" t="s">
        <v>180</v>
      </c>
      <c r="C1111" s="227" t="s">
        <v>1193</v>
      </c>
      <c r="D1111" s="154"/>
      <c r="E1111" s="51"/>
      <c r="F1111" s="51"/>
      <c r="G1111" s="52"/>
    </row>
    <row r="1112" spans="1:7" ht="13.8">
      <c r="C1112" s="36" t="s">
        <v>1194</v>
      </c>
      <c r="D1112" s="159" t="s">
        <v>268</v>
      </c>
      <c r="E1112" s="41">
        <v>665</v>
      </c>
      <c r="F1112" s="41">
        <v>1</v>
      </c>
      <c r="G1112" s="86">
        <f>F1112*E1112</f>
        <v>665</v>
      </c>
    </row>
    <row r="1113" spans="1:7" s="166" customFormat="1" ht="13.8">
      <c r="A1113" s="161"/>
      <c r="B1113" s="162"/>
      <c r="C1113" s="163"/>
      <c r="D1113" s="149"/>
      <c r="E1113" s="164"/>
      <c r="F1113" s="164"/>
      <c r="G1113" s="165"/>
    </row>
    <row r="1114" spans="1:7" ht="27.6">
      <c r="A1114" s="15"/>
      <c r="B1114" s="18" t="s">
        <v>1198</v>
      </c>
      <c r="C1114" s="30" t="s">
        <v>1195</v>
      </c>
      <c r="D1114" s="21"/>
      <c r="E1114" s="31"/>
      <c r="F1114" s="12"/>
      <c r="G1114" s="23"/>
    </row>
    <row r="1115" spans="1:7" ht="13.8">
      <c r="A1115" s="74"/>
      <c r="B1115" s="33"/>
      <c r="C1115" s="269" t="s">
        <v>313</v>
      </c>
      <c r="D1115" s="159" t="s">
        <v>256</v>
      </c>
      <c r="E1115" s="41">
        <v>30</v>
      </c>
      <c r="F1115" s="41">
        <v>300</v>
      </c>
      <c r="G1115" s="86">
        <f>F1115*E1115</f>
        <v>9000</v>
      </c>
    </row>
    <row r="1116" spans="1:7" ht="13.8">
      <c r="A1116" s="74"/>
      <c r="B1116" s="33"/>
      <c r="C1116" s="30" t="s">
        <v>1196</v>
      </c>
      <c r="D1116" s="159" t="s">
        <v>273</v>
      </c>
      <c r="E1116" s="41">
        <v>18</v>
      </c>
      <c r="F1116" s="41">
        <v>3000</v>
      </c>
      <c r="G1116" s="86">
        <f>F1116*E1116</f>
        <v>54000</v>
      </c>
    </row>
    <row r="1117" spans="1:7" s="160" customFormat="1" ht="13.8">
      <c r="A1117" s="70"/>
      <c r="B1117" s="18"/>
      <c r="C1117" s="269" t="s">
        <v>1197</v>
      </c>
      <c r="D1117" s="159" t="s">
        <v>309</v>
      </c>
      <c r="E1117" s="41">
        <v>2000</v>
      </c>
      <c r="F1117" s="41">
        <v>2</v>
      </c>
      <c r="G1117" s="86">
        <f>F1117*E1117</f>
        <v>4000</v>
      </c>
    </row>
    <row r="1118" spans="1:7" ht="13.8">
      <c r="A1118" s="74"/>
      <c r="B1118" s="33"/>
      <c r="C1118" s="141"/>
      <c r="D1118" s="156"/>
      <c r="E1118" s="141"/>
      <c r="F1118" s="141"/>
      <c r="G1118" s="210"/>
    </row>
    <row r="1119" spans="1:7" s="160" customFormat="1" ht="28.5" customHeight="1">
      <c r="A1119" s="70"/>
      <c r="B1119" s="18" t="s">
        <v>231</v>
      </c>
      <c r="C1119" s="20" t="s">
        <v>1199</v>
      </c>
      <c r="D1119" s="21"/>
      <c r="E1119" s="217"/>
      <c r="F1119" s="217"/>
      <c r="G1119" s="209"/>
    </row>
    <row r="1120" spans="1:7" ht="13.8">
      <c r="A1120" s="74"/>
      <c r="B1120" s="33"/>
      <c r="C1120" s="269" t="s">
        <v>313</v>
      </c>
      <c r="D1120" s="159" t="s">
        <v>256</v>
      </c>
      <c r="E1120" s="41">
        <v>95</v>
      </c>
      <c r="F1120" s="41">
        <v>100</v>
      </c>
      <c r="G1120" s="86">
        <f>F1120*E1120</f>
        <v>9500</v>
      </c>
    </row>
    <row r="1121" spans="1:7" ht="13.8">
      <c r="A1121" s="74"/>
      <c r="B1121" s="33"/>
      <c r="C1121" s="30" t="s">
        <v>1196</v>
      </c>
      <c r="D1121" s="159" t="s">
        <v>273</v>
      </c>
      <c r="E1121" s="41">
        <v>26</v>
      </c>
      <c r="F1121" s="41">
        <v>300</v>
      </c>
      <c r="G1121" s="86">
        <f>F1121*E1121</f>
        <v>7800</v>
      </c>
    </row>
    <row r="1122" spans="1:7" s="160" customFormat="1" ht="13.8">
      <c r="A1122" s="70"/>
      <c r="B1122" s="18"/>
      <c r="C1122" s="269" t="s">
        <v>1197</v>
      </c>
      <c r="D1122" s="159" t="s">
        <v>309</v>
      </c>
      <c r="E1122" s="41">
        <v>3000</v>
      </c>
      <c r="F1122" s="41">
        <v>2</v>
      </c>
      <c r="G1122" s="86">
        <f>F1122*E1122</f>
        <v>6000</v>
      </c>
    </row>
    <row r="1123" spans="1:7" ht="13.8">
      <c r="A1123" s="74"/>
      <c r="B1123" s="33"/>
      <c r="C1123" s="56"/>
      <c r="D1123" s="145"/>
      <c r="E1123" s="57"/>
      <c r="F1123" s="43"/>
      <c r="G1123" s="57"/>
    </row>
    <row r="1124" spans="1:7" ht="55.2">
      <c r="A1124" s="74"/>
      <c r="B1124" s="18" t="s">
        <v>1202</v>
      </c>
      <c r="C1124" s="56" t="s">
        <v>1209</v>
      </c>
      <c r="D1124" s="159" t="s">
        <v>291</v>
      </c>
      <c r="E1124" s="41">
        <v>95</v>
      </c>
      <c r="F1124" s="41">
        <v>10</v>
      </c>
      <c r="G1124" s="86">
        <f>F1124*E1124</f>
        <v>950</v>
      </c>
    </row>
    <row r="1125" spans="1:7" ht="13.8">
      <c r="A1125" s="80"/>
      <c r="B1125" s="81"/>
      <c r="C1125" s="51"/>
      <c r="D1125" s="154"/>
      <c r="E1125" s="51"/>
      <c r="F1125" s="51"/>
      <c r="G1125" s="52"/>
    </row>
    <row r="1126" spans="1:7" ht="27.6">
      <c r="A1126" s="61"/>
      <c r="B1126" s="18" t="s">
        <v>1203</v>
      </c>
      <c r="C1126" s="56" t="s">
        <v>1200</v>
      </c>
      <c r="D1126" s="145"/>
      <c r="E1126" s="57"/>
      <c r="F1126" s="43"/>
      <c r="G1126" s="57"/>
    </row>
    <row r="1127" spans="1:7" ht="13.8">
      <c r="A1127" s="74"/>
      <c r="B1127" s="33"/>
      <c r="C1127" s="269" t="s">
        <v>313</v>
      </c>
      <c r="D1127" s="159" t="s">
        <v>256</v>
      </c>
      <c r="E1127" s="41">
        <v>285</v>
      </c>
      <c r="F1127" s="41">
        <v>100</v>
      </c>
      <c r="G1127" s="86">
        <f>F1127*E1127</f>
        <v>28500</v>
      </c>
    </row>
    <row r="1128" spans="1:7" ht="13.8">
      <c r="A1128" s="74"/>
      <c r="B1128" s="33"/>
      <c r="C1128" s="30" t="s">
        <v>1196</v>
      </c>
      <c r="D1128" s="159" t="s">
        <v>273</v>
      </c>
      <c r="E1128" s="41">
        <v>3</v>
      </c>
      <c r="F1128" s="41">
        <v>3000</v>
      </c>
      <c r="G1128" s="86">
        <f>F1128*E1128</f>
        <v>9000</v>
      </c>
    </row>
    <row r="1129" spans="1:7" s="160" customFormat="1" ht="13.8">
      <c r="A1129" s="70"/>
      <c r="B1129" s="18"/>
      <c r="C1129" s="269" t="s">
        <v>1197</v>
      </c>
      <c r="D1129" s="159" t="s">
        <v>309</v>
      </c>
      <c r="E1129" s="41">
        <v>2000</v>
      </c>
      <c r="F1129" s="41">
        <v>2</v>
      </c>
      <c r="G1129" s="86">
        <f>F1129*E1129</f>
        <v>4000</v>
      </c>
    </row>
    <row r="1130" spans="1:7" ht="13.8">
      <c r="A1130" s="80"/>
      <c r="B1130" s="81"/>
      <c r="C1130" s="51"/>
      <c r="D1130" s="154"/>
      <c r="E1130" s="51"/>
      <c r="F1130" s="51"/>
      <c r="G1130" s="52"/>
    </row>
    <row r="1131" spans="1:7" ht="96.6">
      <c r="A1131" s="74"/>
      <c r="B1131" s="18" t="s">
        <v>1205</v>
      </c>
      <c r="C1131" s="20" t="s">
        <v>1201</v>
      </c>
      <c r="D1131" s="159" t="s">
        <v>291</v>
      </c>
      <c r="E1131" s="41">
        <v>285</v>
      </c>
      <c r="F1131" s="41">
        <v>1</v>
      </c>
      <c r="G1131" s="86">
        <f>F1131*E1131</f>
        <v>285</v>
      </c>
    </row>
    <row r="1132" spans="1:7" ht="13.8">
      <c r="A1132" s="74"/>
      <c r="B1132" s="33"/>
      <c r="C1132" s="141"/>
      <c r="D1132" s="156"/>
      <c r="E1132" s="141"/>
      <c r="F1132" s="141"/>
      <c r="G1132" s="28"/>
    </row>
    <row r="1133" spans="1:7" ht="110.4">
      <c r="A1133" s="74"/>
      <c r="B1133" s="18" t="s">
        <v>1206</v>
      </c>
      <c r="C1133" s="20" t="s">
        <v>1204</v>
      </c>
      <c r="D1133" s="159"/>
      <c r="E1133" s="41"/>
      <c r="F1133" s="41"/>
      <c r="G1133" s="43"/>
    </row>
    <row r="1134" spans="1:7" s="160" customFormat="1" ht="17.25" customHeight="1">
      <c r="A1134" s="70"/>
      <c r="B1134" s="18"/>
      <c r="C1134" s="269" t="s">
        <v>2669</v>
      </c>
      <c r="D1134" s="159" t="s">
        <v>256</v>
      </c>
      <c r="E1134" s="41">
        <v>180</v>
      </c>
      <c r="F1134" s="41">
        <v>30</v>
      </c>
      <c r="G1134" s="86">
        <f>F1134*E1134</f>
        <v>5400</v>
      </c>
    </row>
    <row r="1135" spans="1:7" ht="13.8">
      <c r="B1135" s="18"/>
    </row>
    <row r="1136" spans="1:7" ht="30.75" customHeight="1">
      <c r="B1136" s="18" t="s">
        <v>1210</v>
      </c>
      <c r="C1136" s="36" t="s">
        <v>2655</v>
      </c>
    </row>
    <row r="1137" spans="1:7" s="160" customFormat="1" ht="18.75" customHeight="1">
      <c r="A1137" s="70"/>
      <c r="B1137" s="18"/>
      <c r="C1137" s="269" t="s">
        <v>2669</v>
      </c>
      <c r="D1137" s="159" t="s">
        <v>256</v>
      </c>
      <c r="E1137" s="41">
        <v>180</v>
      </c>
      <c r="F1137" s="41">
        <v>30</v>
      </c>
      <c r="G1137" s="86">
        <f>F1137*E1137</f>
        <v>5400</v>
      </c>
    </row>
    <row r="1139" spans="1:7" s="160" customFormat="1" ht="124.2">
      <c r="A1139" s="15"/>
      <c r="B1139" s="18" t="s">
        <v>1211</v>
      </c>
      <c r="C1139" s="36" t="s">
        <v>1055</v>
      </c>
      <c r="D1139" s="142" t="s">
        <v>268</v>
      </c>
      <c r="E1139" s="44">
        <v>150</v>
      </c>
      <c r="F1139" s="43">
        <v>70</v>
      </c>
      <c r="G1139" s="86">
        <f t="shared" ref="G1139" si="15">F1139*E1139</f>
        <v>10500</v>
      </c>
    </row>
    <row r="1141" spans="1:7" ht="41.4">
      <c r="A1141" s="83"/>
      <c r="B1141" s="18" t="s">
        <v>1212</v>
      </c>
      <c r="C1141" s="227" t="s">
        <v>2788</v>
      </c>
      <c r="D1141" s="142" t="s">
        <v>291</v>
      </c>
      <c r="E1141" s="44">
        <v>1</v>
      </c>
      <c r="F1141" s="43">
        <v>5000</v>
      </c>
      <c r="G1141" s="86">
        <f t="shared" ref="G1141" si="16">F1141*E1141</f>
        <v>5000</v>
      </c>
    </row>
    <row r="1142" spans="1:7" s="166" customFormat="1" ht="13.8">
      <c r="A1142" s="161"/>
      <c r="B1142" s="162"/>
      <c r="C1142" s="163"/>
      <c r="D1142" s="149"/>
      <c r="E1142" s="164"/>
      <c r="F1142" s="164"/>
      <c r="G1142" s="165"/>
    </row>
    <row r="1143" spans="1:7" ht="41.4">
      <c r="A1143" s="15"/>
      <c r="B1143" s="18" t="s">
        <v>1213</v>
      </c>
      <c r="C1143" s="30" t="s">
        <v>2787</v>
      </c>
      <c r="D1143" s="142" t="s">
        <v>291</v>
      </c>
      <c r="E1143" s="44">
        <v>1</v>
      </c>
      <c r="F1143" s="43">
        <v>500</v>
      </c>
      <c r="G1143" s="86">
        <f t="shared" ref="G1143" si="17">F1143*E1143</f>
        <v>500</v>
      </c>
    </row>
    <row r="1144" spans="1:7" ht="13.8">
      <c r="A1144" s="74"/>
      <c r="B1144" s="33"/>
      <c r="C1144" s="20"/>
      <c r="D1144" s="152"/>
      <c r="E1144" s="16"/>
      <c r="F1144" s="15"/>
      <c r="G1144" s="15"/>
    </row>
    <row r="1145" spans="1:7" ht="55.2">
      <c r="A1145" s="74"/>
      <c r="B1145" s="18" t="s">
        <v>1214</v>
      </c>
      <c r="C1145" s="22" t="s">
        <v>2786</v>
      </c>
      <c r="D1145" s="142" t="s">
        <v>291</v>
      </c>
      <c r="E1145" s="44">
        <v>3</v>
      </c>
      <c r="F1145" s="43">
        <v>500</v>
      </c>
      <c r="G1145" s="86">
        <f t="shared" ref="G1145" si="18">F1145*E1145</f>
        <v>1500</v>
      </c>
    </row>
    <row r="1146" spans="1:7" ht="13.8">
      <c r="A1146" s="74"/>
      <c r="B1146" s="33"/>
      <c r="C1146" s="141"/>
      <c r="D1146" s="156"/>
      <c r="E1146" s="141"/>
      <c r="F1146" s="141"/>
      <c r="G1146" s="210"/>
    </row>
    <row r="1147" spans="1:7" s="160" customFormat="1" ht="27.6">
      <c r="A1147" s="70"/>
      <c r="B1147" s="18" t="s">
        <v>1215</v>
      </c>
      <c r="C1147" s="20" t="s">
        <v>1216</v>
      </c>
      <c r="D1147" s="142" t="s">
        <v>291</v>
      </c>
      <c r="E1147" s="44">
        <v>1</v>
      </c>
      <c r="F1147" s="43">
        <v>500</v>
      </c>
      <c r="G1147" s="86">
        <f t="shared" ref="G1147" si="19">F1147*E1147</f>
        <v>500</v>
      </c>
    </row>
    <row r="1148" spans="1:7" ht="13.8">
      <c r="A1148" s="74"/>
      <c r="B1148" s="33"/>
      <c r="C1148" s="141"/>
      <c r="D1148" s="156"/>
      <c r="E1148" s="141"/>
      <c r="F1148" s="141"/>
      <c r="G1148" s="210"/>
    </row>
    <row r="1149" spans="1:7" ht="27.6">
      <c r="A1149" s="61"/>
      <c r="B1149" s="18" t="s">
        <v>1263</v>
      </c>
      <c r="C1149" s="56" t="s">
        <v>1217</v>
      </c>
      <c r="D1149" s="142" t="s">
        <v>291</v>
      </c>
      <c r="E1149" s="44">
        <v>1</v>
      </c>
      <c r="F1149" s="43">
        <v>100</v>
      </c>
      <c r="G1149" s="86">
        <f t="shared" ref="G1149" si="20">F1149*E1149</f>
        <v>100</v>
      </c>
    </row>
    <row r="1150" spans="1:7" ht="13.8">
      <c r="A1150" s="74"/>
      <c r="B1150" s="33"/>
      <c r="C1150" s="56"/>
      <c r="D1150" s="145"/>
      <c r="E1150" s="57"/>
      <c r="F1150" s="43"/>
      <c r="G1150" s="57"/>
    </row>
    <row r="1151" spans="1:7" ht="55.2">
      <c r="A1151" s="74"/>
      <c r="B1151" s="18" t="s">
        <v>1264</v>
      </c>
      <c r="C1151" s="56" t="s">
        <v>1218</v>
      </c>
      <c r="D1151" s="142" t="s">
        <v>291</v>
      </c>
      <c r="E1151" s="44">
        <v>1</v>
      </c>
      <c r="F1151" s="43">
        <v>1000</v>
      </c>
      <c r="G1151" s="86">
        <f t="shared" ref="G1151" si="21">F1151*E1151</f>
        <v>1000</v>
      </c>
    </row>
    <row r="1152" spans="1:7" ht="13.8">
      <c r="A1152" s="74"/>
      <c r="B1152" s="33"/>
      <c r="C1152" s="141"/>
      <c r="D1152" s="156"/>
      <c r="E1152" s="141"/>
      <c r="F1152" s="141"/>
      <c r="G1152" s="28"/>
    </row>
    <row r="1153" spans="1:7" ht="13.8">
      <c r="A1153" s="82" t="s">
        <v>1178</v>
      </c>
      <c r="B1153" s="49"/>
      <c r="C1153" s="54" t="s">
        <v>1219</v>
      </c>
      <c r="D1153" s="153"/>
      <c r="E1153" s="54"/>
      <c r="F1153" s="54"/>
      <c r="G1153" s="84">
        <f>SUM(G1091:G1151)</f>
        <v>194315</v>
      </c>
    </row>
    <row r="1154" spans="1:7" ht="13.8">
      <c r="A1154" s="80"/>
      <c r="B1154" s="81"/>
      <c r="C1154" s="51"/>
      <c r="D1154" s="154"/>
      <c r="E1154" s="51"/>
      <c r="F1154" s="51"/>
      <c r="G1154" s="52"/>
    </row>
    <row r="1155" spans="1:7" ht="13.8">
      <c r="A1155" s="61"/>
      <c r="B1155" s="18"/>
      <c r="C1155" s="56"/>
      <c r="D1155" s="145"/>
      <c r="E1155" s="57"/>
      <c r="F1155" s="43"/>
      <c r="G1155" s="57"/>
    </row>
    <row r="1158" spans="1:7" s="251" customFormat="1" ht="13.8">
      <c r="A1158" s="247"/>
      <c r="B1158" s="248"/>
      <c r="C1158" s="935" t="s">
        <v>1220</v>
      </c>
      <c r="D1158" s="935"/>
      <c r="E1158" s="249"/>
      <c r="F1158" s="249"/>
      <c r="G1158" s="250"/>
    </row>
    <row r="1159" spans="1:7" ht="13.8">
      <c r="A1159" s="80"/>
      <c r="B1159" s="81"/>
      <c r="C1159" s="51"/>
      <c r="D1159" s="154"/>
      <c r="E1159" s="51"/>
      <c r="F1159" s="51"/>
      <c r="G1159" s="52"/>
    </row>
    <row r="1160" spans="1:7" s="241" customFormat="1" ht="13.8">
      <c r="A1160" s="235"/>
      <c r="B1160" s="236" t="s">
        <v>871</v>
      </c>
      <c r="C1160" s="237" t="s">
        <v>912</v>
      </c>
      <c r="D1160" s="238"/>
      <c r="E1160" s="239"/>
      <c r="F1160" s="235"/>
      <c r="G1160" s="240">
        <f t="shared" ref="G1160:G1168" si="22">G573</f>
        <v>34750</v>
      </c>
    </row>
    <row r="1161" spans="1:7" s="241" customFormat="1" ht="13.8">
      <c r="A1161" s="242"/>
      <c r="B1161" s="236" t="s">
        <v>872</v>
      </c>
      <c r="C1161" s="237" t="s">
        <v>1180</v>
      </c>
      <c r="D1161" s="243"/>
      <c r="E1161" s="244"/>
      <c r="F1161" s="244"/>
      <c r="G1161" s="240">
        <f t="shared" si="22"/>
        <v>13500</v>
      </c>
    </row>
    <row r="1162" spans="1:7" s="241" customFormat="1" ht="13.8">
      <c r="A1162" s="245"/>
      <c r="B1162" s="236" t="s">
        <v>874</v>
      </c>
      <c r="C1162" s="237" t="s">
        <v>259</v>
      </c>
      <c r="D1162" s="150"/>
      <c r="E1162" s="246"/>
      <c r="F1162" s="46"/>
      <c r="G1162" s="240">
        <f t="shared" si="22"/>
        <v>82340</v>
      </c>
    </row>
    <row r="1163" spans="1:7" s="241" customFormat="1" ht="13.8">
      <c r="A1163" s="235"/>
      <c r="B1163" s="236" t="s">
        <v>939</v>
      </c>
      <c r="C1163" s="237" t="s">
        <v>875</v>
      </c>
      <c r="D1163" s="238"/>
      <c r="E1163" s="239"/>
      <c r="F1163" s="235"/>
      <c r="G1163" s="240">
        <f t="shared" si="22"/>
        <v>147025</v>
      </c>
    </row>
    <row r="1164" spans="1:7" s="241" customFormat="1" ht="13.8">
      <c r="A1164" s="242"/>
      <c r="B1164" s="236" t="s">
        <v>940</v>
      </c>
      <c r="C1164" s="237" t="s">
        <v>323</v>
      </c>
      <c r="D1164" s="243"/>
      <c r="E1164" s="244"/>
      <c r="F1164" s="244"/>
      <c r="G1164" s="240">
        <f t="shared" si="22"/>
        <v>999462</v>
      </c>
    </row>
    <row r="1165" spans="1:7" s="241" customFormat="1" ht="13.8">
      <c r="A1165" s="235"/>
      <c r="B1165" s="236" t="s">
        <v>958</v>
      </c>
      <c r="C1165" s="237" t="s">
        <v>306</v>
      </c>
      <c r="D1165" s="238"/>
      <c r="E1165" s="239"/>
      <c r="F1165" s="235"/>
      <c r="G1165" s="240">
        <f t="shared" si="22"/>
        <v>16518</v>
      </c>
    </row>
    <row r="1166" spans="1:7" s="241" customFormat="1" ht="13.8">
      <c r="A1166" s="242"/>
      <c r="B1166" s="236" t="s">
        <v>962</v>
      </c>
      <c r="C1166" s="244" t="s">
        <v>1061</v>
      </c>
      <c r="D1166" s="243"/>
      <c r="E1166" s="244"/>
      <c r="F1166" s="244"/>
      <c r="G1166" s="240">
        <f t="shared" si="22"/>
        <v>303730</v>
      </c>
    </row>
    <row r="1167" spans="1:7" s="241" customFormat="1" ht="13.8">
      <c r="A1167" s="242"/>
      <c r="B1167" s="236" t="s">
        <v>965</v>
      </c>
      <c r="C1167" s="244" t="s">
        <v>327</v>
      </c>
      <c r="D1167" s="243"/>
      <c r="E1167" s="244"/>
      <c r="F1167" s="244"/>
      <c r="G1167" s="240">
        <f t="shared" si="22"/>
        <v>274460</v>
      </c>
    </row>
    <row r="1168" spans="1:7" s="241" customFormat="1" ht="13.8">
      <c r="A1168" s="235"/>
      <c r="B1168" s="236" t="s">
        <v>972</v>
      </c>
      <c r="C1168" s="235" t="s">
        <v>1066</v>
      </c>
      <c r="D1168" s="238"/>
      <c r="E1168" s="239"/>
      <c r="F1168" s="235"/>
      <c r="G1168" s="240">
        <f t="shared" si="22"/>
        <v>56200</v>
      </c>
    </row>
    <row r="1169" spans="1:7" ht="13.8">
      <c r="A1169" s="47"/>
      <c r="B1169" s="47"/>
      <c r="C1169" s="47"/>
      <c r="D1169" s="143"/>
      <c r="E1169" s="48"/>
      <c r="F1169" s="47"/>
      <c r="G1169" s="47"/>
    </row>
    <row r="1170" spans="1:7" s="241" customFormat="1" ht="13.8">
      <c r="A1170" s="290" t="s">
        <v>868</v>
      </c>
      <c r="B1170" s="291"/>
      <c r="C1170" s="292" t="s">
        <v>973</v>
      </c>
      <c r="D1170" s="293"/>
      <c r="E1170" s="292"/>
      <c r="F1170" s="292"/>
      <c r="G1170" s="256">
        <f>SUM(G1160:G1168)</f>
        <v>1927985</v>
      </c>
    </row>
    <row r="1172" spans="1:7" s="241" customFormat="1" ht="13.8">
      <c r="A1172" s="235"/>
      <c r="B1172" s="236" t="s">
        <v>871</v>
      </c>
      <c r="C1172" s="237" t="s">
        <v>325</v>
      </c>
      <c r="D1172" s="238"/>
      <c r="E1172" s="239"/>
      <c r="F1172" s="235"/>
      <c r="G1172" s="240">
        <f t="shared" ref="G1172:G1179" si="23">G1077</f>
        <v>21420</v>
      </c>
    </row>
    <row r="1173" spans="1:7" s="241" customFormat="1" ht="13.8">
      <c r="A1173" s="242"/>
      <c r="B1173" s="236" t="s">
        <v>872</v>
      </c>
      <c r="C1173" s="237" t="s">
        <v>285</v>
      </c>
      <c r="D1173" s="243"/>
      <c r="E1173" s="244"/>
      <c r="F1173" s="244"/>
      <c r="G1173" s="240">
        <f t="shared" si="23"/>
        <v>51550</v>
      </c>
    </row>
    <row r="1174" spans="1:7" s="241" customFormat="1" ht="13.8">
      <c r="A1174" s="245"/>
      <c r="B1174" s="236" t="s">
        <v>874</v>
      </c>
      <c r="C1174" s="237" t="s">
        <v>1082</v>
      </c>
      <c r="D1174" s="150"/>
      <c r="E1174" s="246"/>
      <c r="F1174" s="46"/>
      <c r="G1174" s="240">
        <f t="shared" si="23"/>
        <v>92030</v>
      </c>
    </row>
    <row r="1175" spans="1:7" s="241" customFormat="1" ht="13.8">
      <c r="A1175" s="235"/>
      <c r="B1175" s="236" t="s">
        <v>939</v>
      </c>
      <c r="C1175" s="237" t="s">
        <v>860</v>
      </c>
      <c r="D1175" s="238"/>
      <c r="E1175" s="239"/>
      <c r="F1175" s="235"/>
      <c r="G1175" s="240">
        <f t="shared" si="23"/>
        <v>16174</v>
      </c>
    </row>
    <row r="1176" spans="1:7" s="241" customFormat="1" ht="13.8">
      <c r="A1176" s="242"/>
      <c r="B1176" s="236" t="s">
        <v>940</v>
      </c>
      <c r="C1176" s="237" t="s">
        <v>294</v>
      </c>
      <c r="D1176" s="243"/>
      <c r="E1176" s="244"/>
      <c r="F1176" s="244"/>
      <c r="G1176" s="240">
        <f t="shared" si="23"/>
        <v>18980</v>
      </c>
    </row>
    <row r="1177" spans="1:7" s="241" customFormat="1" ht="13.8">
      <c r="A1177" s="235"/>
      <c r="B1177" s="236" t="s">
        <v>958</v>
      </c>
      <c r="C1177" s="237" t="s">
        <v>1148</v>
      </c>
      <c r="D1177" s="238"/>
      <c r="E1177" s="239"/>
      <c r="F1177" s="235"/>
      <c r="G1177" s="240">
        <f t="shared" si="23"/>
        <v>87355</v>
      </c>
    </row>
    <row r="1178" spans="1:7" s="241" customFormat="1" ht="13.8">
      <c r="A1178" s="242"/>
      <c r="B1178" s="236" t="s">
        <v>962</v>
      </c>
      <c r="C1178" s="244" t="s">
        <v>297</v>
      </c>
      <c r="D1178" s="243"/>
      <c r="E1178" s="244"/>
      <c r="F1178" s="244"/>
      <c r="G1178" s="240">
        <f t="shared" si="23"/>
        <v>57660</v>
      </c>
    </row>
    <row r="1179" spans="1:7" s="241" customFormat="1" ht="13.8">
      <c r="A1179" s="242"/>
      <c r="B1179" s="236" t="s">
        <v>965</v>
      </c>
      <c r="C1179" s="244" t="s">
        <v>1181</v>
      </c>
      <c r="D1179" s="243"/>
      <c r="E1179" s="244"/>
      <c r="F1179" s="244"/>
      <c r="G1179" s="240">
        <f t="shared" si="23"/>
        <v>8385</v>
      </c>
    </row>
    <row r="1180" spans="1:7" ht="13.8">
      <c r="A1180" s="47"/>
      <c r="B1180" s="47"/>
      <c r="C1180" s="47"/>
      <c r="D1180" s="143"/>
      <c r="E1180" s="48"/>
      <c r="F1180" s="47"/>
      <c r="G1180" s="47"/>
    </row>
    <row r="1181" spans="1:7" s="241" customFormat="1" ht="13.8">
      <c r="A1181" s="290" t="s">
        <v>869</v>
      </c>
      <c r="B1181" s="291"/>
      <c r="C1181" s="292" t="s">
        <v>1177</v>
      </c>
      <c r="D1181" s="293"/>
      <c r="E1181" s="292"/>
      <c r="F1181" s="292"/>
      <c r="G1181" s="256">
        <f>SUM(G1172:G1179)</f>
        <v>353554</v>
      </c>
    </row>
    <row r="1183" spans="1:7" s="241" customFormat="1" ht="13.8">
      <c r="A1183" s="290" t="s">
        <v>1178</v>
      </c>
      <c r="B1183" s="291"/>
      <c r="C1183" s="292" t="s">
        <v>1219</v>
      </c>
      <c r="D1183" s="293"/>
      <c r="E1183" s="292"/>
      <c r="F1183" s="292"/>
      <c r="G1183" s="256">
        <f>G1153</f>
        <v>194315</v>
      </c>
    </row>
    <row r="1186" spans="1:7" s="299" customFormat="1" ht="15.6">
      <c r="A1186" s="294"/>
      <c r="B1186" s="295"/>
      <c r="C1186" s="296" t="s">
        <v>426</v>
      </c>
      <c r="D1186" s="297"/>
      <c r="E1186" s="296"/>
      <c r="F1186" s="296"/>
      <c r="G1186" s="298">
        <f>G1170+G1181+G1183</f>
        <v>2475854</v>
      </c>
    </row>
    <row r="1187" spans="1:7" s="299" customFormat="1" ht="15.6">
      <c r="A1187" s="294"/>
      <c r="B1187" s="295"/>
      <c r="C1187" s="296" t="s">
        <v>2240</v>
      </c>
      <c r="D1187" s="297"/>
      <c r="E1187" s="296"/>
      <c r="F1187" s="296"/>
      <c r="G1187" s="298">
        <f>G1186*0.25</f>
        <v>618963.5</v>
      </c>
    </row>
    <row r="1189" spans="1:7" s="299" customFormat="1" ht="15.6">
      <c r="A1189" s="294"/>
      <c r="B1189" s="295"/>
      <c r="C1189" s="296" t="s">
        <v>2368</v>
      </c>
      <c r="D1189" s="297"/>
      <c r="E1189" s="296"/>
      <c r="F1189" s="296"/>
      <c r="G1189" s="298">
        <f>G1186+G1187</f>
        <v>3094817.5</v>
      </c>
    </row>
    <row r="1191" spans="1:7" ht="13.8">
      <c r="A1191" s="83"/>
      <c r="B1191" s="50"/>
      <c r="C1191" s="51"/>
      <c r="D1191" s="154"/>
      <c r="E1191" s="51"/>
      <c r="F1191" s="51"/>
      <c r="G1191" s="52"/>
    </row>
    <row r="1192" spans="1:7" s="166" customFormat="1" ht="13.8">
      <c r="A1192" s="161"/>
      <c r="B1192" s="162"/>
      <c r="C1192" s="163"/>
      <c r="D1192" s="149"/>
      <c r="E1192" s="164"/>
      <c r="F1192" s="164"/>
      <c r="G1192" s="165"/>
    </row>
    <row r="1193" spans="1:7" ht="13.8">
      <c r="A1193" s="15"/>
      <c r="B1193" s="15"/>
      <c r="C1193" s="30"/>
      <c r="D1193" s="21"/>
      <c r="E1193" s="31"/>
      <c r="F1193" s="12"/>
      <c r="G1193" s="23"/>
    </row>
    <row r="1194" spans="1:7" ht="13.8">
      <c r="A1194" s="74"/>
      <c r="B1194" s="33"/>
      <c r="C1194" s="20"/>
      <c r="D1194" s="152"/>
      <c r="E1194" s="16"/>
      <c r="F1194" s="15"/>
      <c r="G1194" s="15"/>
    </row>
    <row r="1195" spans="1:7" ht="13.8">
      <c r="A1195" s="74"/>
      <c r="B1195" s="33"/>
      <c r="C1195" s="22"/>
      <c r="D1195" s="21"/>
      <c r="E1195" s="16"/>
      <c r="F1195" s="12"/>
      <c r="G1195" s="209"/>
    </row>
    <row r="1196" spans="1:7" ht="13.8">
      <c r="A1196" s="74"/>
      <c r="B1196" s="33"/>
      <c r="C1196" s="141"/>
      <c r="D1196" s="156"/>
      <c r="E1196" s="141"/>
      <c r="F1196" s="141"/>
      <c r="G1196" s="210"/>
    </row>
    <row r="1197" spans="1:7" ht="13.8">
      <c r="A1197" s="74"/>
      <c r="B1197" s="33"/>
      <c r="C1197" s="141"/>
      <c r="D1197" s="156"/>
      <c r="E1197" s="141"/>
      <c r="F1197" s="141"/>
      <c r="G1197" s="210"/>
    </row>
    <row r="1198" spans="1:7" ht="13.8">
      <c r="A1198" s="74"/>
      <c r="B1198" s="33"/>
      <c r="C1198" s="141"/>
      <c r="D1198" s="156"/>
      <c r="E1198" s="141"/>
      <c r="F1198" s="141"/>
      <c r="G1198" s="210"/>
    </row>
    <row r="1199" spans="1:7" ht="13.8">
      <c r="A1199" s="61"/>
      <c r="B1199" s="18"/>
      <c r="C1199" s="56"/>
      <c r="D1199" s="145"/>
      <c r="E1199" s="57"/>
      <c r="F1199" s="43"/>
      <c r="G1199" s="57"/>
    </row>
    <row r="1200" spans="1:7" ht="13.8">
      <c r="A1200" s="74"/>
      <c r="B1200" s="33"/>
      <c r="C1200" s="56"/>
      <c r="D1200" s="145"/>
      <c r="E1200" s="57"/>
      <c r="F1200" s="43"/>
      <c r="G1200" s="57"/>
    </row>
    <row r="1201" spans="1:7" ht="13.8">
      <c r="A1201" s="74"/>
      <c r="B1201" s="33"/>
      <c r="C1201" s="56"/>
      <c r="D1201" s="145"/>
      <c r="E1201" s="57"/>
      <c r="F1201" s="43"/>
      <c r="G1201" s="57"/>
    </row>
    <row r="1202" spans="1:7" ht="13.8">
      <c r="A1202" s="74"/>
      <c r="B1202" s="33"/>
      <c r="C1202" s="141"/>
      <c r="D1202" s="156"/>
      <c r="E1202" s="141"/>
      <c r="F1202" s="141"/>
      <c r="G1202" s="28"/>
    </row>
    <row r="1203" spans="1:7" ht="13.8">
      <c r="A1203" s="61"/>
      <c r="B1203" s="18"/>
      <c r="C1203" s="56"/>
      <c r="D1203" s="145"/>
      <c r="E1203" s="57"/>
      <c r="F1203" s="43"/>
      <c r="G1203" s="57"/>
    </row>
    <row r="1204" spans="1:7" ht="13.8">
      <c r="A1204" s="80"/>
      <c r="B1204" s="81"/>
      <c r="C1204" s="51"/>
      <c r="D1204" s="154"/>
      <c r="E1204" s="51"/>
      <c r="F1204" s="51"/>
      <c r="G1204" s="52"/>
    </row>
    <row r="1205" spans="1:7" ht="13.8">
      <c r="A1205" s="74"/>
      <c r="B1205" s="33"/>
      <c r="C1205" s="141"/>
      <c r="D1205" s="156"/>
      <c r="E1205" s="141"/>
      <c r="F1205" s="141"/>
      <c r="G1205" s="28"/>
    </row>
    <row r="1206" spans="1:7" ht="13.8">
      <c r="A1206" s="74"/>
      <c r="B1206" s="33"/>
      <c r="C1206" s="141"/>
      <c r="D1206" s="156"/>
      <c r="E1206" s="141"/>
      <c r="F1206" s="141"/>
      <c r="G1206" s="28"/>
    </row>
    <row r="1207" spans="1:7" ht="13.8">
      <c r="A1207" s="74"/>
      <c r="B1207" s="33"/>
      <c r="C1207" s="141"/>
      <c r="D1207" s="156"/>
      <c r="E1207" s="141"/>
      <c r="F1207" s="141"/>
      <c r="G1207" s="28"/>
    </row>
    <row r="1208" spans="1:7" ht="13.8">
      <c r="A1208" s="74"/>
      <c r="B1208" s="33"/>
      <c r="C1208" s="56"/>
      <c r="D1208" s="145"/>
      <c r="E1208" s="57"/>
      <c r="F1208" s="43"/>
      <c r="G1208" s="57"/>
    </row>
    <row r="1209" spans="1:7" ht="13.8">
      <c r="A1209" s="80"/>
      <c r="B1209" s="81"/>
      <c r="C1209" s="51"/>
      <c r="D1209" s="154"/>
      <c r="E1209" s="51"/>
      <c r="F1209" s="51"/>
      <c r="G1209" s="52"/>
    </row>
    <row r="1210" spans="1:7" ht="13.8">
      <c r="A1210" s="83"/>
      <c r="B1210" s="50"/>
      <c r="C1210" s="51"/>
      <c r="D1210" s="154"/>
      <c r="E1210" s="51"/>
      <c r="F1210" s="51"/>
      <c r="G1210" s="52"/>
    </row>
    <row r="1211" spans="1:7" ht="13.8">
      <c r="A1211" s="74"/>
      <c r="B1211" s="33"/>
      <c r="C1211" s="141"/>
      <c r="D1211" s="156"/>
      <c r="E1211" s="141"/>
      <c r="F1211" s="141"/>
      <c r="G1211" s="28"/>
    </row>
    <row r="1212" spans="1:7" ht="13.8">
      <c r="A1212" s="74"/>
      <c r="B1212" s="33"/>
      <c r="C1212" s="141"/>
      <c r="D1212" s="156"/>
      <c r="E1212" s="141"/>
      <c r="F1212" s="141"/>
      <c r="G1212" s="28"/>
    </row>
    <row r="1213" spans="1:7" ht="13.8">
      <c r="A1213" s="83"/>
      <c r="B1213" s="50"/>
      <c r="C1213" s="51"/>
      <c r="D1213" s="154"/>
      <c r="E1213" s="51"/>
      <c r="F1213" s="51"/>
      <c r="G1213" s="52"/>
    </row>
  </sheetData>
  <mergeCells count="11">
    <mergeCell ref="C1158:D1158"/>
    <mergeCell ref="C571:D571"/>
    <mergeCell ref="C1075:D1075"/>
    <mergeCell ref="A1:B1"/>
    <mergeCell ref="C56:D56"/>
    <mergeCell ref="C130:D130"/>
    <mergeCell ref="C204:D204"/>
    <mergeCell ref="C364:D364"/>
    <mergeCell ref="C383:D383"/>
    <mergeCell ref="C434:D434"/>
    <mergeCell ref="C537:D537"/>
  </mergeCells>
  <conditionalFormatting sqref="G1:G711">
    <cfRule type="cellIs" dxfId="20" priority="1" stopIfTrue="1" operator="equal">
      <formula>0</formula>
    </cfRule>
  </conditionalFormatting>
  <conditionalFormatting sqref="G714 G716:G726 G1139">
    <cfRule type="cellIs" dxfId="19" priority="482" stopIfTrue="1" operator="equal">
      <formula>0</formula>
    </cfRule>
  </conditionalFormatting>
  <conditionalFormatting sqref="G728:G750">
    <cfRule type="cellIs" dxfId="18" priority="26" stopIfTrue="1" operator="equal">
      <formula>0</formula>
    </cfRule>
  </conditionalFormatting>
  <conditionalFormatting sqref="G753 G755:G765">
    <cfRule type="cellIs" dxfId="17" priority="25" stopIfTrue="1" operator="equal">
      <formula>0</formula>
    </cfRule>
  </conditionalFormatting>
  <conditionalFormatting sqref="G767:G1021">
    <cfRule type="cellIs" dxfId="16" priority="17" stopIfTrue="1" operator="equal">
      <formula>0</formula>
    </cfRule>
  </conditionalFormatting>
  <conditionalFormatting sqref="G1030:G1057">
    <cfRule type="cellIs" dxfId="15" priority="49" stopIfTrue="1" operator="equal">
      <formula>0</formula>
    </cfRule>
  </conditionalFormatting>
  <conditionalFormatting sqref="G1059">
    <cfRule type="cellIs" dxfId="14" priority="123" stopIfTrue="1" operator="equal">
      <formula>0</formula>
    </cfRule>
  </conditionalFormatting>
  <conditionalFormatting sqref="G1061">
    <cfRule type="cellIs" dxfId="13" priority="122" stopIfTrue="1" operator="equal">
      <formula>0</formula>
    </cfRule>
  </conditionalFormatting>
  <conditionalFormatting sqref="G1063:G1103">
    <cfRule type="cellIs" dxfId="12" priority="40" stopIfTrue="1" operator="equal">
      <formula>0</formula>
    </cfRule>
  </conditionalFormatting>
  <conditionalFormatting sqref="G1105">
    <cfRule type="cellIs" dxfId="11" priority="109" stopIfTrue="1" operator="equal">
      <formula>0</formula>
    </cfRule>
  </conditionalFormatting>
  <conditionalFormatting sqref="G1107">
    <cfRule type="cellIs" dxfId="10" priority="107" stopIfTrue="1" operator="equal">
      <formula>0</formula>
    </cfRule>
  </conditionalFormatting>
  <conditionalFormatting sqref="G1109">
    <cfRule type="cellIs" dxfId="9" priority="104" stopIfTrue="1" operator="equal">
      <formula>0</formula>
    </cfRule>
  </conditionalFormatting>
  <conditionalFormatting sqref="G1111:G1134">
    <cfRule type="cellIs" dxfId="8" priority="89" stopIfTrue="1" operator="equal">
      <formula>0</formula>
    </cfRule>
  </conditionalFormatting>
  <conditionalFormatting sqref="G1137">
    <cfRule type="cellIs" dxfId="7" priority="88" stopIfTrue="1" operator="equal">
      <formula>0</formula>
    </cfRule>
  </conditionalFormatting>
  <conditionalFormatting sqref="G1141:G1155">
    <cfRule type="cellIs" dxfId="6" priority="80" stopIfTrue="1" operator="equal">
      <formula>0</formula>
    </cfRule>
  </conditionalFormatting>
  <conditionalFormatting sqref="G1158:G1170">
    <cfRule type="cellIs" dxfId="5" priority="78" stopIfTrue="1" operator="equal">
      <formula>0</formula>
    </cfRule>
  </conditionalFormatting>
  <conditionalFormatting sqref="G1172:G1181">
    <cfRule type="cellIs" dxfId="4" priority="77" stopIfTrue="1" operator="equal">
      <formula>0</formula>
    </cfRule>
  </conditionalFormatting>
  <conditionalFormatting sqref="G1183">
    <cfRule type="cellIs" dxfId="3" priority="76" stopIfTrue="1" operator="equal">
      <formula>0</formula>
    </cfRule>
  </conditionalFormatting>
  <conditionalFormatting sqref="G1186:G1187">
    <cfRule type="cellIs" dxfId="2" priority="39" stopIfTrue="1" operator="equal">
      <formula>0</formula>
    </cfRule>
  </conditionalFormatting>
  <conditionalFormatting sqref="G1189">
    <cfRule type="cellIs" dxfId="1" priority="38" stopIfTrue="1" operator="equal">
      <formula>0</formula>
    </cfRule>
  </conditionalFormatting>
  <conditionalFormatting sqref="G1191:G1213">
    <cfRule type="cellIs" dxfId="0" priority="79" stopIfTrue="1" operator="equal">
      <formula>0</formula>
    </cfRule>
  </conditionalFormatting>
  <pageMargins left="0.70866141732283472" right="0.70866141732283472" top="0.74803149606299213" bottom="0.74803149606299213" header="0.31496062992125984" footer="0.31496062992125984"/>
  <pageSetup paperSize="9" fitToHeight="0" orientation="portrait" r:id="rId1"/>
  <headerFooter>
    <oddHeader>&amp;L&amp;"-,Italic"&amp;9ARHINGTRADE d.o.o.
Gajeva 47, Zagreb&amp;C&amp;"-,Italic"&amp;9Zgrada 3 - Građevinsko-obrtnički
radovi&amp;R&amp;"-,Italic"&amp;9RCK Tehnička škola Sisak,
Lađarska 28A, Sisak</oddHeader>
    <oddFooter>&amp;R&amp;P</oddFooter>
  </headerFooter>
  <rowBreaks count="91" manualBreakCount="91">
    <brk id="13" min="1" max="6" man="1"/>
    <brk id="21" max="6" man="1"/>
    <brk id="30" max="6" man="1"/>
    <brk id="32" max="6" man="1"/>
    <brk id="40" min="1" max="6" man="1"/>
    <brk id="54" min="1" max="6" man="1"/>
    <brk id="71" max="6" man="1"/>
    <brk id="84" max="6" man="1"/>
    <brk id="96" min="1" max="6" man="1"/>
    <brk id="99" min="1" max="6" man="1"/>
    <brk id="114" min="1" max="6" man="1"/>
    <brk id="128" min="1" max="6" man="1"/>
    <brk id="141" min="1" max="6" man="1"/>
    <brk id="151" min="1" max="6" man="1"/>
    <brk id="167" min="1" max="6" man="1"/>
    <brk id="173" min="1" max="6" man="1"/>
    <brk id="179" min="1" max="6" man="1"/>
    <brk id="196" min="1" max="6" man="1"/>
    <brk id="209" min="1" max="6" man="1"/>
    <brk id="225" min="1" max="6" man="1"/>
    <brk id="240" min="1" max="6" man="1"/>
    <brk id="244" min="1" max="6" man="1"/>
    <brk id="264" min="1" max="6" man="1"/>
    <brk id="290" min="1" max="6" man="1"/>
    <brk id="317" min="1" max="6" man="1"/>
    <brk id="343" max="6" man="1"/>
    <brk id="362" max="6" man="1"/>
    <brk id="387" max="6" man="1"/>
    <brk id="395" max="6" man="1"/>
    <brk id="397" max="6" man="1"/>
    <brk id="399" max="6" man="1"/>
    <brk id="401" min="1" max="6" man="1"/>
    <brk id="407" min="1" max="6" man="1"/>
    <brk id="420" max="6" man="1"/>
    <brk id="432" min="1" max="6" man="1"/>
    <brk id="443" min="1" max="6" man="1"/>
    <brk id="454" max="6" man="1"/>
    <brk id="466" min="1" max="6" man="1"/>
    <brk id="474" min="1" max="6" man="1"/>
    <brk id="484" min="1" max="6" man="1"/>
    <brk id="498" max="6" man="1"/>
    <brk id="513" max="6" man="1"/>
    <brk id="535" min="1" max="6" man="1"/>
    <brk id="550" min="1" max="6" man="1"/>
    <brk id="566" min="1" max="6" man="1"/>
    <brk id="601" max="6" man="1"/>
    <brk id="619" max="6" man="1"/>
    <brk id="623" min="1" max="6" man="1"/>
    <brk id="633" min="1" max="6" man="1"/>
    <brk id="638" min="1" max="6" man="1"/>
    <brk id="648" max="6" man="1"/>
    <brk id="660" max="6" man="1"/>
    <brk id="664" max="6" man="1"/>
    <brk id="670" max="6" man="1"/>
    <brk id="678" min="1" max="6" man="1"/>
    <brk id="690" max="6" man="1"/>
    <brk id="694" max="6" man="1"/>
    <brk id="705" max="6" man="1"/>
    <brk id="718" min="1" max="6" man="1"/>
    <brk id="733" min="1" max="6" man="1"/>
    <brk id="737" min="1" max="6" man="1"/>
    <brk id="749" max="6" man="1"/>
    <brk id="765" max="6" man="1"/>
    <brk id="773" max="6" man="1"/>
    <brk id="776" max="6" man="1"/>
    <brk id="779" max="6" man="1"/>
    <brk id="790" min="1" max="6" man="1"/>
    <brk id="798" min="1" max="6" man="1"/>
    <brk id="818" max="6" man="1"/>
    <brk id="836" min="1" max="6" man="1"/>
    <brk id="856" min="1" max="6" man="1"/>
    <brk id="876" max="6" man="1"/>
    <brk id="897" max="6" man="1"/>
    <brk id="911" max="6" man="1"/>
    <brk id="930" max="6" man="1"/>
    <brk id="935" max="6" man="1"/>
    <brk id="940" max="6" man="1"/>
    <brk id="955" max="6" man="1"/>
    <brk id="970" max="6" man="1"/>
    <brk id="984" max="6" man="1"/>
    <brk id="996" max="6" man="1"/>
    <brk id="1003" max="6" man="1"/>
    <brk id="1015" max="6" man="1"/>
    <brk id="1032" max="6" man="1"/>
    <brk id="1043" max="6" man="1"/>
    <brk id="1047" max="6" man="1"/>
    <brk id="1065" max="6" man="1"/>
    <brk id="1095" max="6" man="1"/>
    <brk id="1105" max="6" man="1"/>
    <brk id="1132" max="6" man="1"/>
    <brk id="1155"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3"/>
  <sheetViews>
    <sheetView view="pageBreakPreview" zoomScaleNormal="100" zoomScaleSheetLayoutView="100" workbookViewId="0">
      <selection activeCell="A33" sqref="A33:A37"/>
    </sheetView>
  </sheetViews>
  <sheetFormatPr defaultColWidth="9.109375" defaultRowHeight="13.2"/>
  <cols>
    <col min="1" max="1" width="55.6640625" style="308" customWidth="1"/>
    <col min="2" max="2" width="35.44140625" style="308" customWidth="1"/>
    <col min="3" max="16384" width="9.109375" style="308"/>
  </cols>
  <sheetData>
    <row r="1" spans="1:3">
      <c r="A1" s="607"/>
      <c r="B1" s="608"/>
      <c r="C1" s="400"/>
    </row>
    <row r="2" spans="1:3" ht="15.75" customHeight="1">
      <c r="A2" s="607"/>
      <c r="B2" s="609" t="s">
        <v>1802</v>
      </c>
      <c r="C2" s="400"/>
    </row>
    <row r="3" spans="1:3" ht="15" customHeight="1">
      <c r="A3" s="940" t="s">
        <v>2376</v>
      </c>
      <c r="B3" s="940"/>
    </row>
    <row r="4" spans="1:3">
      <c r="A4" s="310"/>
      <c r="B4" s="307"/>
    </row>
    <row r="5" spans="1:3">
      <c r="B5" s="307"/>
    </row>
    <row r="6" spans="1:3">
      <c r="A6" s="315" t="s">
        <v>1288</v>
      </c>
      <c r="B6" s="941"/>
      <c r="C6" s="941"/>
    </row>
    <row r="7" spans="1:3">
      <c r="A7" s="314" t="s">
        <v>46</v>
      </c>
      <c r="B7" s="941"/>
      <c r="C7" s="941"/>
    </row>
    <row r="8" spans="1:3">
      <c r="A8" s="314" t="s">
        <v>2377</v>
      </c>
      <c r="B8" s="941"/>
      <c r="C8" s="941"/>
    </row>
    <row r="9" spans="1:3">
      <c r="A9" s="314"/>
      <c r="B9" s="313"/>
      <c r="C9" s="313"/>
    </row>
    <row r="10" spans="1:3">
      <c r="A10" s="314"/>
      <c r="B10" s="313"/>
      <c r="C10" s="313"/>
    </row>
    <row r="11" spans="1:3">
      <c r="A11" s="314"/>
      <c r="B11" s="313"/>
      <c r="C11" s="313"/>
    </row>
    <row r="12" spans="1:3">
      <c r="A12" s="942" t="s">
        <v>1290</v>
      </c>
      <c r="B12" s="942"/>
      <c r="C12" s="941"/>
    </row>
    <row r="13" spans="1:3" ht="12.75" customHeight="1">
      <c r="A13" s="943" t="s">
        <v>1291</v>
      </c>
      <c r="B13" s="943"/>
      <c r="C13" s="941"/>
    </row>
    <row r="14" spans="1:3">
      <c r="A14" s="943" t="s">
        <v>2378</v>
      </c>
      <c r="B14" s="943"/>
      <c r="C14" s="941"/>
    </row>
    <row r="15" spans="1:3">
      <c r="A15" s="369" t="s">
        <v>2379</v>
      </c>
      <c r="B15" s="314"/>
      <c r="C15" s="313"/>
    </row>
    <row r="16" spans="1:3">
      <c r="A16" s="314"/>
      <c r="B16" s="314"/>
      <c r="C16" s="313"/>
    </row>
    <row r="17" spans="1:3">
      <c r="A17" s="315"/>
      <c r="B17" s="315"/>
      <c r="C17" s="313"/>
    </row>
    <row r="18" spans="1:3">
      <c r="A18" s="942"/>
      <c r="B18" s="942"/>
      <c r="C18" s="941"/>
    </row>
    <row r="19" spans="1:3">
      <c r="A19" s="942" t="s">
        <v>2380</v>
      </c>
      <c r="B19" s="942"/>
      <c r="C19" s="941"/>
    </row>
    <row r="20" spans="1:3" ht="15.6">
      <c r="A20" s="944" t="s">
        <v>2381</v>
      </c>
      <c r="B20" s="944"/>
      <c r="C20" s="941"/>
    </row>
    <row r="21" spans="1:3" ht="15.75" customHeight="1">
      <c r="A21" s="944" t="s">
        <v>2382</v>
      </c>
      <c r="B21" s="944"/>
      <c r="C21" s="941"/>
    </row>
    <row r="22" spans="1:3">
      <c r="A22" s="314"/>
      <c r="B22" s="314"/>
      <c r="C22" s="941"/>
    </row>
    <row r="23" spans="1:3">
      <c r="A23" s="942" t="s">
        <v>1293</v>
      </c>
      <c r="B23" s="942"/>
      <c r="C23" s="941"/>
    </row>
    <row r="24" spans="1:3">
      <c r="A24" s="942" t="s">
        <v>1294</v>
      </c>
      <c r="B24" s="942"/>
      <c r="C24" s="941"/>
    </row>
    <row r="25" spans="1:3">
      <c r="A25" s="945" t="s">
        <v>2648</v>
      </c>
      <c r="B25" s="945"/>
      <c r="C25" s="941"/>
    </row>
    <row r="26" spans="1:3" s="913" customFormat="1">
      <c r="A26" s="946" t="s">
        <v>2768</v>
      </c>
      <c r="B26" s="946"/>
      <c r="C26" s="946"/>
    </row>
    <row r="27" spans="1:3">
      <c r="A27" s="315"/>
      <c r="B27" s="315"/>
      <c r="C27" s="315"/>
    </row>
    <row r="28" spans="1:3">
      <c r="A28" s="315"/>
      <c r="B28" s="315"/>
      <c r="C28" s="315"/>
    </row>
    <row r="29" spans="1:3">
      <c r="A29" s="942"/>
      <c r="B29" s="942"/>
      <c r="C29" s="313"/>
    </row>
    <row r="30" spans="1:3">
      <c r="A30" s="942"/>
      <c r="B30" s="942"/>
      <c r="C30" s="941"/>
    </row>
    <row r="31" spans="1:3">
      <c r="A31" s="942"/>
      <c r="B31" s="942"/>
      <c r="C31" s="941"/>
    </row>
    <row r="32" spans="1:3">
      <c r="A32" s="942"/>
      <c r="B32" s="942"/>
      <c r="C32" s="941"/>
    </row>
    <row r="33" spans="1:3">
      <c r="A33" s="947"/>
      <c r="B33" s="610"/>
      <c r="C33" s="611"/>
    </row>
    <row r="34" spans="1:3">
      <c r="A34" s="947"/>
      <c r="B34" s="610"/>
      <c r="C34" s="611"/>
    </row>
    <row r="35" spans="1:3">
      <c r="A35" s="947"/>
      <c r="B35" s="610"/>
      <c r="C35" s="611"/>
    </row>
    <row r="36" spans="1:3">
      <c r="A36" s="947"/>
      <c r="B36" s="610"/>
      <c r="C36" s="611"/>
    </row>
    <row r="37" spans="1:3">
      <c r="A37" s="947"/>
      <c r="B37" s="610"/>
      <c r="C37" s="611"/>
    </row>
    <row r="38" spans="1:3">
      <c r="A38" s="947"/>
      <c r="B38" s="947"/>
      <c r="C38" s="611"/>
    </row>
    <row r="39" spans="1:3">
      <c r="A39" s="947"/>
      <c r="B39" s="947"/>
      <c r="C39" s="948"/>
    </row>
    <row r="40" spans="1:3">
      <c r="A40" s="947"/>
      <c r="B40" s="947"/>
      <c r="C40" s="948"/>
    </row>
    <row r="41" spans="1:3">
      <c r="A41" s="947"/>
      <c r="B41" s="947"/>
      <c r="C41" s="948"/>
    </row>
    <row r="42" spans="1:3">
      <c r="A42" s="947"/>
      <c r="B42" s="947"/>
      <c r="C42" s="948"/>
    </row>
    <row r="43" spans="1:3">
      <c r="A43" s="612"/>
      <c r="B43" s="612"/>
      <c r="C43" s="611"/>
    </row>
    <row r="44" spans="1:3">
      <c r="A44" s="947"/>
      <c r="B44" s="947"/>
      <c r="C44" s="611"/>
    </row>
    <row r="45" spans="1:3">
      <c r="A45" s="610"/>
      <c r="B45" s="610"/>
      <c r="C45" s="611"/>
    </row>
    <row r="46" spans="1:3">
      <c r="A46" s="610"/>
      <c r="B46" s="610"/>
      <c r="C46" s="611"/>
    </row>
    <row r="47" spans="1:3">
      <c r="A47" s="610"/>
      <c r="B47" s="610"/>
      <c r="C47" s="611"/>
    </row>
    <row r="48" spans="1:3">
      <c r="A48" s="610"/>
      <c r="B48" s="610"/>
      <c r="C48" s="611"/>
    </row>
    <row r="49" spans="1:3">
      <c r="A49" s="610"/>
      <c r="B49" s="610"/>
      <c r="C49" s="611"/>
    </row>
    <row r="50" spans="1:3">
      <c r="A50" s="947"/>
      <c r="B50" s="947"/>
      <c r="C50" s="611"/>
    </row>
    <row r="51" spans="1:3">
      <c r="A51" s="942"/>
      <c r="B51" s="942"/>
      <c r="C51" s="948"/>
    </row>
    <row r="52" spans="1:3">
      <c r="A52" s="947"/>
      <c r="B52" s="947"/>
      <c r="C52" s="948"/>
    </row>
    <row r="53" spans="1:3">
      <c r="A53" s="947"/>
      <c r="B53" s="947"/>
      <c r="C53" s="948"/>
    </row>
  </sheetData>
  <mergeCells count="33">
    <mergeCell ref="A44:B44"/>
    <mergeCell ref="A50:B50"/>
    <mergeCell ref="A51:B51"/>
    <mergeCell ref="C51:C53"/>
    <mergeCell ref="A52:B52"/>
    <mergeCell ref="A53:B53"/>
    <mergeCell ref="A33:A37"/>
    <mergeCell ref="A38:B38"/>
    <mergeCell ref="A39:B39"/>
    <mergeCell ref="C39:C42"/>
    <mergeCell ref="A40:B40"/>
    <mergeCell ref="A41:B41"/>
    <mergeCell ref="A42:B42"/>
    <mergeCell ref="A26:C26"/>
    <mergeCell ref="A29:B29"/>
    <mergeCell ref="A30:B30"/>
    <mergeCell ref="C30:C32"/>
    <mergeCell ref="A31:B31"/>
    <mergeCell ref="A32:B32"/>
    <mergeCell ref="A18:B18"/>
    <mergeCell ref="C18:C25"/>
    <mergeCell ref="A19:B19"/>
    <mergeCell ref="A20:B20"/>
    <mergeCell ref="A21:B21"/>
    <mergeCell ref="A23:B23"/>
    <mergeCell ref="A24:B24"/>
    <mergeCell ref="A25:B25"/>
    <mergeCell ref="A3:B3"/>
    <mergeCell ref="B6:C8"/>
    <mergeCell ref="A12:B12"/>
    <mergeCell ref="C12:C14"/>
    <mergeCell ref="A13:B13"/>
    <mergeCell ref="A14:B14"/>
  </mergeCells>
  <pageMargins left="0.94488188976377963" right="0.23622047244094491" top="0.35433070866141736" bottom="0.98425196850393704" header="0.51181102362204722" footer="0.51181102362204722"/>
  <pageSetup paperSize="9"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272"/>
  <sheetViews>
    <sheetView showZeros="0" view="pageBreakPreview" topLeftCell="A13" zoomScaleNormal="100" zoomScaleSheetLayoutView="100" workbookViewId="0">
      <selection activeCell="B206" sqref="B206"/>
    </sheetView>
  </sheetViews>
  <sheetFormatPr defaultColWidth="9.109375" defaultRowHeight="13.2"/>
  <cols>
    <col min="1" max="1" width="10.33203125" style="331" customWidth="1"/>
    <col min="2" max="2" width="42.5546875" style="705" customWidth="1"/>
    <col min="3" max="3" width="7" style="435" customWidth="1"/>
    <col min="4" max="4" width="8.88671875" style="387" customWidth="1"/>
    <col min="5" max="5" width="11" style="706" customWidth="1"/>
    <col min="6" max="6" width="14.44140625" style="706" customWidth="1"/>
    <col min="7" max="16384" width="9.109375" style="400"/>
  </cols>
  <sheetData>
    <row r="1" spans="1:16" s="615" customFormat="1" ht="12.75" customHeight="1">
      <c r="A1" s="619"/>
      <c r="B1" s="619"/>
      <c r="C1" s="620"/>
      <c r="D1" s="620"/>
      <c r="E1" s="620"/>
      <c r="F1" s="613"/>
      <c r="G1" s="614"/>
    </row>
    <row r="2" spans="1:16" s="615" customFormat="1" ht="12" customHeight="1">
      <c r="A2" s="949"/>
      <c r="B2" s="949"/>
      <c r="C2" s="950"/>
      <c r="D2" s="951"/>
      <c r="E2" s="951"/>
      <c r="F2" s="613"/>
      <c r="G2" s="614"/>
    </row>
    <row r="3" spans="1:16" s="615" customFormat="1" ht="12.75" customHeight="1">
      <c r="A3" s="616"/>
      <c r="B3" s="952" t="s">
        <v>2383</v>
      </c>
      <c r="C3" s="952"/>
      <c r="D3" s="952"/>
      <c r="E3" s="617"/>
      <c r="F3" s="618"/>
      <c r="G3" s="614"/>
    </row>
    <row r="4" spans="1:16" s="615" customFormat="1" ht="12.75" customHeight="1">
      <c r="A4" s="619"/>
      <c r="B4" s="619"/>
      <c r="C4" s="620"/>
      <c r="D4" s="620"/>
      <c r="E4" s="620"/>
      <c r="F4" s="613"/>
      <c r="G4" s="614"/>
    </row>
    <row r="5" spans="1:16" ht="14.4">
      <c r="A5" s="621" t="s">
        <v>871</v>
      </c>
      <c r="B5" s="622" t="s">
        <v>2384</v>
      </c>
      <c r="C5" s="623"/>
      <c r="D5" s="624"/>
      <c r="E5" s="625"/>
      <c r="F5" s="625"/>
    </row>
    <row r="6" spans="1:16" s="615" customFormat="1">
      <c r="A6" s="626"/>
      <c r="B6" s="627"/>
      <c r="C6" s="628"/>
      <c r="D6" s="629"/>
      <c r="E6" s="628"/>
      <c r="F6" s="630"/>
      <c r="G6" s="307"/>
      <c r="H6" s="307"/>
      <c r="I6" s="307"/>
      <c r="J6" s="307"/>
      <c r="K6" s="307"/>
      <c r="L6" s="307"/>
      <c r="M6" s="307"/>
      <c r="N6" s="307"/>
      <c r="O6" s="307"/>
      <c r="P6" s="307"/>
    </row>
    <row r="7" spans="1:16" s="307" customFormat="1" ht="11.25" customHeight="1">
      <c r="A7" s="631" t="s">
        <v>1318</v>
      </c>
      <c r="B7" s="631" t="s">
        <v>1319</v>
      </c>
      <c r="C7" s="631" t="s">
        <v>1320</v>
      </c>
      <c r="D7" s="632" t="s">
        <v>1321</v>
      </c>
      <c r="E7" s="631" t="s">
        <v>1322</v>
      </c>
      <c r="F7" s="631" t="s">
        <v>1323</v>
      </c>
    </row>
    <row r="8" spans="1:16" s="308" customFormat="1" ht="14.25" customHeight="1">
      <c r="A8" s="633"/>
      <c r="B8" s="634"/>
      <c r="C8" s="635"/>
      <c r="D8" s="636"/>
      <c r="E8" s="637"/>
      <c r="F8" s="637"/>
    </row>
    <row r="9" spans="1:16" ht="13.8">
      <c r="A9" s="621" t="s">
        <v>2385</v>
      </c>
      <c r="B9" s="638" t="s">
        <v>2386</v>
      </c>
      <c r="C9" s="623"/>
      <c r="D9" s="624"/>
      <c r="E9" s="625"/>
      <c r="F9" s="625"/>
    </row>
    <row r="10" spans="1:16" ht="10.5" customHeight="1">
      <c r="A10" s="621"/>
      <c r="B10" s="639"/>
      <c r="C10" s="623"/>
      <c r="D10" s="624"/>
      <c r="E10" s="625"/>
      <c r="F10" s="625"/>
    </row>
    <row r="11" spans="1:16" ht="141.75" customHeight="1">
      <c r="A11" s="633" t="s">
        <v>0</v>
      </c>
      <c r="B11" s="640" t="s">
        <v>2387</v>
      </c>
      <c r="C11" s="641"/>
      <c r="D11" s="624"/>
      <c r="E11" s="642"/>
      <c r="F11" s="625"/>
    </row>
    <row r="12" spans="1:16" ht="69">
      <c r="A12" s="633"/>
      <c r="B12" s="640" t="s">
        <v>2388</v>
      </c>
      <c r="C12" s="643"/>
      <c r="D12" s="624"/>
      <c r="E12" s="644"/>
      <c r="F12" s="624"/>
    </row>
    <row r="13" spans="1:16" ht="66.75" customHeight="1">
      <c r="A13" s="633"/>
      <c r="B13" s="640" t="s">
        <v>2389</v>
      </c>
      <c r="C13" s="643"/>
      <c r="D13" s="624"/>
      <c r="E13" s="644"/>
      <c r="F13" s="624"/>
    </row>
    <row r="14" spans="1:16" ht="13.8">
      <c r="A14" s="633"/>
      <c r="B14" s="645" t="s">
        <v>2390</v>
      </c>
      <c r="C14" s="646" t="s">
        <v>2391</v>
      </c>
      <c r="D14" s="636">
        <v>20</v>
      </c>
      <c r="E14" s="647">
        <v>23</v>
      </c>
      <c r="F14" s="636">
        <f>(D14*E14)</f>
        <v>460</v>
      </c>
    </row>
    <row r="15" spans="1:16" ht="13.8">
      <c r="A15" s="633"/>
      <c r="B15" s="645" t="s">
        <v>2392</v>
      </c>
      <c r="C15" s="646" t="s">
        <v>2391</v>
      </c>
      <c r="D15" s="636">
        <v>30</v>
      </c>
      <c r="E15" s="647">
        <v>15</v>
      </c>
      <c r="F15" s="636">
        <f>(D15*E15)</f>
        <v>450</v>
      </c>
    </row>
    <row r="16" spans="1:16" ht="13.8">
      <c r="A16" s="633"/>
      <c r="B16" s="648"/>
      <c r="C16" s="623"/>
      <c r="D16" s="624"/>
      <c r="E16" s="642"/>
      <c r="F16" s="624">
        <f t="shared" ref="F16:F46" si="0">(D16*E16)</f>
        <v>0</v>
      </c>
    </row>
    <row r="17" spans="1:6" ht="255.75" customHeight="1">
      <c r="A17" s="633" t="s">
        <v>4</v>
      </c>
      <c r="B17" s="648" t="s">
        <v>2393</v>
      </c>
      <c r="C17" s="641"/>
      <c r="D17" s="624"/>
      <c r="E17" s="642"/>
      <c r="F17" s="624">
        <f t="shared" si="0"/>
        <v>0</v>
      </c>
    </row>
    <row r="18" spans="1:6" ht="66.75" customHeight="1">
      <c r="A18" s="633"/>
      <c r="B18" s="640" t="s">
        <v>2394</v>
      </c>
      <c r="C18" s="643"/>
      <c r="D18" s="624"/>
      <c r="E18" s="644"/>
      <c r="F18" s="624">
        <f t="shared" si="0"/>
        <v>0</v>
      </c>
    </row>
    <row r="19" spans="1:6" ht="12" customHeight="1">
      <c r="A19" s="633"/>
      <c r="B19" s="640"/>
      <c r="C19" s="643"/>
      <c r="D19" s="624"/>
      <c r="E19" s="644"/>
      <c r="F19" s="624"/>
    </row>
    <row r="20" spans="1:6" ht="78.75" customHeight="1">
      <c r="A20" s="633"/>
      <c r="B20" s="640" t="s">
        <v>2395</v>
      </c>
      <c r="C20" s="649"/>
      <c r="D20" s="636"/>
      <c r="E20" s="636"/>
      <c r="F20" s="636">
        <f t="shared" si="0"/>
        <v>0</v>
      </c>
    </row>
    <row r="21" spans="1:6" ht="13.8">
      <c r="A21" s="633"/>
      <c r="B21" s="645" t="s">
        <v>2396</v>
      </c>
      <c r="C21" s="646" t="s">
        <v>2391</v>
      </c>
      <c r="D21" s="636">
        <v>140</v>
      </c>
      <c r="E21" s="636">
        <v>22</v>
      </c>
      <c r="F21" s="636">
        <f>(D21*E21)</f>
        <v>3080</v>
      </c>
    </row>
    <row r="22" spans="1:6" ht="13.8">
      <c r="A22" s="633"/>
      <c r="B22" s="645" t="s">
        <v>2397</v>
      </c>
      <c r="C22" s="646" t="s">
        <v>2391</v>
      </c>
      <c r="D22" s="636">
        <v>80</v>
      </c>
      <c r="E22" s="636">
        <v>20</v>
      </c>
      <c r="F22" s="636">
        <f t="shared" si="0"/>
        <v>1600</v>
      </c>
    </row>
    <row r="23" spans="1:6" ht="13.8">
      <c r="A23" s="633"/>
      <c r="B23" s="645" t="s">
        <v>2398</v>
      </c>
      <c r="C23" s="646" t="s">
        <v>2391</v>
      </c>
      <c r="D23" s="636">
        <v>40</v>
      </c>
      <c r="E23" s="636">
        <v>26</v>
      </c>
      <c r="F23" s="636">
        <f t="shared" si="0"/>
        <v>1040</v>
      </c>
    </row>
    <row r="24" spans="1:6" ht="13.8">
      <c r="A24" s="633"/>
      <c r="B24" s="650"/>
      <c r="C24" s="651"/>
      <c r="D24" s="624"/>
      <c r="E24" s="624"/>
      <c r="F24" s="624"/>
    </row>
    <row r="25" spans="1:6" ht="102" customHeight="1">
      <c r="A25" s="633" t="s">
        <v>3</v>
      </c>
      <c r="B25" s="640" t="s">
        <v>2399</v>
      </c>
      <c r="C25" s="641"/>
      <c r="D25" s="652"/>
      <c r="E25" s="644"/>
      <c r="F25" s="644">
        <f>D25*E25</f>
        <v>0</v>
      </c>
    </row>
    <row r="26" spans="1:6" ht="27.6">
      <c r="A26" s="633"/>
      <c r="B26" s="640" t="s">
        <v>2400</v>
      </c>
      <c r="C26" s="643"/>
      <c r="D26" s="652"/>
      <c r="E26" s="644"/>
      <c r="F26" s="644">
        <f>D26*E26</f>
        <v>0</v>
      </c>
    </row>
    <row r="27" spans="1:6" ht="27.6">
      <c r="A27" s="633"/>
      <c r="B27" s="640" t="s">
        <v>2401</v>
      </c>
      <c r="C27" s="651"/>
      <c r="D27" s="652"/>
      <c r="E27" s="644"/>
      <c r="F27" s="644">
        <f>D27*E27</f>
        <v>0</v>
      </c>
    </row>
    <row r="28" spans="1:6" ht="27.6">
      <c r="A28" s="633"/>
      <c r="B28" s="640" t="s">
        <v>2402</v>
      </c>
      <c r="C28" s="651"/>
      <c r="D28" s="652"/>
      <c r="E28" s="644"/>
      <c r="F28" s="644">
        <f>D28*E28</f>
        <v>0</v>
      </c>
    </row>
    <row r="29" spans="1:6" ht="27.6">
      <c r="A29" s="633"/>
      <c r="B29" s="640" t="s">
        <v>2403</v>
      </c>
      <c r="C29" s="651"/>
      <c r="D29" s="652"/>
      <c r="E29" s="644"/>
      <c r="F29" s="644">
        <f>D29*E29</f>
        <v>0</v>
      </c>
    </row>
    <row r="30" spans="1:6" ht="82.8">
      <c r="A30" s="633"/>
      <c r="B30" s="640" t="s">
        <v>2404</v>
      </c>
      <c r="C30" s="651"/>
      <c r="D30" s="652"/>
      <c r="E30" s="644"/>
      <c r="F30" s="644"/>
    </row>
    <row r="31" spans="1:6" ht="13.8">
      <c r="A31" s="633"/>
      <c r="B31" s="653" t="s">
        <v>2405</v>
      </c>
      <c r="C31" s="646" t="s">
        <v>2391</v>
      </c>
      <c r="D31" s="654">
        <v>100</v>
      </c>
      <c r="E31" s="647">
        <v>38</v>
      </c>
      <c r="F31" s="647">
        <f>D31*E31</f>
        <v>3800</v>
      </c>
    </row>
    <row r="32" spans="1:6" ht="13.8">
      <c r="A32" s="633"/>
      <c r="B32" s="650"/>
      <c r="C32" s="651"/>
      <c r="D32" s="624"/>
      <c r="E32" s="624"/>
      <c r="F32" s="624"/>
    </row>
    <row r="33" spans="1:6" ht="69">
      <c r="A33" s="633" t="s">
        <v>5</v>
      </c>
      <c r="B33" s="640" t="s">
        <v>2406</v>
      </c>
      <c r="C33" s="651"/>
      <c r="D33" s="624"/>
      <c r="E33" s="644"/>
      <c r="F33" s="624">
        <f t="shared" si="0"/>
        <v>0</v>
      </c>
    </row>
    <row r="34" spans="1:6" ht="13.8">
      <c r="A34" s="633"/>
      <c r="B34" s="655" t="s">
        <v>2405</v>
      </c>
      <c r="C34" s="646" t="s">
        <v>291</v>
      </c>
      <c r="D34" s="636">
        <v>1</v>
      </c>
      <c r="E34" s="647">
        <v>110</v>
      </c>
      <c r="F34" s="636">
        <f>(D34*E34)</f>
        <v>110</v>
      </c>
    </row>
    <row r="35" spans="1:6" ht="13.5" customHeight="1">
      <c r="A35" s="633"/>
      <c r="B35" s="655" t="s">
        <v>2398</v>
      </c>
      <c r="C35" s="646" t="s">
        <v>291</v>
      </c>
      <c r="D35" s="636">
        <v>1</v>
      </c>
      <c r="E35" s="647">
        <v>38</v>
      </c>
      <c r="F35" s="636">
        <f>(D35*E35)</f>
        <v>38</v>
      </c>
    </row>
    <row r="36" spans="1:6" ht="13.8">
      <c r="A36" s="633"/>
      <c r="B36" s="641"/>
      <c r="C36" s="651"/>
      <c r="D36" s="624"/>
      <c r="E36" s="644"/>
      <c r="F36" s="624"/>
    </row>
    <row r="37" spans="1:6" ht="38.25" customHeight="1">
      <c r="A37" s="633" t="s">
        <v>49</v>
      </c>
      <c r="B37" s="640" t="s">
        <v>2407</v>
      </c>
      <c r="C37" s="651"/>
      <c r="D37" s="624"/>
      <c r="E37" s="624"/>
      <c r="F37" s="624">
        <f t="shared" si="0"/>
        <v>0</v>
      </c>
    </row>
    <row r="38" spans="1:6" ht="13.8">
      <c r="A38" s="633"/>
      <c r="B38" s="645"/>
      <c r="C38" s="646" t="s">
        <v>291</v>
      </c>
      <c r="D38" s="636">
        <v>5</v>
      </c>
      <c r="E38" s="636">
        <v>35</v>
      </c>
      <c r="F38" s="636">
        <f t="shared" si="0"/>
        <v>175</v>
      </c>
    </row>
    <row r="39" spans="1:6" ht="13.8">
      <c r="A39" s="633"/>
      <c r="B39" s="656"/>
      <c r="C39" s="646"/>
      <c r="D39" s="636"/>
      <c r="E39" s="636"/>
      <c r="F39" s="636">
        <f t="shared" si="0"/>
        <v>0</v>
      </c>
    </row>
    <row r="40" spans="1:6" ht="65.25" customHeight="1">
      <c r="A40" s="633" t="s">
        <v>58</v>
      </c>
      <c r="B40" s="640" t="s">
        <v>2408</v>
      </c>
      <c r="C40" s="646"/>
      <c r="D40" s="636"/>
      <c r="E40" s="636"/>
      <c r="F40" s="636">
        <f t="shared" si="0"/>
        <v>0</v>
      </c>
    </row>
    <row r="41" spans="1:6" ht="13.8">
      <c r="A41" s="633"/>
      <c r="B41" s="645" t="s">
        <v>2397</v>
      </c>
      <c r="C41" s="646" t="s">
        <v>291</v>
      </c>
      <c r="D41" s="636">
        <v>30</v>
      </c>
      <c r="E41" s="636">
        <v>20</v>
      </c>
      <c r="F41" s="636">
        <f t="shared" si="0"/>
        <v>600</v>
      </c>
    </row>
    <row r="42" spans="1:6" ht="13.8">
      <c r="A42" s="633"/>
      <c r="B42" s="656"/>
      <c r="C42" s="651"/>
      <c r="D42" s="624"/>
      <c r="E42" s="624"/>
      <c r="F42" s="624">
        <f t="shared" si="0"/>
        <v>0</v>
      </c>
    </row>
    <row r="43" spans="1:6" ht="41.4">
      <c r="A43" s="633" t="s">
        <v>141</v>
      </c>
      <c r="B43" s="640" t="s">
        <v>2409</v>
      </c>
      <c r="C43" s="646" t="s">
        <v>2410</v>
      </c>
      <c r="D43" s="636">
        <v>1</v>
      </c>
      <c r="E43" s="636">
        <v>300</v>
      </c>
      <c r="F43" s="636">
        <f t="shared" si="0"/>
        <v>300</v>
      </c>
    </row>
    <row r="44" spans="1:6" ht="13.8">
      <c r="A44" s="633"/>
      <c r="B44" s="657"/>
      <c r="C44" s="651"/>
      <c r="D44" s="624"/>
      <c r="E44" s="624"/>
      <c r="F44" s="624">
        <f t="shared" si="0"/>
        <v>0</v>
      </c>
    </row>
    <row r="45" spans="1:6" ht="26.25" customHeight="1">
      <c r="A45" s="633" t="s">
        <v>1191</v>
      </c>
      <c r="B45" s="640" t="s">
        <v>2411</v>
      </c>
      <c r="C45" s="641"/>
      <c r="D45" s="624"/>
      <c r="E45" s="624"/>
      <c r="F45" s="624">
        <f t="shared" si="0"/>
        <v>0</v>
      </c>
    </row>
    <row r="46" spans="1:6" ht="13.8">
      <c r="A46" s="633"/>
      <c r="B46" s="640" t="s">
        <v>2412</v>
      </c>
      <c r="C46" s="649" t="s">
        <v>291</v>
      </c>
      <c r="D46" s="636">
        <v>1</v>
      </c>
      <c r="E46" s="636">
        <v>400</v>
      </c>
      <c r="F46" s="636">
        <f t="shared" si="0"/>
        <v>400</v>
      </c>
    </row>
    <row r="47" spans="1:6" ht="13.8">
      <c r="A47" s="633"/>
      <c r="B47" s="640"/>
      <c r="C47" s="646"/>
      <c r="D47" s="636"/>
      <c r="E47" s="636"/>
      <c r="F47" s="636"/>
    </row>
    <row r="48" spans="1:6" ht="145.5" customHeight="1">
      <c r="A48" s="633">
        <v>9</v>
      </c>
      <c r="B48" s="648" t="s">
        <v>2413</v>
      </c>
      <c r="C48" s="646"/>
      <c r="D48" s="654"/>
      <c r="E48" s="636"/>
      <c r="F48" s="636">
        <f>D48*E48</f>
        <v>0</v>
      </c>
    </row>
    <row r="49" spans="1:6" ht="13.8">
      <c r="A49" s="633"/>
      <c r="B49" s="648" t="s">
        <v>2414</v>
      </c>
      <c r="C49" s="646" t="s">
        <v>291</v>
      </c>
      <c r="D49" s="654">
        <v>5</v>
      </c>
      <c r="E49" s="636">
        <v>250</v>
      </c>
      <c r="F49" s="636">
        <f>D49*E49</f>
        <v>1250</v>
      </c>
    </row>
    <row r="50" spans="1:6" ht="11.25" customHeight="1">
      <c r="A50" s="633"/>
      <c r="B50" s="640"/>
      <c r="C50" s="646"/>
      <c r="D50" s="636"/>
      <c r="E50" s="636"/>
      <c r="F50" s="636"/>
    </row>
    <row r="51" spans="1:6" s="308" customFormat="1" ht="55.2">
      <c r="A51" s="633">
        <v>10</v>
      </c>
      <c r="B51" s="640" t="s">
        <v>2415</v>
      </c>
      <c r="C51" s="646" t="s">
        <v>291</v>
      </c>
      <c r="D51" s="654">
        <v>10</v>
      </c>
      <c r="E51" s="636">
        <v>98</v>
      </c>
      <c r="F51" s="636">
        <f>D51*E51</f>
        <v>980</v>
      </c>
    </row>
    <row r="52" spans="1:6" s="308" customFormat="1" ht="13.8">
      <c r="A52" s="633"/>
      <c r="B52" s="640"/>
      <c r="C52" s="646"/>
      <c r="D52" s="654"/>
      <c r="E52" s="636"/>
      <c r="F52" s="636"/>
    </row>
    <row r="53" spans="1:6" s="308" customFormat="1" ht="41.4">
      <c r="A53" s="633">
        <v>11</v>
      </c>
      <c r="B53" s="640" t="s">
        <v>2416</v>
      </c>
      <c r="C53" s="646"/>
      <c r="D53" s="654"/>
      <c r="E53" s="636"/>
      <c r="F53" s="636"/>
    </row>
    <row r="54" spans="1:6" s="308" customFormat="1" ht="13.8">
      <c r="A54" s="633"/>
      <c r="B54" s="640" t="s">
        <v>2417</v>
      </c>
      <c r="C54" s="646" t="s">
        <v>291</v>
      </c>
      <c r="D54" s="654">
        <v>1</v>
      </c>
      <c r="E54" s="636">
        <v>800</v>
      </c>
      <c r="F54" s="636">
        <f>D54*E54</f>
        <v>800</v>
      </c>
    </row>
    <row r="55" spans="1:6" s="308" customFormat="1" ht="13.8">
      <c r="A55" s="633"/>
      <c r="B55" s="640"/>
      <c r="C55" s="646"/>
      <c r="D55" s="654"/>
      <c r="E55" s="624"/>
      <c r="F55" s="624"/>
    </row>
    <row r="56" spans="1:6" ht="26.25" customHeight="1">
      <c r="A56" s="633">
        <v>12</v>
      </c>
      <c r="B56" s="658" t="s">
        <v>2418</v>
      </c>
      <c r="C56" s="651"/>
      <c r="D56" s="624"/>
      <c r="E56" s="624"/>
      <c r="F56" s="624">
        <f>(D56*E56)</f>
        <v>0</v>
      </c>
    </row>
    <row r="57" spans="1:6" ht="39" customHeight="1">
      <c r="A57" s="633"/>
      <c r="B57" s="658" t="s">
        <v>2419</v>
      </c>
      <c r="C57" s="651"/>
      <c r="D57" s="624"/>
      <c r="E57" s="624"/>
      <c r="F57" s="624"/>
    </row>
    <row r="58" spans="1:6" ht="63.75" customHeight="1">
      <c r="A58" s="633"/>
      <c r="B58" s="648" t="s">
        <v>2420</v>
      </c>
      <c r="C58" s="651"/>
      <c r="D58" s="624"/>
      <c r="E58" s="624"/>
      <c r="F58" s="624">
        <f>(D58*E58)</f>
        <v>0</v>
      </c>
    </row>
    <row r="59" spans="1:6" ht="14.25" customHeight="1">
      <c r="A59" s="633"/>
      <c r="B59" s="658" t="s">
        <v>2421</v>
      </c>
      <c r="C59" s="646" t="s">
        <v>291</v>
      </c>
      <c r="D59" s="636">
        <v>2</v>
      </c>
      <c r="E59" s="636"/>
      <c r="F59" s="636">
        <f>(D59*E59)</f>
        <v>0</v>
      </c>
    </row>
    <row r="60" spans="1:6" ht="14.25" customHeight="1">
      <c r="A60" s="633"/>
      <c r="B60" s="658"/>
      <c r="C60" s="646"/>
      <c r="D60" s="636"/>
      <c r="E60" s="636"/>
      <c r="F60" s="636"/>
    </row>
    <row r="61" spans="1:6" ht="63.75" customHeight="1">
      <c r="A61" s="633">
        <v>13</v>
      </c>
      <c r="B61" s="648" t="s">
        <v>2422</v>
      </c>
      <c r="C61" s="646" t="s">
        <v>291</v>
      </c>
      <c r="D61" s="636">
        <v>5</v>
      </c>
      <c r="E61" s="636"/>
      <c r="F61" s="636">
        <f>(D61*E61)</f>
        <v>0</v>
      </c>
    </row>
    <row r="62" spans="1:6" ht="14.25" customHeight="1">
      <c r="A62" s="633"/>
      <c r="B62" s="658"/>
      <c r="C62" s="646"/>
      <c r="D62" s="636"/>
      <c r="E62" s="636"/>
      <c r="F62" s="636"/>
    </row>
    <row r="63" spans="1:6" ht="41.4">
      <c r="A63" s="633">
        <v>14</v>
      </c>
      <c r="B63" s="648" t="s">
        <v>2782</v>
      </c>
      <c r="C63" s="646" t="s">
        <v>253</v>
      </c>
      <c r="D63" s="636">
        <v>1</v>
      </c>
      <c r="E63" s="636">
        <v>1200</v>
      </c>
      <c r="F63" s="636">
        <f>(D63*E63)</f>
        <v>1200</v>
      </c>
    </row>
    <row r="64" spans="1:6" ht="12" customHeight="1">
      <c r="A64" s="633"/>
      <c r="B64" s="656"/>
      <c r="C64" s="651"/>
      <c r="D64" s="624"/>
      <c r="E64" s="624"/>
      <c r="F64" s="624">
        <f>(D64*E64)</f>
        <v>0</v>
      </c>
    </row>
    <row r="65" spans="1:6" ht="39" customHeight="1">
      <c r="A65" s="633">
        <v>15</v>
      </c>
      <c r="B65" s="648" t="s">
        <v>2423</v>
      </c>
      <c r="C65" s="646" t="s">
        <v>253</v>
      </c>
      <c r="D65" s="636">
        <v>1</v>
      </c>
      <c r="E65" s="636">
        <v>550</v>
      </c>
      <c r="F65" s="636">
        <f>(D65*E65)</f>
        <v>550</v>
      </c>
    </row>
    <row r="66" spans="1:6" ht="15" customHeight="1">
      <c r="A66" s="633"/>
      <c r="B66" s="656"/>
      <c r="C66" s="651"/>
      <c r="D66" s="624"/>
      <c r="E66" s="624"/>
      <c r="F66" s="624"/>
    </row>
    <row r="67" spans="1:6" ht="19.5" customHeight="1">
      <c r="A67" s="659" t="s">
        <v>2385</v>
      </c>
      <c r="B67" s="660" t="s">
        <v>2424</v>
      </c>
      <c r="C67" s="661"/>
      <c r="D67" s="662"/>
      <c r="E67" s="663"/>
      <c r="F67" s="662">
        <f>SUM(F14:F65)</f>
        <v>16833</v>
      </c>
    </row>
    <row r="68" spans="1:6" ht="13.8">
      <c r="A68" s="633"/>
      <c r="B68" s="664"/>
      <c r="C68" s="623"/>
      <c r="D68" s="624"/>
      <c r="E68" s="642"/>
      <c r="F68" s="644"/>
    </row>
    <row r="69" spans="1:6" ht="13.8">
      <c r="A69" s="633"/>
      <c r="B69" s="664"/>
      <c r="C69" s="623"/>
      <c r="D69" s="624"/>
      <c r="E69" s="642"/>
      <c r="F69" s="644"/>
    </row>
    <row r="70" spans="1:6" ht="13.8">
      <c r="A70" s="621" t="s">
        <v>2425</v>
      </c>
      <c r="B70" s="638" t="s">
        <v>2426</v>
      </c>
      <c r="C70" s="623"/>
      <c r="D70" s="624"/>
      <c r="E70" s="642"/>
      <c r="F70" s="644"/>
    </row>
    <row r="71" spans="1:6" ht="13.8">
      <c r="A71" s="633"/>
      <c r="B71" s="634"/>
      <c r="C71" s="623"/>
      <c r="D71" s="624"/>
      <c r="E71" s="642"/>
      <c r="F71" s="644"/>
    </row>
    <row r="72" spans="1:6" ht="110.4">
      <c r="A72" s="633" t="s">
        <v>0</v>
      </c>
      <c r="B72" s="648" t="s">
        <v>2427</v>
      </c>
      <c r="C72" s="623"/>
      <c r="D72" s="624"/>
      <c r="E72" s="625"/>
      <c r="F72" s="624"/>
    </row>
    <row r="73" spans="1:6" ht="13.8">
      <c r="A73" s="633"/>
      <c r="B73" s="645" t="s">
        <v>2428</v>
      </c>
      <c r="C73" s="646" t="s">
        <v>2391</v>
      </c>
      <c r="D73" s="636">
        <v>80</v>
      </c>
      <c r="E73" s="636">
        <v>48</v>
      </c>
      <c r="F73" s="636">
        <f>(D73*E73)</f>
        <v>3840</v>
      </c>
    </row>
    <row r="74" spans="1:6" s="665" customFormat="1" ht="14.25" customHeight="1">
      <c r="A74" s="633"/>
      <c r="B74" s="645" t="s">
        <v>2429</v>
      </c>
      <c r="C74" s="646" t="s">
        <v>2391</v>
      </c>
      <c r="D74" s="636">
        <v>50</v>
      </c>
      <c r="E74" s="636">
        <v>27</v>
      </c>
      <c r="F74" s="636">
        <f>(D74*E74)</f>
        <v>1350</v>
      </c>
    </row>
    <row r="75" spans="1:6" ht="15" customHeight="1">
      <c r="A75" s="633"/>
      <c r="B75" s="650"/>
      <c r="C75" s="651"/>
      <c r="D75" s="624"/>
      <c r="E75" s="624"/>
      <c r="F75" s="624"/>
    </row>
    <row r="76" spans="1:6" ht="55.2">
      <c r="A76" s="633" t="s">
        <v>4</v>
      </c>
      <c r="B76" s="648" t="s">
        <v>2430</v>
      </c>
      <c r="C76" s="623"/>
      <c r="D76" s="652"/>
      <c r="E76" s="644"/>
      <c r="F76" s="644">
        <f>D76*E76</f>
        <v>0</v>
      </c>
    </row>
    <row r="77" spans="1:6" ht="55.2">
      <c r="A77" s="633"/>
      <c r="B77" s="640" t="s">
        <v>2431</v>
      </c>
      <c r="C77" s="623"/>
      <c r="D77" s="652"/>
      <c r="E77" s="644"/>
      <c r="F77" s="644">
        <f>D77*E77</f>
        <v>0</v>
      </c>
    </row>
    <row r="78" spans="1:6" ht="13.8">
      <c r="A78" s="633"/>
      <c r="B78" s="645" t="s">
        <v>2428</v>
      </c>
      <c r="C78" s="646" t="s">
        <v>2391</v>
      </c>
      <c r="D78" s="636">
        <v>40</v>
      </c>
      <c r="E78" s="636">
        <v>22</v>
      </c>
      <c r="F78" s="636">
        <f>(D78*E78)</f>
        <v>880</v>
      </c>
    </row>
    <row r="79" spans="1:6" ht="13.8">
      <c r="A79" s="633"/>
      <c r="B79" s="645" t="s">
        <v>2429</v>
      </c>
      <c r="C79" s="646" t="s">
        <v>2391</v>
      </c>
      <c r="D79" s="636">
        <v>60</v>
      </c>
      <c r="E79" s="636">
        <v>18</v>
      </c>
      <c r="F79" s="636">
        <f>(D79*E79)</f>
        <v>1080</v>
      </c>
    </row>
    <row r="80" spans="1:6" ht="13.8">
      <c r="A80" s="633"/>
      <c r="B80" s="645" t="s">
        <v>2432</v>
      </c>
      <c r="C80" s="646" t="s">
        <v>2391</v>
      </c>
      <c r="D80" s="636">
        <v>50</v>
      </c>
      <c r="E80" s="636">
        <v>15</v>
      </c>
      <c r="F80" s="636">
        <f>(D80*E80)</f>
        <v>750</v>
      </c>
    </row>
    <row r="81" spans="1:6" ht="13.8">
      <c r="A81" s="633"/>
      <c r="B81" s="645" t="s">
        <v>2433</v>
      </c>
      <c r="C81" s="646" t="s">
        <v>2391</v>
      </c>
      <c r="D81" s="636">
        <v>60</v>
      </c>
      <c r="E81" s="636">
        <v>10</v>
      </c>
      <c r="F81" s="636">
        <f>(D81*E81)</f>
        <v>600</v>
      </c>
    </row>
    <row r="82" spans="1:6" ht="13.8">
      <c r="A82" s="633"/>
      <c r="B82" s="645" t="s">
        <v>2434</v>
      </c>
      <c r="C82" s="646"/>
      <c r="D82" s="636">
        <v>40</v>
      </c>
      <c r="E82" s="636">
        <v>5</v>
      </c>
      <c r="F82" s="636">
        <f>(D82*E82)</f>
        <v>200</v>
      </c>
    </row>
    <row r="83" spans="1:6" ht="12.75" customHeight="1">
      <c r="A83" s="633"/>
      <c r="B83" s="650"/>
      <c r="C83" s="651"/>
      <c r="D83" s="624"/>
      <c r="E83" s="624"/>
      <c r="F83" s="624"/>
    </row>
    <row r="84" spans="1:6" ht="41.4">
      <c r="A84" s="633">
        <v>3</v>
      </c>
      <c r="B84" s="648" t="s">
        <v>2435</v>
      </c>
      <c r="C84" s="646" t="s">
        <v>2410</v>
      </c>
      <c r="D84" s="636">
        <v>1</v>
      </c>
      <c r="E84" s="636">
        <v>500</v>
      </c>
      <c r="F84" s="636">
        <f>(D84*E84)</f>
        <v>500</v>
      </c>
    </row>
    <row r="85" spans="1:6" ht="13.8">
      <c r="A85" s="633"/>
      <c r="B85" s="656"/>
      <c r="C85" s="651"/>
      <c r="D85" s="624"/>
      <c r="E85" s="624"/>
      <c r="F85" s="624"/>
    </row>
    <row r="86" spans="1:6" s="308" customFormat="1" ht="27.6">
      <c r="A86" s="633">
        <v>4</v>
      </c>
      <c r="B86" s="640" t="s">
        <v>2436</v>
      </c>
      <c r="C86" s="655"/>
      <c r="D86" s="636"/>
      <c r="E86" s="636"/>
      <c r="F86" s="636"/>
    </row>
    <row r="87" spans="1:6" s="308" customFormat="1" ht="13.8">
      <c r="A87" s="633" t="s">
        <v>1119</v>
      </c>
      <c r="B87" s="640" t="s">
        <v>2437</v>
      </c>
      <c r="C87" s="655" t="s">
        <v>2438</v>
      </c>
      <c r="D87" s="636">
        <v>2</v>
      </c>
      <c r="E87" s="636">
        <v>80</v>
      </c>
      <c r="F87" s="636">
        <f>D87*E87</f>
        <v>160</v>
      </c>
    </row>
    <row r="88" spans="1:6" ht="13.8">
      <c r="A88" s="633"/>
      <c r="B88" s="650"/>
      <c r="C88" s="641"/>
      <c r="D88" s="624"/>
      <c r="E88" s="624"/>
      <c r="F88" s="624"/>
    </row>
    <row r="89" spans="1:6" ht="69">
      <c r="A89" s="633">
        <v>5</v>
      </c>
      <c r="B89" s="640" t="s">
        <v>2439</v>
      </c>
      <c r="C89" s="635"/>
      <c r="D89" s="636"/>
      <c r="E89" s="637"/>
      <c r="F89" s="636">
        <f t="shared" ref="F89:F97" si="1">(D89*E89)</f>
        <v>0</v>
      </c>
    </row>
    <row r="90" spans="1:6" ht="13.8">
      <c r="A90" s="633"/>
      <c r="B90" s="645" t="s">
        <v>2440</v>
      </c>
      <c r="C90" s="646" t="s">
        <v>291</v>
      </c>
      <c r="D90" s="636">
        <v>8</v>
      </c>
      <c r="E90" s="636">
        <v>60</v>
      </c>
      <c r="F90" s="636">
        <f t="shared" si="1"/>
        <v>480</v>
      </c>
    </row>
    <row r="91" spans="1:6" ht="13.8">
      <c r="A91" s="633"/>
      <c r="B91" s="645" t="s">
        <v>2441</v>
      </c>
      <c r="C91" s="646" t="s">
        <v>291</v>
      </c>
      <c r="D91" s="636">
        <v>5</v>
      </c>
      <c r="E91" s="636">
        <v>50</v>
      </c>
      <c r="F91" s="636">
        <f t="shared" si="1"/>
        <v>250</v>
      </c>
    </row>
    <row r="92" spans="1:6" ht="13.8">
      <c r="A92" s="633"/>
      <c r="B92" s="645" t="s">
        <v>2442</v>
      </c>
      <c r="C92" s="646" t="s">
        <v>291</v>
      </c>
      <c r="D92" s="636">
        <v>4</v>
      </c>
      <c r="E92" s="636">
        <v>20</v>
      </c>
      <c r="F92" s="636">
        <f t="shared" si="1"/>
        <v>80</v>
      </c>
    </row>
    <row r="93" spans="1:6" ht="13.8">
      <c r="A93" s="633"/>
      <c r="B93" s="645" t="s">
        <v>2390</v>
      </c>
      <c r="C93" s="646" t="s">
        <v>291</v>
      </c>
      <c r="D93" s="636">
        <v>4</v>
      </c>
      <c r="E93" s="636">
        <v>10</v>
      </c>
      <c r="F93" s="636">
        <f t="shared" si="1"/>
        <v>40</v>
      </c>
    </row>
    <row r="94" spans="1:6" ht="13.8">
      <c r="A94" s="633"/>
      <c r="B94" s="656"/>
      <c r="C94" s="623"/>
      <c r="D94" s="624"/>
      <c r="E94" s="624"/>
      <c r="F94" s="624">
        <f t="shared" si="1"/>
        <v>0</v>
      </c>
    </row>
    <row r="95" spans="1:6" ht="63" customHeight="1">
      <c r="A95" s="633">
        <v>6</v>
      </c>
      <c r="B95" s="640" t="s">
        <v>2443</v>
      </c>
      <c r="C95" s="646" t="s">
        <v>291</v>
      </c>
      <c r="D95" s="636">
        <v>1</v>
      </c>
      <c r="E95" s="636">
        <v>35</v>
      </c>
      <c r="F95" s="636">
        <f t="shared" si="1"/>
        <v>35</v>
      </c>
    </row>
    <row r="96" spans="1:6" ht="14.25" customHeight="1">
      <c r="A96" s="633"/>
      <c r="B96" s="656"/>
      <c r="C96" s="651"/>
      <c r="D96" s="624"/>
      <c r="E96" s="624"/>
      <c r="F96" s="624">
        <f t="shared" si="1"/>
        <v>0</v>
      </c>
    </row>
    <row r="97" spans="1:6" ht="124.2">
      <c r="A97" s="633">
        <v>7</v>
      </c>
      <c r="B97" s="666" t="s">
        <v>2444</v>
      </c>
      <c r="C97" s="646" t="s">
        <v>291</v>
      </c>
      <c r="D97" s="636">
        <v>7</v>
      </c>
      <c r="E97" s="636">
        <v>300</v>
      </c>
      <c r="F97" s="636">
        <f t="shared" si="1"/>
        <v>2100</v>
      </c>
    </row>
    <row r="98" spans="1:6" ht="13.5" customHeight="1">
      <c r="A98" s="633"/>
      <c r="B98" s="656"/>
      <c r="C98" s="651"/>
      <c r="D98" s="624"/>
      <c r="E98" s="624"/>
      <c r="F98" s="624"/>
    </row>
    <row r="99" spans="1:6" ht="52.5" customHeight="1">
      <c r="A99" s="633">
        <v>8</v>
      </c>
      <c r="B99" s="640" t="s">
        <v>2445</v>
      </c>
      <c r="C99" s="646" t="s">
        <v>291</v>
      </c>
      <c r="D99" s="636">
        <v>1</v>
      </c>
      <c r="E99" s="636">
        <v>500</v>
      </c>
      <c r="F99" s="636">
        <f>(D99*E99)</f>
        <v>500</v>
      </c>
    </row>
    <row r="100" spans="1:6" ht="13.5" customHeight="1">
      <c r="A100" s="633"/>
      <c r="B100" s="648"/>
      <c r="C100" s="646"/>
      <c r="D100" s="636"/>
      <c r="E100" s="636"/>
      <c r="F100" s="636">
        <f>(D100*E100)</f>
        <v>0</v>
      </c>
    </row>
    <row r="101" spans="1:6" ht="39" customHeight="1">
      <c r="A101" s="633">
        <v>9</v>
      </c>
      <c r="B101" s="640" t="s">
        <v>2446</v>
      </c>
      <c r="C101" s="646" t="s">
        <v>291</v>
      </c>
      <c r="D101" s="636">
        <v>1</v>
      </c>
      <c r="E101" s="636">
        <v>100</v>
      </c>
      <c r="F101" s="636">
        <f>(D101*E101)</f>
        <v>100</v>
      </c>
    </row>
    <row r="102" spans="1:6" ht="13.5" customHeight="1">
      <c r="A102" s="633"/>
      <c r="B102" s="648"/>
      <c r="C102" s="646"/>
      <c r="D102" s="636"/>
      <c r="E102" s="636"/>
      <c r="F102" s="636"/>
    </row>
    <row r="103" spans="1:6" ht="39" customHeight="1">
      <c r="A103" s="633">
        <v>10</v>
      </c>
      <c r="B103" s="640" t="s">
        <v>2447</v>
      </c>
      <c r="C103" s="646" t="s">
        <v>291</v>
      </c>
      <c r="D103" s="636">
        <v>2</v>
      </c>
      <c r="E103" s="636">
        <v>489</v>
      </c>
      <c r="F103" s="636">
        <f>(D103*E103)</f>
        <v>978</v>
      </c>
    </row>
    <row r="104" spans="1:6" ht="13.5" customHeight="1">
      <c r="A104" s="633"/>
      <c r="B104" s="648"/>
      <c r="C104" s="646"/>
      <c r="D104" s="636"/>
      <c r="E104" s="636"/>
      <c r="F104" s="636"/>
    </row>
    <row r="105" spans="1:6" ht="26.25" customHeight="1">
      <c r="A105" s="633">
        <v>11</v>
      </c>
      <c r="B105" s="640" t="s">
        <v>2448</v>
      </c>
      <c r="C105" s="646" t="s">
        <v>291</v>
      </c>
      <c r="D105" s="636">
        <v>8</v>
      </c>
      <c r="E105" s="636">
        <v>80</v>
      </c>
      <c r="F105" s="636">
        <f>(D105*E105)</f>
        <v>640</v>
      </c>
    </row>
    <row r="106" spans="1:6" ht="13.5" customHeight="1">
      <c r="A106" s="633"/>
      <c r="B106" s="648"/>
      <c r="C106" s="646"/>
      <c r="D106" s="636"/>
      <c r="E106" s="636"/>
      <c r="F106" s="636"/>
    </row>
    <row r="107" spans="1:6" s="308" customFormat="1" ht="29.4" customHeight="1">
      <c r="A107" s="633">
        <v>12</v>
      </c>
      <c r="B107" s="648" t="s">
        <v>2449</v>
      </c>
      <c r="C107" s="646"/>
      <c r="D107" s="636"/>
      <c r="E107" s="636"/>
      <c r="F107" s="636"/>
    </row>
    <row r="108" spans="1:6" s="308" customFormat="1" ht="15" customHeight="1">
      <c r="A108" s="633"/>
      <c r="B108" s="648" t="s">
        <v>2450</v>
      </c>
      <c r="C108" s="646" t="s">
        <v>291</v>
      </c>
      <c r="D108" s="636">
        <v>7</v>
      </c>
      <c r="E108" s="636">
        <v>80</v>
      </c>
      <c r="F108" s="636">
        <f>E108*D108</f>
        <v>560</v>
      </c>
    </row>
    <row r="109" spans="1:6" s="308" customFormat="1" ht="15.75" customHeight="1">
      <c r="A109" s="633"/>
      <c r="B109" s="648" t="s">
        <v>2451</v>
      </c>
      <c r="C109" s="646" t="s">
        <v>291</v>
      </c>
      <c r="D109" s="636">
        <v>7</v>
      </c>
      <c r="E109" s="636">
        <v>110</v>
      </c>
      <c r="F109" s="636">
        <f t="shared" ref="F109:F110" si="2">E109*D109</f>
        <v>770</v>
      </c>
    </row>
    <row r="110" spans="1:6" s="308" customFormat="1" ht="15.75" customHeight="1">
      <c r="A110" s="633"/>
      <c r="B110" s="648" t="s">
        <v>2452</v>
      </c>
      <c r="C110" s="646" t="s">
        <v>291</v>
      </c>
      <c r="D110" s="636">
        <v>7</v>
      </c>
      <c r="E110" s="636">
        <v>68</v>
      </c>
      <c r="F110" s="636">
        <f t="shared" si="2"/>
        <v>476</v>
      </c>
    </row>
    <row r="111" spans="1:6" ht="13.5" customHeight="1">
      <c r="A111" s="633"/>
      <c r="B111" s="648"/>
      <c r="C111" s="646"/>
      <c r="D111" s="636"/>
      <c r="E111" s="636"/>
      <c r="F111" s="636"/>
    </row>
    <row r="112" spans="1:6" ht="55.2">
      <c r="A112" s="633">
        <v>13</v>
      </c>
      <c r="B112" s="666" t="s">
        <v>2453</v>
      </c>
      <c r="C112" s="646"/>
      <c r="D112" s="636"/>
      <c r="E112" s="636"/>
      <c r="F112" s="636"/>
    </row>
    <row r="113" spans="1:6" ht="41.4">
      <c r="A113" s="633"/>
      <c r="B113" s="666" t="s">
        <v>2454</v>
      </c>
      <c r="C113" s="646"/>
      <c r="D113" s="636"/>
      <c r="E113" s="636"/>
      <c r="F113" s="636"/>
    </row>
    <row r="114" spans="1:6" ht="124.2">
      <c r="A114" s="633"/>
      <c r="B114" s="666" t="s">
        <v>2455</v>
      </c>
      <c r="C114" s="646"/>
      <c r="D114" s="636"/>
      <c r="E114" s="636"/>
      <c r="F114" s="636"/>
    </row>
    <row r="115" spans="1:6" ht="82.8">
      <c r="A115" s="633"/>
      <c r="B115" s="666" t="s">
        <v>2456</v>
      </c>
      <c r="C115" s="651"/>
      <c r="D115" s="624"/>
      <c r="E115" s="624"/>
      <c r="F115" s="624"/>
    </row>
    <row r="116" spans="1:6" ht="13.8">
      <c r="A116" s="633"/>
      <c r="B116" s="667" t="s">
        <v>2457</v>
      </c>
      <c r="C116" s="646" t="s">
        <v>291</v>
      </c>
      <c r="D116" s="636">
        <v>5</v>
      </c>
      <c r="E116" s="636">
        <v>15</v>
      </c>
      <c r="F116" s="636">
        <f>(D116*E116)</f>
        <v>75</v>
      </c>
    </row>
    <row r="117" spans="1:6" ht="13.8">
      <c r="A117" s="633"/>
      <c r="B117" s="667"/>
      <c r="C117" s="646"/>
      <c r="D117" s="636"/>
      <c r="E117" s="636"/>
      <c r="F117" s="636"/>
    </row>
    <row r="118" spans="1:6" ht="39" customHeight="1">
      <c r="A118" s="633">
        <v>14</v>
      </c>
      <c r="B118" s="666" t="s">
        <v>2458</v>
      </c>
      <c r="C118" s="646" t="s">
        <v>291</v>
      </c>
      <c r="D118" s="636">
        <v>10</v>
      </c>
      <c r="E118" s="636">
        <v>85</v>
      </c>
      <c r="F118" s="636">
        <f>(D118*E118)</f>
        <v>850</v>
      </c>
    </row>
    <row r="119" spans="1:6" ht="13.8">
      <c r="A119" s="633"/>
      <c r="B119" s="667"/>
      <c r="C119" s="646"/>
      <c r="D119" s="636"/>
      <c r="E119" s="636"/>
      <c r="F119" s="636">
        <f>(D119*E119)</f>
        <v>0</v>
      </c>
    </row>
    <row r="120" spans="1:6" ht="38.25" customHeight="1">
      <c r="A120" s="633">
        <v>15</v>
      </c>
      <c r="B120" s="648" t="s">
        <v>2459</v>
      </c>
      <c r="C120" s="668" t="s">
        <v>291</v>
      </c>
      <c r="D120" s="654">
        <v>8</v>
      </c>
      <c r="E120" s="636">
        <v>200</v>
      </c>
      <c r="F120" s="636">
        <f>D120*E120</f>
        <v>1600</v>
      </c>
    </row>
    <row r="121" spans="1:6" ht="12.75" customHeight="1">
      <c r="A121" s="633"/>
      <c r="B121" s="656"/>
      <c r="C121" s="646"/>
      <c r="D121" s="636"/>
      <c r="E121" s="636"/>
      <c r="F121" s="647">
        <f>D121*E121-0.1*(D121*E121)</f>
        <v>0</v>
      </c>
    </row>
    <row r="122" spans="1:6" s="308" customFormat="1" ht="13.5" customHeight="1">
      <c r="A122" s="659" t="s">
        <v>2425</v>
      </c>
      <c r="B122" s="660" t="s">
        <v>2460</v>
      </c>
      <c r="C122" s="661"/>
      <c r="D122" s="662"/>
      <c r="E122" s="663"/>
      <c r="F122" s="662">
        <f>SUM(F73:F120)</f>
        <v>18894</v>
      </c>
    </row>
    <row r="123" spans="1:6" s="308" customFormat="1" ht="13.5" customHeight="1">
      <c r="A123" s="659"/>
      <c r="B123" s="669"/>
      <c r="C123" s="659"/>
      <c r="D123" s="670"/>
      <c r="E123" s="671"/>
      <c r="F123" s="670"/>
    </row>
    <row r="124" spans="1:6" ht="14.25" customHeight="1">
      <c r="A124" s="633"/>
      <c r="B124" s="672"/>
      <c r="C124" s="651"/>
      <c r="D124" s="624"/>
      <c r="E124" s="644"/>
      <c r="F124" s="644"/>
    </row>
    <row r="125" spans="1:6" ht="16.5" customHeight="1">
      <c r="A125" s="621" t="s">
        <v>2461</v>
      </c>
      <c r="B125" s="673" t="s">
        <v>2462</v>
      </c>
      <c r="C125" s="651"/>
      <c r="D125" s="624"/>
      <c r="E125" s="644"/>
      <c r="F125" s="644"/>
    </row>
    <row r="126" spans="1:6" ht="16.5" customHeight="1">
      <c r="A126" s="621"/>
      <c r="B126" s="674"/>
      <c r="C126" s="651"/>
      <c r="D126" s="624"/>
      <c r="E126" s="644"/>
      <c r="F126" s="644"/>
    </row>
    <row r="127" spans="1:6" ht="66.75" customHeight="1">
      <c r="A127" s="621"/>
      <c r="B127" s="648" t="s">
        <v>2463</v>
      </c>
      <c r="C127" s="651"/>
      <c r="D127" s="624"/>
      <c r="E127" s="644"/>
      <c r="F127" s="644"/>
    </row>
    <row r="128" spans="1:6" ht="27" customHeight="1">
      <c r="A128" s="621"/>
      <c r="B128" s="648" t="s">
        <v>2464</v>
      </c>
      <c r="C128" s="651"/>
      <c r="D128" s="624"/>
      <c r="E128" s="644"/>
      <c r="F128" s="644"/>
    </row>
    <row r="129" spans="1:6" ht="27.75" customHeight="1">
      <c r="A129" s="621"/>
      <c r="B129" s="648" t="s">
        <v>2465</v>
      </c>
      <c r="C129" s="651"/>
      <c r="D129" s="624"/>
      <c r="E129" s="644"/>
      <c r="F129" s="644"/>
    </row>
    <row r="130" spans="1:6" ht="27.75" customHeight="1">
      <c r="A130" s="621"/>
      <c r="B130" s="648" t="s">
        <v>2466</v>
      </c>
      <c r="C130" s="651"/>
      <c r="D130" s="624"/>
      <c r="E130" s="644"/>
      <c r="F130" s="644"/>
    </row>
    <row r="131" spans="1:6" ht="27.75" customHeight="1">
      <c r="A131" s="621"/>
      <c r="B131" s="648" t="s">
        <v>2467</v>
      </c>
      <c r="C131" s="651"/>
      <c r="D131" s="624"/>
      <c r="E131" s="644"/>
      <c r="F131" s="644"/>
    </row>
    <row r="132" spans="1:6" ht="39.75" customHeight="1">
      <c r="A132" s="621"/>
      <c r="B132" s="648" t="s">
        <v>2468</v>
      </c>
      <c r="C132" s="651"/>
      <c r="D132" s="624"/>
      <c r="E132" s="644"/>
      <c r="F132" s="644"/>
    </row>
    <row r="133" spans="1:6" ht="14.25" customHeight="1">
      <c r="A133" s="621"/>
      <c r="B133" s="648"/>
      <c r="C133" s="651"/>
      <c r="D133" s="624"/>
      <c r="E133" s="644"/>
      <c r="F133" s="644"/>
    </row>
    <row r="134" spans="1:6" ht="27" customHeight="1">
      <c r="A134" s="621"/>
      <c r="B134" s="648" t="s">
        <v>2469</v>
      </c>
      <c r="C134" s="651"/>
      <c r="D134" s="624"/>
      <c r="E134" s="644"/>
      <c r="F134" s="644"/>
    </row>
    <row r="135" spans="1:6" ht="25.5" customHeight="1">
      <c r="A135" s="621"/>
      <c r="B135" s="648" t="s">
        <v>2470</v>
      </c>
      <c r="C135" s="651"/>
      <c r="D135" s="624"/>
      <c r="E135" s="644"/>
      <c r="F135" s="644"/>
    </row>
    <row r="136" spans="1:6" ht="26.25" customHeight="1">
      <c r="A136" s="621"/>
      <c r="B136" s="648" t="s">
        <v>2471</v>
      </c>
      <c r="C136" s="651"/>
      <c r="D136" s="624"/>
      <c r="E136" s="648"/>
      <c r="F136" s="644"/>
    </row>
    <row r="137" spans="1:6" ht="16.5" customHeight="1">
      <c r="A137" s="621"/>
      <c r="B137" s="674"/>
      <c r="C137" s="651"/>
      <c r="D137" s="624"/>
      <c r="E137" s="644"/>
      <c r="F137" s="644"/>
    </row>
    <row r="138" spans="1:6" ht="119.25" customHeight="1">
      <c r="A138" s="633" t="s">
        <v>0</v>
      </c>
      <c r="B138" s="675" t="s">
        <v>2784</v>
      </c>
      <c r="C138" s="649" t="s">
        <v>291</v>
      </c>
      <c r="D138" s="636">
        <v>6</v>
      </c>
      <c r="E138" s="636">
        <v>480</v>
      </c>
      <c r="F138" s="636">
        <f>(D138*E138)</f>
        <v>2880</v>
      </c>
    </row>
    <row r="139" spans="1:6" ht="13.5" customHeight="1">
      <c r="A139" s="633"/>
      <c r="B139" s="656"/>
      <c r="C139" s="651"/>
      <c r="D139" s="624"/>
      <c r="E139" s="624"/>
      <c r="F139" s="624">
        <f>D139*E139-0.1*(D139*E139)</f>
        <v>0</v>
      </c>
    </row>
    <row r="140" spans="1:6" ht="309" customHeight="1">
      <c r="A140" s="633" t="s">
        <v>4</v>
      </c>
      <c r="B140" s="675" t="s">
        <v>2766</v>
      </c>
      <c r="C140" s="651"/>
      <c r="D140" s="624"/>
      <c r="E140" s="624"/>
      <c r="F140" s="624"/>
    </row>
    <row r="141" spans="1:6" ht="15.75" customHeight="1">
      <c r="A141" s="633"/>
      <c r="B141" s="648" t="s">
        <v>2472</v>
      </c>
      <c r="C141" s="646" t="s">
        <v>291</v>
      </c>
      <c r="D141" s="636">
        <v>11</v>
      </c>
      <c r="E141" s="636">
        <v>398</v>
      </c>
      <c r="F141" s="636">
        <f>(D141*E141)</f>
        <v>4378</v>
      </c>
    </row>
    <row r="142" spans="1:6" ht="13.8">
      <c r="A142" s="633"/>
      <c r="B142" s="675" t="s">
        <v>2473</v>
      </c>
      <c r="C142" s="646" t="s">
        <v>291</v>
      </c>
      <c r="D142" s="636">
        <v>1</v>
      </c>
      <c r="E142" s="636">
        <v>388</v>
      </c>
      <c r="F142" s="636">
        <f>(D142*E142)</f>
        <v>388</v>
      </c>
    </row>
    <row r="143" spans="1:6" ht="13.8">
      <c r="A143" s="633"/>
      <c r="B143" s="675"/>
      <c r="C143" s="646"/>
      <c r="D143" s="636"/>
      <c r="E143" s="636"/>
      <c r="F143" s="636"/>
    </row>
    <row r="144" spans="1:6" ht="69" customHeight="1">
      <c r="A144" s="633" t="s">
        <v>3</v>
      </c>
      <c r="B144" s="666" t="s">
        <v>2474</v>
      </c>
      <c r="C144" s="646" t="s">
        <v>291</v>
      </c>
      <c r="D144" s="636">
        <v>2</v>
      </c>
      <c r="E144" s="636">
        <v>458</v>
      </c>
      <c r="F144" s="636">
        <f>E144*D144</f>
        <v>916</v>
      </c>
    </row>
    <row r="145" spans="1:6" ht="12.9" customHeight="1">
      <c r="A145" s="633"/>
      <c r="B145" s="666"/>
      <c r="C145" s="646"/>
      <c r="D145" s="636"/>
      <c r="E145" s="636"/>
      <c r="F145" s="636"/>
    </row>
    <row r="146" spans="1:6" ht="52.5" customHeight="1">
      <c r="A146" s="633">
        <v>4</v>
      </c>
      <c r="B146" s="666" t="s">
        <v>2475</v>
      </c>
      <c r="C146" s="646" t="s">
        <v>291</v>
      </c>
      <c r="D146" s="636">
        <v>2</v>
      </c>
      <c r="E146" s="636">
        <v>445</v>
      </c>
      <c r="F146" s="636">
        <f>E146*D146</f>
        <v>890</v>
      </c>
    </row>
    <row r="147" spans="1:6" ht="13.5" customHeight="1">
      <c r="A147" s="633"/>
      <c r="B147" s="675"/>
      <c r="C147" s="646"/>
      <c r="D147" s="636"/>
      <c r="E147" s="636"/>
      <c r="F147" s="636"/>
    </row>
    <row r="148" spans="1:6" ht="27.6">
      <c r="A148" s="633">
        <v>5</v>
      </c>
      <c r="B148" s="634" t="s">
        <v>2476</v>
      </c>
      <c r="C148" s="635"/>
      <c r="D148" s="636"/>
      <c r="E148" s="647"/>
      <c r="F148" s="636">
        <f>D148*E148</f>
        <v>0</v>
      </c>
    </row>
    <row r="149" spans="1:6" ht="13.8">
      <c r="A149" s="633"/>
      <c r="B149" s="676" t="s">
        <v>2477</v>
      </c>
      <c r="C149" s="635" t="s">
        <v>291</v>
      </c>
      <c r="D149" s="636">
        <v>8</v>
      </c>
      <c r="E149" s="647">
        <v>55</v>
      </c>
      <c r="F149" s="636">
        <f>D149*E149</f>
        <v>440</v>
      </c>
    </row>
    <row r="150" spans="1:6" ht="13.8">
      <c r="A150" s="633"/>
      <c r="B150" s="676" t="s">
        <v>2478</v>
      </c>
      <c r="C150" s="635" t="s">
        <v>291</v>
      </c>
      <c r="D150" s="636">
        <v>8</v>
      </c>
      <c r="E150" s="647">
        <v>48</v>
      </c>
      <c r="F150" s="636">
        <f>D150*E150</f>
        <v>384</v>
      </c>
    </row>
    <row r="151" spans="1:6" ht="13.5" customHeight="1">
      <c r="A151" s="633"/>
      <c r="B151" s="676" t="s">
        <v>2479</v>
      </c>
      <c r="C151" s="635" t="s">
        <v>291</v>
      </c>
      <c r="D151" s="636">
        <v>7</v>
      </c>
      <c r="E151" s="647">
        <v>35</v>
      </c>
      <c r="F151" s="636">
        <f>D151*E151</f>
        <v>245</v>
      </c>
    </row>
    <row r="152" spans="1:6" ht="13.5" customHeight="1">
      <c r="A152" s="633"/>
      <c r="B152" s="676" t="s">
        <v>2480</v>
      </c>
      <c r="C152" s="635" t="s">
        <v>291</v>
      </c>
      <c r="D152" s="636">
        <v>7</v>
      </c>
      <c r="E152" s="647">
        <v>50</v>
      </c>
      <c r="F152" s="636">
        <f>D152*E152</f>
        <v>350</v>
      </c>
    </row>
    <row r="153" spans="1:6" ht="10.5" customHeight="1">
      <c r="A153" s="633"/>
      <c r="B153" s="676"/>
      <c r="C153" s="635"/>
      <c r="D153" s="636"/>
      <c r="E153" s="647"/>
      <c r="F153" s="636"/>
    </row>
    <row r="154" spans="1:6" ht="91.5" customHeight="1">
      <c r="A154" s="633">
        <v>6</v>
      </c>
      <c r="B154" s="677" t="s">
        <v>2481</v>
      </c>
      <c r="C154" s="635"/>
      <c r="D154" s="636"/>
      <c r="E154" s="647"/>
      <c r="F154" s="636"/>
    </row>
    <row r="155" spans="1:6" ht="37.5" customHeight="1">
      <c r="A155" s="633"/>
      <c r="B155" s="677" t="s">
        <v>2482</v>
      </c>
      <c r="C155" s="655" t="s">
        <v>291</v>
      </c>
      <c r="D155" s="654">
        <v>1</v>
      </c>
      <c r="E155" s="654">
        <v>2800</v>
      </c>
      <c r="F155" s="654">
        <f>D155*E155</f>
        <v>2800</v>
      </c>
    </row>
    <row r="156" spans="1:6" ht="12" customHeight="1">
      <c r="A156" s="633"/>
      <c r="B156" s="677"/>
      <c r="C156" s="655"/>
      <c r="D156" s="654"/>
      <c r="E156" s="654"/>
      <c r="F156" s="654"/>
    </row>
    <row r="157" spans="1:6" ht="40.5" customHeight="1">
      <c r="A157" s="633">
        <v>7</v>
      </c>
      <c r="B157" s="677" t="s">
        <v>2483</v>
      </c>
      <c r="C157" s="655"/>
      <c r="D157" s="654"/>
      <c r="E157" s="654"/>
      <c r="F157" s="654"/>
    </row>
    <row r="158" spans="1:6" ht="14.1" customHeight="1">
      <c r="A158" s="633"/>
      <c r="B158" s="677" t="s">
        <v>2484</v>
      </c>
      <c r="C158" s="655" t="s">
        <v>291</v>
      </c>
      <c r="D158" s="654">
        <v>1</v>
      </c>
      <c r="E158" s="654">
        <v>189</v>
      </c>
      <c r="F158" s="654">
        <f>D158*E158</f>
        <v>189</v>
      </c>
    </row>
    <row r="159" spans="1:6" ht="14.1" customHeight="1">
      <c r="A159" s="633"/>
      <c r="B159" s="677"/>
      <c r="C159" s="655"/>
      <c r="D159" s="654"/>
      <c r="E159" s="654"/>
      <c r="F159" s="654"/>
    </row>
    <row r="160" spans="1:6" ht="16.5" customHeight="1">
      <c r="A160" s="659" t="s">
        <v>2461</v>
      </c>
      <c r="B160" s="660" t="s">
        <v>2485</v>
      </c>
      <c r="C160" s="661"/>
      <c r="D160" s="662"/>
      <c r="E160" s="663"/>
      <c r="F160" s="662">
        <f>SUM(F138:F158)</f>
        <v>13860</v>
      </c>
    </row>
    <row r="161" spans="1:6" ht="16.5" customHeight="1">
      <c r="A161" s="659"/>
      <c r="B161" s="669"/>
      <c r="C161" s="659"/>
      <c r="D161" s="670"/>
      <c r="E161" s="671"/>
      <c r="F161" s="670"/>
    </row>
    <row r="162" spans="1:6" ht="16.5" customHeight="1">
      <c r="A162" s="659"/>
      <c r="B162" s="669"/>
      <c r="C162" s="659"/>
      <c r="D162" s="670"/>
      <c r="E162" s="671"/>
      <c r="F162" s="670"/>
    </row>
    <row r="163" spans="1:6" ht="14.25" customHeight="1">
      <c r="A163" s="621" t="s">
        <v>2486</v>
      </c>
      <c r="B163" s="638" t="s">
        <v>870</v>
      </c>
      <c r="C163" s="678"/>
      <c r="D163" s="679"/>
      <c r="E163" s="680"/>
      <c r="F163" s="680"/>
    </row>
    <row r="164" spans="1:6" ht="14.25" customHeight="1">
      <c r="A164" s="621"/>
      <c r="B164" s="622"/>
      <c r="C164" s="678"/>
      <c r="D164" s="679"/>
      <c r="E164" s="680"/>
      <c r="F164" s="680"/>
    </row>
    <row r="165" spans="1:6" s="682" customFormat="1" ht="58.5" customHeight="1">
      <c r="A165" s="633" t="s">
        <v>0</v>
      </c>
      <c r="B165" s="640" t="s">
        <v>2487</v>
      </c>
      <c r="C165" s="650"/>
      <c r="D165" s="681"/>
      <c r="E165" s="681"/>
      <c r="F165" s="681">
        <f>D165*E165</f>
        <v>0</v>
      </c>
    </row>
    <row r="166" spans="1:6" s="682" customFormat="1" ht="15" customHeight="1">
      <c r="A166" s="633"/>
      <c r="B166" s="645" t="s">
        <v>2488</v>
      </c>
      <c r="C166" s="645" t="s">
        <v>2489</v>
      </c>
      <c r="D166" s="683">
        <v>200</v>
      </c>
      <c r="E166" s="683">
        <v>20</v>
      </c>
      <c r="F166" s="683">
        <f>(D166*E166)</f>
        <v>4000</v>
      </c>
    </row>
    <row r="167" spans="1:6" ht="12" customHeight="1">
      <c r="A167" s="633"/>
      <c r="B167" s="657"/>
      <c r="C167" s="646"/>
      <c r="D167" s="636"/>
      <c r="E167" s="636"/>
      <c r="F167" s="636">
        <f>(D167*E167)</f>
        <v>0</v>
      </c>
    </row>
    <row r="168" spans="1:6" ht="26.25" customHeight="1">
      <c r="A168" s="633" t="s">
        <v>4</v>
      </c>
      <c r="B168" s="640" t="s">
        <v>2490</v>
      </c>
      <c r="C168" s="655" t="s">
        <v>2489</v>
      </c>
      <c r="D168" s="636">
        <v>18</v>
      </c>
      <c r="E168" s="636">
        <v>60</v>
      </c>
      <c r="F168" s="636">
        <f>(D168*E168)</f>
        <v>1080</v>
      </c>
    </row>
    <row r="169" spans="1:6" ht="11.25" customHeight="1">
      <c r="A169" s="633"/>
      <c r="B169" s="640"/>
      <c r="C169" s="655"/>
      <c r="D169" s="636"/>
      <c r="E169" s="636"/>
      <c r="F169" s="636"/>
    </row>
    <row r="170" spans="1:6" s="308" customFormat="1" ht="55.2">
      <c r="A170" s="633" t="s">
        <v>3</v>
      </c>
      <c r="B170" s="648" t="s">
        <v>2491</v>
      </c>
      <c r="C170" s="637"/>
      <c r="D170" s="684"/>
      <c r="E170" s="684"/>
      <c r="F170" s="684"/>
    </row>
    <row r="171" spans="1:6" s="308" customFormat="1" ht="63" customHeight="1">
      <c r="A171" s="633"/>
      <c r="B171" s="648" t="s">
        <v>2492</v>
      </c>
      <c r="C171" s="637"/>
      <c r="D171" s="684"/>
      <c r="E171" s="684"/>
      <c r="F171" s="684"/>
    </row>
    <row r="172" spans="1:6" s="308" customFormat="1" ht="55.2">
      <c r="A172" s="633"/>
      <c r="B172" s="648" t="s">
        <v>2493</v>
      </c>
      <c r="C172" s="637"/>
      <c r="D172" s="684"/>
      <c r="E172" s="684"/>
      <c r="F172" s="684"/>
    </row>
    <row r="173" spans="1:6" s="308" customFormat="1" ht="96.6">
      <c r="A173" s="633"/>
      <c r="B173" s="648" t="s">
        <v>2494</v>
      </c>
      <c r="C173" s="637"/>
      <c r="D173" s="684"/>
      <c r="E173" s="684"/>
      <c r="F173" s="684"/>
    </row>
    <row r="174" spans="1:6" s="308" customFormat="1" ht="100.5" customHeight="1">
      <c r="A174" s="633"/>
      <c r="B174" s="648" t="s">
        <v>2495</v>
      </c>
      <c r="C174" s="637"/>
      <c r="D174" s="684"/>
      <c r="E174" s="684"/>
      <c r="F174" s="684"/>
    </row>
    <row r="175" spans="1:6" s="308" customFormat="1" ht="27.6">
      <c r="A175" s="633"/>
      <c r="B175" s="648" t="s">
        <v>2496</v>
      </c>
      <c r="C175" s="655"/>
      <c r="D175" s="684"/>
      <c r="E175" s="684"/>
      <c r="F175" s="684"/>
    </row>
    <row r="176" spans="1:6" s="308" customFormat="1" ht="13.8">
      <c r="A176" s="633"/>
      <c r="B176" s="648" t="s">
        <v>2497</v>
      </c>
      <c r="C176" s="655"/>
      <c r="D176" s="655"/>
      <c r="E176" s="655"/>
      <c r="F176" s="655"/>
    </row>
    <row r="177" spans="1:256" s="308" customFormat="1" ht="13.8">
      <c r="A177" s="633"/>
      <c r="B177" s="648" t="s">
        <v>2498</v>
      </c>
      <c r="C177" s="666" t="s">
        <v>291</v>
      </c>
      <c r="D177" s="684">
        <v>4</v>
      </c>
      <c r="E177" s="684">
        <v>1</v>
      </c>
      <c r="F177" s="684">
        <f>D177*E177</f>
        <v>4</v>
      </c>
    </row>
    <row r="178" spans="1:256" s="308" customFormat="1" ht="13.8">
      <c r="A178" s="633"/>
      <c r="B178" s="648"/>
      <c r="C178" s="666"/>
      <c r="D178" s="684"/>
      <c r="E178" s="684"/>
      <c r="F178" s="684"/>
    </row>
    <row r="179" spans="1:256" s="308" customFormat="1" ht="128.25" customHeight="1">
      <c r="A179" s="633" t="s">
        <v>5</v>
      </c>
      <c r="B179" s="640" t="s">
        <v>2499</v>
      </c>
      <c r="C179" s="646"/>
      <c r="D179" s="636"/>
      <c r="E179" s="647"/>
      <c r="F179" s="636">
        <f>(D179*E179)</f>
        <v>0</v>
      </c>
    </row>
    <row r="180" spans="1:256" s="308" customFormat="1" ht="10.5" customHeight="1">
      <c r="A180" s="633"/>
      <c r="B180" s="640"/>
      <c r="C180" s="646"/>
      <c r="D180" s="636"/>
      <c r="E180" s="647"/>
      <c r="F180" s="636"/>
    </row>
    <row r="181" spans="1:256" s="308" customFormat="1" ht="89.25" customHeight="1">
      <c r="A181" s="633"/>
      <c r="B181" s="640" t="s">
        <v>2500</v>
      </c>
      <c r="C181" s="646"/>
      <c r="D181" s="636"/>
      <c r="E181" s="647"/>
      <c r="F181" s="636">
        <f>(D181*E181)</f>
        <v>0</v>
      </c>
    </row>
    <row r="182" spans="1:256" s="308" customFormat="1" ht="55.2">
      <c r="A182" s="633"/>
      <c r="B182" s="649" t="s">
        <v>2501</v>
      </c>
      <c r="C182" s="646" t="s">
        <v>291</v>
      </c>
      <c r="D182" s="636">
        <v>1</v>
      </c>
      <c r="E182" s="636">
        <v>1500</v>
      </c>
      <c r="F182" s="636">
        <f>(D182*E182)</f>
        <v>1500</v>
      </c>
    </row>
    <row r="183" spans="1:256" s="308" customFormat="1" ht="13.8">
      <c r="A183" s="633"/>
      <c r="B183" s="649"/>
      <c r="C183" s="646"/>
      <c r="D183" s="636"/>
      <c r="E183" s="636"/>
      <c r="F183" s="636">
        <f t="shared" ref="F183" si="3">(D183*E183)</f>
        <v>0</v>
      </c>
    </row>
    <row r="184" spans="1:256" ht="91.5" customHeight="1">
      <c r="A184" s="633">
        <v>5</v>
      </c>
      <c r="B184" s="640" t="s">
        <v>2502</v>
      </c>
      <c r="C184" s="685"/>
      <c r="D184" s="636"/>
      <c r="E184" s="647"/>
      <c r="F184" s="636">
        <f>(D184*E184)</f>
        <v>0</v>
      </c>
    </row>
    <row r="185" spans="1:256" ht="15" customHeight="1">
      <c r="A185" s="633"/>
      <c r="B185" s="645" t="s">
        <v>2428</v>
      </c>
      <c r="C185" s="646" t="s">
        <v>291</v>
      </c>
      <c r="D185" s="636">
        <v>6</v>
      </c>
      <c r="E185" s="647">
        <v>100</v>
      </c>
      <c r="F185" s="636">
        <f>(D185*E185)</f>
        <v>600</v>
      </c>
    </row>
    <row r="186" spans="1:256" ht="12.75" customHeight="1">
      <c r="A186" s="633"/>
      <c r="B186" s="645" t="s">
        <v>2503</v>
      </c>
      <c r="C186" s="646" t="s">
        <v>291</v>
      </c>
      <c r="D186" s="636">
        <v>2</v>
      </c>
      <c r="E186" s="647">
        <v>50</v>
      </c>
      <c r="F186" s="636">
        <f>(D186*E186)</f>
        <v>100</v>
      </c>
    </row>
    <row r="187" spans="1:256" ht="14.25" customHeight="1">
      <c r="A187" s="633"/>
      <c r="B187" s="657"/>
      <c r="C187" s="651"/>
      <c r="D187" s="652"/>
      <c r="E187" s="624"/>
      <c r="F187" s="624"/>
    </row>
    <row r="188" spans="1:256" ht="66" customHeight="1">
      <c r="A188" s="633">
        <v>6</v>
      </c>
      <c r="B188" s="640" t="s">
        <v>2504</v>
      </c>
      <c r="C188" s="655" t="s">
        <v>2489</v>
      </c>
      <c r="D188" s="636">
        <v>120</v>
      </c>
      <c r="E188" s="636">
        <v>20</v>
      </c>
      <c r="F188" s="636">
        <f>(D188*E188)</f>
        <v>2400</v>
      </c>
    </row>
    <row r="189" spans="1:256" s="686" customFormat="1" ht="13.8">
      <c r="A189" s="633"/>
      <c r="B189" s="657"/>
      <c r="C189" s="641"/>
      <c r="D189" s="624"/>
      <c r="E189" s="624"/>
      <c r="F189" s="624">
        <f>(D189*E189)</f>
        <v>0</v>
      </c>
      <c r="G189" s="400"/>
      <c r="H189" s="400"/>
      <c r="I189" s="400"/>
      <c r="J189" s="400"/>
      <c r="K189" s="400"/>
      <c r="L189" s="400"/>
      <c r="M189" s="400"/>
      <c r="N189" s="400"/>
      <c r="O189" s="400"/>
      <c r="P189" s="400"/>
      <c r="Q189" s="400"/>
      <c r="R189" s="400"/>
      <c r="S189" s="400"/>
      <c r="T189" s="400"/>
      <c r="U189" s="400"/>
      <c r="V189" s="400"/>
      <c r="W189" s="400"/>
      <c r="X189" s="400"/>
      <c r="Y189" s="400"/>
      <c r="Z189" s="400"/>
      <c r="AA189" s="400"/>
      <c r="AB189" s="400"/>
      <c r="AC189" s="400"/>
      <c r="AD189" s="400"/>
      <c r="AE189" s="400"/>
      <c r="AF189" s="400"/>
      <c r="AG189" s="400"/>
      <c r="AH189" s="400"/>
      <c r="AI189" s="400"/>
      <c r="AJ189" s="400"/>
      <c r="AK189" s="400"/>
      <c r="AL189" s="400"/>
      <c r="AM189" s="400"/>
      <c r="AN189" s="400"/>
      <c r="AO189" s="400"/>
      <c r="AP189" s="400"/>
      <c r="AQ189" s="400"/>
      <c r="AR189" s="400"/>
      <c r="AS189" s="400"/>
      <c r="AT189" s="400"/>
      <c r="AU189" s="400"/>
      <c r="AV189" s="400"/>
      <c r="AW189" s="400"/>
      <c r="AX189" s="400"/>
      <c r="AY189" s="400"/>
      <c r="AZ189" s="400"/>
      <c r="BA189" s="400"/>
      <c r="BB189" s="400"/>
      <c r="BC189" s="400"/>
      <c r="BD189" s="400"/>
      <c r="BE189" s="400"/>
      <c r="BF189" s="400"/>
      <c r="BG189" s="400"/>
      <c r="BH189" s="400"/>
      <c r="BI189" s="400"/>
      <c r="BJ189" s="400"/>
      <c r="BK189" s="400"/>
      <c r="BL189" s="400"/>
      <c r="BM189" s="400"/>
      <c r="BN189" s="400"/>
      <c r="BO189" s="400"/>
      <c r="BP189" s="400"/>
      <c r="BQ189" s="400"/>
      <c r="BR189" s="400"/>
      <c r="BS189" s="400"/>
      <c r="BT189" s="400"/>
      <c r="BU189" s="400"/>
      <c r="BV189" s="400"/>
      <c r="BW189" s="400"/>
      <c r="BX189" s="400"/>
      <c r="BY189" s="400"/>
      <c r="BZ189" s="400"/>
      <c r="CA189" s="400"/>
      <c r="CB189" s="400"/>
      <c r="CC189" s="400"/>
      <c r="CD189" s="400"/>
      <c r="CE189" s="400"/>
      <c r="CF189" s="400"/>
      <c r="CG189" s="400"/>
      <c r="CH189" s="400"/>
      <c r="CI189" s="400"/>
      <c r="CJ189" s="400"/>
      <c r="CK189" s="400"/>
      <c r="CL189" s="400"/>
      <c r="CM189" s="400"/>
      <c r="CN189" s="400"/>
      <c r="CO189" s="400"/>
      <c r="CP189" s="400"/>
      <c r="CQ189" s="400"/>
      <c r="CR189" s="400"/>
      <c r="CS189" s="400"/>
      <c r="CT189" s="400"/>
      <c r="CU189" s="400"/>
      <c r="CV189" s="400"/>
      <c r="CW189" s="400"/>
      <c r="CX189" s="400"/>
      <c r="CY189" s="400"/>
      <c r="CZ189" s="400"/>
      <c r="DA189" s="400"/>
      <c r="DB189" s="400"/>
      <c r="DC189" s="400"/>
      <c r="DD189" s="400"/>
      <c r="DE189" s="400"/>
      <c r="DF189" s="400"/>
      <c r="DG189" s="400"/>
      <c r="DH189" s="400"/>
      <c r="DI189" s="400"/>
      <c r="DJ189" s="400"/>
      <c r="DK189" s="400"/>
      <c r="DL189" s="400"/>
      <c r="DM189" s="400"/>
      <c r="DN189" s="400"/>
      <c r="DO189" s="400"/>
      <c r="DP189" s="400"/>
      <c r="DQ189" s="400"/>
      <c r="DR189" s="400"/>
      <c r="DS189" s="400"/>
      <c r="DT189" s="400"/>
      <c r="DU189" s="400"/>
      <c r="DV189" s="400"/>
      <c r="DW189" s="400"/>
      <c r="DX189" s="400"/>
      <c r="DY189" s="400"/>
      <c r="DZ189" s="400"/>
      <c r="EA189" s="400"/>
      <c r="EB189" s="400"/>
      <c r="EC189" s="400"/>
      <c r="ED189" s="400"/>
      <c r="EE189" s="400"/>
      <c r="EF189" s="400"/>
      <c r="EG189" s="400"/>
      <c r="EH189" s="400"/>
      <c r="EI189" s="400"/>
      <c r="EJ189" s="400"/>
      <c r="EK189" s="400"/>
      <c r="EL189" s="400"/>
      <c r="EM189" s="400"/>
      <c r="EN189" s="400"/>
      <c r="EO189" s="400"/>
      <c r="EP189" s="400"/>
      <c r="EQ189" s="400"/>
      <c r="ER189" s="400"/>
      <c r="ES189" s="400"/>
      <c r="ET189" s="400"/>
      <c r="EU189" s="400"/>
      <c r="EV189" s="400"/>
      <c r="EW189" s="400"/>
      <c r="EX189" s="400"/>
      <c r="EY189" s="400"/>
      <c r="EZ189" s="400"/>
      <c r="FA189" s="400"/>
      <c r="FB189" s="400"/>
      <c r="FC189" s="400"/>
      <c r="FD189" s="400"/>
      <c r="FE189" s="400"/>
      <c r="FF189" s="400"/>
      <c r="FG189" s="400"/>
      <c r="FH189" s="400"/>
      <c r="FI189" s="400"/>
      <c r="FJ189" s="400"/>
      <c r="FK189" s="400"/>
      <c r="FL189" s="400"/>
      <c r="FM189" s="400"/>
      <c r="FN189" s="400"/>
      <c r="FO189" s="400"/>
      <c r="FP189" s="400"/>
      <c r="FQ189" s="400"/>
      <c r="FR189" s="400"/>
      <c r="FS189" s="400"/>
      <c r="FT189" s="400"/>
      <c r="FU189" s="400"/>
      <c r="FV189" s="400"/>
      <c r="FW189" s="400"/>
      <c r="FX189" s="400"/>
      <c r="FY189" s="400"/>
      <c r="FZ189" s="400"/>
      <c r="GA189" s="400"/>
      <c r="GB189" s="400"/>
      <c r="GC189" s="400"/>
      <c r="GD189" s="400"/>
      <c r="GE189" s="400"/>
      <c r="GF189" s="400"/>
      <c r="GG189" s="400"/>
      <c r="GH189" s="400"/>
      <c r="GI189" s="400"/>
      <c r="GJ189" s="400"/>
      <c r="GK189" s="400"/>
      <c r="GL189" s="400"/>
      <c r="GM189" s="400"/>
      <c r="GN189" s="400"/>
      <c r="GO189" s="400"/>
      <c r="GP189" s="400"/>
      <c r="GQ189" s="400"/>
      <c r="GR189" s="400"/>
      <c r="GS189" s="400"/>
      <c r="GT189" s="400"/>
      <c r="GU189" s="400"/>
      <c r="GV189" s="400"/>
      <c r="GW189" s="400"/>
      <c r="GX189" s="400"/>
      <c r="GY189" s="400"/>
      <c r="GZ189" s="400"/>
      <c r="HA189" s="400"/>
      <c r="HB189" s="400"/>
      <c r="HC189" s="400"/>
      <c r="HD189" s="400"/>
      <c r="HE189" s="400"/>
      <c r="HF189" s="400"/>
      <c r="HG189" s="400"/>
      <c r="HH189" s="400"/>
      <c r="HI189" s="400"/>
      <c r="HJ189" s="400"/>
      <c r="HK189" s="400"/>
      <c r="HL189" s="400"/>
      <c r="HM189" s="400"/>
      <c r="HN189" s="400"/>
      <c r="HO189" s="400"/>
      <c r="HP189" s="400"/>
      <c r="HQ189" s="400"/>
      <c r="HR189" s="400"/>
      <c r="HS189" s="400"/>
      <c r="HT189" s="400"/>
      <c r="HU189" s="400"/>
      <c r="HV189" s="400"/>
      <c r="HW189" s="400"/>
      <c r="HX189" s="400"/>
      <c r="HY189" s="400"/>
      <c r="HZ189" s="400"/>
      <c r="IA189" s="400"/>
      <c r="IB189" s="400"/>
      <c r="IC189" s="400"/>
      <c r="ID189" s="400"/>
      <c r="IE189" s="400"/>
      <c r="IF189" s="400"/>
      <c r="IG189" s="400"/>
      <c r="IH189" s="400"/>
      <c r="II189" s="400"/>
      <c r="IJ189" s="400"/>
      <c r="IK189" s="400"/>
      <c r="IL189" s="400"/>
      <c r="IM189" s="400"/>
      <c r="IN189" s="400"/>
      <c r="IO189" s="400"/>
      <c r="IP189" s="400"/>
      <c r="IQ189" s="400"/>
      <c r="IR189" s="400"/>
      <c r="IS189" s="400"/>
      <c r="IT189" s="400"/>
      <c r="IU189" s="400"/>
      <c r="IV189" s="400"/>
    </row>
    <row r="190" spans="1:256" s="686" customFormat="1" ht="65.25" customHeight="1">
      <c r="A190" s="633">
        <v>7</v>
      </c>
      <c r="B190" s="640" t="s">
        <v>2505</v>
      </c>
      <c r="C190" s="655" t="s">
        <v>2489</v>
      </c>
      <c r="D190" s="636">
        <v>100</v>
      </c>
      <c r="E190" s="636">
        <v>20</v>
      </c>
      <c r="F190" s="636">
        <f>(D190*E190)</f>
        <v>2000</v>
      </c>
      <c r="G190" s="400"/>
      <c r="H190" s="400"/>
      <c r="I190" s="400"/>
      <c r="J190" s="400"/>
      <c r="K190" s="400"/>
      <c r="L190" s="400"/>
      <c r="M190" s="400"/>
      <c r="N190" s="400"/>
      <c r="O190" s="400"/>
      <c r="P190" s="400"/>
      <c r="Q190" s="400"/>
      <c r="R190" s="400"/>
      <c r="S190" s="400"/>
      <c r="T190" s="400"/>
      <c r="U190" s="400"/>
      <c r="V190" s="400"/>
      <c r="W190" s="400"/>
      <c r="X190" s="400"/>
      <c r="Y190" s="400"/>
      <c r="Z190" s="400"/>
      <c r="AA190" s="400"/>
      <c r="AB190" s="400"/>
      <c r="AC190" s="400"/>
      <c r="AD190" s="400"/>
      <c r="AE190" s="400"/>
      <c r="AF190" s="400"/>
      <c r="AG190" s="400"/>
      <c r="AH190" s="400"/>
      <c r="AI190" s="400"/>
      <c r="AJ190" s="400"/>
      <c r="AK190" s="400"/>
      <c r="AL190" s="400"/>
      <c r="AM190" s="400"/>
      <c r="AN190" s="400"/>
      <c r="AO190" s="400"/>
      <c r="AP190" s="400"/>
      <c r="AQ190" s="400"/>
      <c r="AR190" s="400"/>
      <c r="AS190" s="400"/>
      <c r="AT190" s="400"/>
      <c r="AU190" s="400"/>
      <c r="AV190" s="400"/>
      <c r="AW190" s="400"/>
      <c r="AX190" s="400"/>
      <c r="AY190" s="400"/>
      <c r="AZ190" s="400"/>
      <c r="BA190" s="400"/>
      <c r="BB190" s="400"/>
      <c r="BC190" s="400"/>
      <c r="BD190" s="400"/>
      <c r="BE190" s="400"/>
      <c r="BF190" s="400"/>
      <c r="BG190" s="400"/>
      <c r="BH190" s="400"/>
      <c r="BI190" s="400"/>
      <c r="BJ190" s="400"/>
      <c r="BK190" s="400"/>
      <c r="BL190" s="400"/>
      <c r="BM190" s="400"/>
      <c r="BN190" s="400"/>
      <c r="BO190" s="400"/>
      <c r="BP190" s="400"/>
      <c r="BQ190" s="400"/>
      <c r="BR190" s="400"/>
      <c r="BS190" s="400"/>
      <c r="BT190" s="400"/>
      <c r="BU190" s="400"/>
      <c r="BV190" s="400"/>
      <c r="BW190" s="400"/>
      <c r="BX190" s="400"/>
      <c r="BY190" s="400"/>
      <c r="BZ190" s="400"/>
      <c r="CA190" s="400"/>
      <c r="CB190" s="400"/>
      <c r="CC190" s="400"/>
      <c r="CD190" s="400"/>
      <c r="CE190" s="400"/>
      <c r="CF190" s="400"/>
      <c r="CG190" s="400"/>
      <c r="CH190" s="400"/>
      <c r="CI190" s="400"/>
      <c r="CJ190" s="400"/>
      <c r="CK190" s="400"/>
      <c r="CL190" s="400"/>
      <c r="CM190" s="400"/>
      <c r="CN190" s="400"/>
      <c r="CO190" s="400"/>
      <c r="CP190" s="400"/>
      <c r="CQ190" s="400"/>
      <c r="CR190" s="400"/>
      <c r="CS190" s="400"/>
      <c r="CT190" s="400"/>
      <c r="CU190" s="400"/>
      <c r="CV190" s="400"/>
      <c r="CW190" s="400"/>
      <c r="CX190" s="400"/>
      <c r="CY190" s="400"/>
      <c r="CZ190" s="400"/>
      <c r="DA190" s="400"/>
      <c r="DB190" s="400"/>
      <c r="DC190" s="400"/>
      <c r="DD190" s="400"/>
      <c r="DE190" s="400"/>
      <c r="DF190" s="400"/>
      <c r="DG190" s="400"/>
      <c r="DH190" s="400"/>
      <c r="DI190" s="400"/>
      <c r="DJ190" s="400"/>
      <c r="DK190" s="400"/>
      <c r="DL190" s="400"/>
      <c r="DM190" s="400"/>
      <c r="DN190" s="400"/>
      <c r="DO190" s="400"/>
      <c r="DP190" s="400"/>
      <c r="DQ190" s="400"/>
      <c r="DR190" s="400"/>
      <c r="DS190" s="400"/>
      <c r="DT190" s="400"/>
      <c r="DU190" s="400"/>
      <c r="DV190" s="400"/>
      <c r="DW190" s="400"/>
      <c r="DX190" s="400"/>
      <c r="DY190" s="400"/>
      <c r="DZ190" s="400"/>
      <c r="EA190" s="400"/>
      <c r="EB190" s="400"/>
      <c r="EC190" s="400"/>
      <c r="ED190" s="400"/>
      <c r="EE190" s="400"/>
      <c r="EF190" s="400"/>
      <c r="EG190" s="400"/>
      <c r="EH190" s="400"/>
      <c r="EI190" s="400"/>
      <c r="EJ190" s="400"/>
      <c r="EK190" s="400"/>
      <c r="EL190" s="400"/>
      <c r="EM190" s="400"/>
      <c r="EN190" s="400"/>
      <c r="EO190" s="400"/>
      <c r="EP190" s="400"/>
      <c r="EQ190" s="400"/>
      <c r="ER190" s="400"/>
      <c r="ES190" s="400"/>
      <c r="ET190" s="400"/>
      <c r="EU190" s="400"/>
      <c r="EV190" s="400"/>
      <c r="EW190" s="400"/>
      <c r="EX190" s="400"/>
      <c r="EY190" s="400"/>
      <c r="EZ190" s="400"/>
      <c r="FA190" s="400"/>
      <c r="FB190" s="400"/>
      <c r="FC190" s="400"/>
      <c r="FD190" s="400"/>
      <c r="FE190" s="400"/>
      <c r="FF190" s="400"/>
      <c r="FG190" s="400"/>
      <c r="FH190" s="400"/>
      <c r="FI190" s="400"/>
      <c r="FJ190" s="400"/>
      <c r="FK190" s="400"/>
      <c r="FL190" s="400"/>
      <c r="FM190" s="400"/>
      <c r="FN190" s="400"/>
      <c r="FO190" s="400"/>
      <c r="FP190" s="400"/>
      <c r="FQ190" s="400"/>
      <c r="FR190" s="400"/>
      <c r="FS190" s="400"/>
      <c r="FT190" s="400"/>
      <c r="FU190" s="400"/>
      <c r="FV190" s="400"/>
      <c r="FW190" s="400"/>
      <c r="FX190" s="400"/>
      <c r="FY190" s="400"/>
      <c r="FZ190" s="400"/>
      <c r="GA190" s="400"/>
      <c r="GB190" s="400"/>
      <c r="GC190" s="400"/>
      <c r="GD190" s="400"/>
      <c r="GE190" s="400"/>
      <c r="GF190" s="400"/>
      <c r="GG190" s="400"/>
      <c r="GH190" s="400"/>
      <c r="GI190" s="400"/>
      <c r="GJ190" s="400"/>
      <c r="GK190" s="400"/>
      <c r="GL190" s="400"/>
      <c r="GM190" s="400"/>
      <c r="GN190" s="400"/>
      <c r="GO190" s="400"/>
      <c r="GP190" s="400"/>
      <c r="GQ190" s="400"/>
      <c r="GR190" s="400"/>
      <c r="GS190" s="400"/>
      <c r="GT190" s="400"/>
      <c r="GU190" s="400"/>
      <c r="GV190" s="400"/>
      <c r="GW190" s="400"/>
      <c r="GX190" s="400"/>
      <c r="GY190" s="400"/>
      <c r="GZ190" s="400"/>
      <c r="HA190" s="400"/>
      <c r="HB190" s="400"/>
      <c r="HC190" s="400"/>
      <c r="HD190" s="400"/>
      <c r="HE190" s="400"/>
      <c r="HF190" s="400"/>
      <c r="HG190" s="400"/>
      <c r="HH190" s="400"/>
      <c r="HI190" s="400"/>
      <c r="HJ190" s="400"/>
      <c r="HK190" s="400"/>
      <c r="HL190" s="400"/>
      <c r="HM190" s="400"/>
      <c r="HN190" s="400"/>
      <c r="HO190" s="400"/>
      <c r="HP190" s="400"/>
      <c r="HQ190" s="400"/>
      <c r="HR190" s="400"/>
      <c r="HS190" s="400"/>
      <c r="HT190" s="400"/>
      <c r="HU190" s="400"/>
      <c r="HV190" s="400"/>
      <c r="HW190" s="400"/>
      <c r="HX190" s="400"/>
      <c r="HY190" s="400"/>
      <c r="HZ190" s="400"/>
      <c r="IA190" s="400"/>
      <c r="IB190" s="400"/>
      <c r="IC190" s="400"/>
      <c r="ID190" s="400"/>
      <c r="IE190" s="400"/>
      <c r="IF190" s="400"/>
      <c r="IG190" s="400"/>
      <c r="IH190" s="400"/>
      <c r="II190" s="400"/>
      <c r="IJ190" s="400"/>
      <c r="IK190" s="400"/>
      <c r="IL190" s="400"/>
      <c r="IM190" s="400"/>
      <c r="IN190" s="400"/>
      <c r="IO190" s="400"/>
      <c r="IP190" s="400"/>
      <c r="IQ190" s="400"/>
      <c r="IR190" s="400"/>
      <c r="IS190" s="400"/>
      <c r="IT190" s="400"/>
      <c r="IU190" s="400"/>
      <c r="IV190" s="400"/>
    </row>
    <row r="191" spans="1:256" s="686" customFormat="1" ht="13.8">
      <c r="A191" s="633"/>
      <c r="B191" s="657"/>
      <c r="C191" s="641"/>
      <c r="D191" s="624"/>
      <c r="E191" s="624"/>
      <c r="F191" s="624">
        <f>(D191*E191)</f>
        <v>0</v>
      </c>
      <c r="G191" s="400"/>
      <c r="H191" s="400"/>
      <c r="I191" s="400"/>
      <c r="J191" s="400"/>
      <c r="K191" s="400"/>
      <c r="L191" s="400"/>
      <c r="M191" s="400"/>
      <c r="N191" s="400"/>
      <c r="O191" s="400"/>
      <c r="P191" s="400"/>
      <c r="Q191" s="400"/>
      <c r="R191" s="400"/>
      <c r="S191" s="400"/>
      <c r="T191" s="400"/>
      <c r="U191" s="400"/>
      <c r="V191" s="400"/>
      <c r="W191" s="400"/>
      <c r="X191" s="400"/>
      <c r="Y191" s="400"/>
      <c r="Z191" s="400"/>
      <c r="AA191" s="400"/>
      <c r="AB191" s="400"/>
      <c r="AC191" s="400"/>
      <c r="AD191" s="400"/>
      <c r="AE191" s="400"/>
      <c r="AF191" s="400"/>
      <c r="AG191" s="400"/>
      <c r="AH191" s="400"/>
      <c r="AI191" s="400"/>
      <c r="AJ191" s="400"/>
      <c r="AK191" s="400"/>
      <c r="AL191" s="400"/>
      <c r="AM191" s="400"/>
      <c r="AN191" s="400"/>
      <c r="AO191" s="400"/>
      <c r="AP191" s="400"/>
      <c r="AQ191" s="400"/>
      <c r="AR191" s="400"/>
      <c r="AS191" s="400"/>
      <c r="AT191" s="400"/>
      <c r="AU191" s="400"/>
      <c r="AV191" s="400"/>
      <c r="AW191" s="400"/>
      <c r="AX191" s="400"/>
      <c r="AY191" s="400"/>
      <c r="AZ191" s="400"/>
      <c r="BA191" s="400"/>
      <c r="BB191" s="400"/>
      <c r="BC191" s="400"/>
      <c r="BD191" s="400"/>
      <c r="BE191" s="400"/>
      <c r="BF191" s="400"/>
      <c r="BG191" s="400"/>
      <c r="BH191" s="400"/>
      <c r="BI191" s="400"/>
      <c r="BJ191" s="400"/>
      <c r="BK191" s="400"/>
      <c r="BL191" s="400"/>
      <c r="BM191" s="400"/>
      <c r="BN191" s="400"/>
      <c r="BO191" s="400"/>
      <c r="BP191" s="400"/>
      <c r="BQ191" s="400"/>
      <c r="BR191" s="400"/>
      <c r="BS191" s="400"/>
      <c r="BT191" s="400"/>
      <c r="BU191" s="400"/>
      <c r="BV191" s="400"/>
      <c r="BW191" s="400"/>
      <c r="BX191" s="400"/>
      <c r="BY191" s="400"/>
      <c r="BZ191" s="400"/>
      <c r="CA191" s="400"/>
      <c r="CB191" s="400"/>
      <c r="CC191" s="400"/>
      <c r="CD191" s="400"/>
      <c r="CE191" s="400"/>
      <c r="CF191" s="400"/>
      <c r="CG191" s="400"/>
      <c r="CH191" s="400"/>
      <c r="CI191" s="400"/>
      <c r="CJ191" s="400"/>
      <c r="CK191" s="400"/>
      <c r="CL191" s="400"/>
      <c r="CM191" s="400"/>
      <c r="CN191" s="400"/>
      <c r="CO191" s="400"/>
      <c r="CP191" s="400"/>
      <c r="CQ191" s="400"/>
      <c r="CR191" s="400"/>
      <c r="CS191" s="400"/>
      <c r="CT191" s="400"/>
      <c r="CU191" s="400"/>
      <c r="CV191" s="400"/>
      <c r="CW191" s="400"/>
      <c r="CX191" s="400"/>
      <c r="CY191" s="400"/>
      <c r="CZ191" s="400"/>
      <c r="DA191" s="400"/>
      <c r="DB191" s="400"/>
      <c r="DC191" s="400"/>
      <c r="DD191" s="400"/>
      <c r="DE191" s="400"/>
      <c r="DF191" s="400"/>
      <c r="DG191" s="400"/>
      <c r="DH191" s="400"/>
      <c r="DI191" s="400"/>
      <c r="DJ191" s="400"/>
      <c r="DK191" s="400"/>
      <c r="DL191" s="400"/>
      <c r="DM191" s="400"/>
      <c r="DN191" s="400"/>
      <c r="DO191" s="400"/>
      <c r="DP191" s="400"/>
      <c r="DQ191" s="400"/>
      <c r="DR191" s="400"/>
      <c r="DS191" s="400"/>
      <c r="DT191" s="400"/>
      <c r="DU191" s="400"/>
      <c r="DV191" s="400"/>
      <c r="DW191" s="400"/>
      <c r="DX191" s="400"/>
      <c r="DY191" s="400"/>
      <c r="DZ191" s="400"/>
      <c r="EA191" s="400"/>
      <c r="EB191" s="400"/>
      <c r="EC191" s="400"/>
      <c r="ED191" s="400"/>
      <c r="EE191" s="400"/>
      <c r="EF191" s="400"/>
      <c r="EG191" s="400"/>
      <c r="EH191" s="400"/>
      <c r="EI191" s="400"/>
      <c r="EJ191" s="400"/>
      <c r="EK191" s="400"/>
      <c r="EL191" s="400"/>
      <c r="EM191" s="400"/>
      <c r="EN191" s="400"/>
      <c r="EO191" s="400"/>
      <c r="EP191" s="400"/>
      <c r="EQ191" s="400"/>
      <c r="ER191" s="400"/>
      <c r="ES191" s="400"/>
      <c r="ET191" s="400"/>
      <c r="EU191" s="400"/>
      <c r="EV191" s="400"/>
      <c r="EW191" s="400"/>
      <c r="EX191" s="400"/>
      <c r="EY191" s="400"/>
      <c r="EZ191" s="400"/>
      <c r="FA191" s="400"/>
      <c r="FB191" s="400"/>
      <c r="FC191" s="400"/>
      <c r="FD191" s="400"/>
      <c r="FE191" s="400"/>
      <c r="FF191" s="400"/>
      <c r="FG191" s="400"/>
      <c r="FH191" s="400"/>
      <c r="FI191" s="400"/>
      <c r="FJ191" s="400"/>
      <c r="FK191" s="400"/>
      <c r="FL191" s="400"/>
      <c r="FM191" s="400"/>
      <c r="FN191" s="400"/>
      <c r="FO191" s="400"/>
      <c r="FP191" s="400"/>
      <c r="FQ191" s="400"/>
      <c r="FR191" s="400"/>
      <c r="FS191" s="400"/>
      <c r="FT191" s="400"/>
      <c r="FU191" s="400"/>
      <c r="FV191" s="400"/>
      <c r="FW191" s="400"/>
      <c r="FX191" s="400"/>
      <c r="FY191" s="400"/>
      <c r="FZ191" s="400"/>
      <c r="GA191" s="400"/>
      <c r="GB191" s="400"/>
      <c r="GC191" s="400"/>
      <c r="GD191" s="400"/>
      <c r="GE191" s="400"/>
      <c r="GF191" s="400"/>
      <c r="GG191" s="400"/>
      <c r="GH191" s="400"/>
      <c r="GI191" s="400"/>
      <c r="GJ191" s="400"/>
      <c r="GK191" s="400"/>
      <c r="GL191" s="400"/>
      <c r="GM191" s="400"/>
      <c r="GN191" s="400"/>
      <c r="GO191" s="400"/>
      <c r="GP191" s="400"/>
      <c r="GQ191" s="400"/>
      <c r="GR191" s="400"/>
      <c r="GS191" s="400"/>
      <c r="GT191" s="400"/>
      <c r="GU191" s="400"/>
      <c r="GV191" s="400"/>
      <c r="GW191" s="400"/>
      <c r="GX191" s="400"/>
      <c r="GY191" s="400"/>
      <c r="GZ191" s="400"/>
      <c r="HA191" s="400"/>
      <c r="HB191" s="400"/>
      <c r="HC191" s="400"/>
      <c r="HD191" s="400"/>
      <c r="HE191" s="400"/>
      <c r="HF191" s="400"/>
      <c r="HG191" s="400"/>
      <c r="HH191" s="400"/>
      <c r="HI191" s="400"/>
      <c r="HJ191" s="400"/>
      <c r="HK191" s="400"/>
      <c r="HL191" s="400"/>
      <c r="HM191" s="400"/>
      <c r="HN191" s="400"/>
      <c r="HO191" s="400"/>
      <c r="HP191" s="400"/>
      <c r="HQ191" s="400"/>
      <c r="HR191" s="400"/>
      <c r="HS191" s="400"/>
      <c r="HT191" s="400"/>
      <c r="HU191" s="400"/>
      <c r="HV191" s="400"/>
      <c r="HW191" s="400"/>
      <c r="HX191" s="400"/>
      <c r="HY191" s="400"/>
      <c r="HZ191" s="400"/>
      <c r="IA191" s="400"/>
      <c r="IB191" s="400"/>
      <c r="IC191" s="400"/>
      <c r="ID191" s="400"/>
      <c r="IE191" s="400"/>
      <c r="IF191" s="400"/>
      <c r="IG191" s="400"/>
      <c r="IH191" s="400"/>
      <c r="II191" s="400"/>
      <c r="IJ191" s="400"/>
      <c r="IK191" s="400"/>
      <c r="IL191" s="400"/>
      <c r="IM191" s="400"/>
      <c r="IN191" s="400"/>
      <c r="IO191" s="400"/>
      <c r="IP191" s="400"/>
      <c r="IQ191" s="400"/>
      <c r="IR191" s="400"/>
      <c r="IS191" s="400"/>
      <c r="IT191" s="400"/>
      <c r="IU191" s="400"/>
      <c r="IV191" s="400"/>
    </row>
    <row r="192" spans="1:256" s="686" customFormat="1" ht="120.75" customHeight="1">
      <c r="A192" s="633">
        <v>8</v>
      </c>
      <c r="B192" s="648" t="s">
        <v>2778</v>
      </c>
      <c r="C192" s="646" t="s">
        <v>253</v>
      </c>
      <c r="D192" s="636">
        <v>1</v>
      </c>
      <c r="E192" s="636">
        <v>150</v>
      </c>
      <c r="F192" s="636">
        <f>(D192*E192)</f>
        <v>150</v>
      </c>
    </row>
    <row r="193" spans="1:256" s="686" customFormat="1" ht="13.8">
      <c r="A193" s="633"/>
      <c r="B193" s="687"/>
      <c r="C193" s="646"/>
      <c r="D193" s="636"/>
      <c r="E193" s="636"/>
      <c r="F193" s="636"/>
    </row>
    <row r="194" spans="1:256" s="641" customFormat="1" ht="40.5" customHeight="1">
      <c r="A194" s="633">
        <v>9</v>
      </c>
      <c r="B194" s="648" t="s">
        <v>2779</v>
      </c>
      <c r="C194" s="655"/>
      <c r="D194" s="654"/>
      <c r="E194" s="636"/>
      <c r="F194" s="654"/>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row>
    <row r="195" spans="1:256" s="641" customFormat="1" ht="13.5" customHeight="1">
      <c r="A195" s="633"/>
      <c r="B195" s="648" t="s">
        <v>2765</v>
      </c>
      <c r="C195" s="655" t="s">
        <v>291</v>
      </c>
      <c r="D195" s="654">
        <v>1</v>
      </c>
      <c r="E195" s="636">
        <v>1000</v>
      </c>
      <c r="F195" s="654">
        <f>(D195*E195)</f>
        <v>1000</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row>
    <row r="196" spans="1:256" s="641" customFormat="1" ht="15" customHeight="1">
      <c r="A196" s="633"/>
      <c r="B196" s="640"/>
      <c r="C196" s="655"/>
      <c r="D196" s="636"/>
      <c r="E196" s="636"/>
      <c r="F196" s="636"/>
    </row>
    <row r="197" spans="1:256" s="641" customFormat="1" ht="13.5" customHeight="1">
      <c r="A197" s="659" t="s">
        <v>2486</v>
      </c>
      <c r="B197" s="660" t="s">
        <v>2506</v>
      </c>
      <c r="C197" s="661"/>
      <c r="D197" s="662"/>
      <c r="E197" s="663"/>
      <c r="F197" s="662">
        <f>SUM(F166:F195)</f>
        <v>12834</v>
      </c>
    </row>
    <row r="198" spans="1:256" s="641" customFormat="1" ht="13.8">
      <c r="A198" s="633"/>
      <c r="B198" s="664"/>
      <c r="C198" s="623"/>
      <c r="D198" s="624"/>
      <c r="E198" s="644"/>
      <c r="F198" s="644"/>
    </row>
    <row r="199" spans="1:256" s="641" customFormat="1" ht="13.8">
      <c r="A199" s="633"/>
      <c r="B199" s="664"/>
      <c r="C199" s="623"/>
      <c r="D199" s="624"/>
      <c r="E199" s="644"/>
      <c r="F199" s="644"/>
    </row>
    <row r="200" spans="1:256" s="693" customFormat="1" ht="15.6">
      <c r="A200" s="688" t="s">
        <v>871</v>
      </c>
      <c r="B200" s="689" t="s">
        <v>2384</v>
      </c>
      <c r="C200" s="690"/>
      <c r="D200" s="691"/>
      <c r="E200" s="692"/>
      <c r="F200" s="692"/>
    </row>
    <row r="201" spans="1:256" s="641" customFormat="1" ht="13.8">
      <c r="A201" s="633"/>
      <c r="B201" s="638"/>
      <c r="C201" s="623"/>
      <c r="D201" s="624"/>
      <c r="E201" s="644"/>
      <c r="F201" s="644"/>
    </row>
    <row r="202" spans="1:256" s="641" customFormat="1" ht="13.8">
      <c r="A202" s="694" t="s">
        <v>2385</v>
      </c>
      <c r="B202" s="695" t="s">
        <v>2507</v>
      </c>
      <c r="C202" s="696"/>
      <c r="D202" s="697"/>
      <c r="E202" s="698"/>
      <c r="F202" s="697">
        <f>F67</f>
        <v>16833</v>
      </c>
    </row>
    <row r="203" spans="1:256" s="641" customFormat="1" ht="13.8">
      <c r="A203" s="633"/>
      <c r="B203" s="634"/>
      <c r="C203" s="635"/>
      <c r="D203" s="636"/>
      <c r="E203" s="647"/>
      <c r="F203" s="647"/>
    </row>
    <row r="204" spans="1:256" s="641" customFormat="1" ht="15" customHeight="1">
      <c r="A204" s="694" t="s">
        <v>2425</v>
      </c>
      <c r="B204" s="695" t="s">
        <v>2508</v>
      </c>
      <c r="C204" s="696"/>
      <c r="D204" s="697"/>
      <c r="E204" s="698"/>
      <c r="F204" s="697">
        <f>F122</f>
        <v>18894</v>
      </c>
    </row>
    <row r="205" spans="1:256" s="641" customFormat="1" ht="16.5" customHeight="1">
      <c r="A205" s="633"/>
      <c r="B205" s="634"/>
      <c r="C205" s="635"/>
      <c r="D205" s="636"/>
      <c r="E205" s="647"/>
      <c r="F205" s="647"/>
    </row>
    <row r="206" spans="1:256" s="641" customFormat="1" ht="13.8">
      <c r="A206" s="694" t="s">
        <v>2461</v>
      </c>
      <c r="B206" s="695" t="s">
        <v>2509</v>
      </c>
      <c r="C206" s="696"/>
      <c r="D206" s="697"/>
      <c r="E206" s="698"/>
      <c r="F206" s="697">
        <f>F160</f>
        <v>13860</v>
      </c>
    </row>
    <row r="207" spans="1:256" s="641" customFormat="1" ht="17.25" customHeight="1">
      <c r="A207" s="633"/>
      <c r="B207" s="634"/>
      <c r="C207" s="635"/>
      <c r="D207" s="636"/>
      <c r="E207" s="647"/>
      <c r="F207" s="647"/>
    </row>
    <row r="208" spans="1:256" s="641" customFormat="1" ht="12.75" customHeight="1">
      <c r="A208" s="694" t="s">
        <v>2486</v>
      </c>
      <c r="B208" s="695" t="s">
        <v>2510</v>
      </c>
      <c r="C208" s="696"/>
      <c r="D208" s="697"/>
      <c r="E208" s="698"/>
      <c r="F208" s="697">
        <f>F197</f>
        <v>12834</v>
      </c>
    </row>
    <row r="209" spans="1:256" s="641" customFormat="1" ht="15.75" customHeight="1">
      <c r="A209" s="633"/>
      <c r="B209" s="634"/>
      <c r="C209" s="635"/>
      <c r="D209" s="636"/>
      <c r="E209" s="647"/>
      <c r="F209" s="647"/>
    </row>
    <row r="210" spans="1:256" s="693" customFormat="1" ht="15.75" customHeight="1">
      <c r="A210" s="699"/>
      <c r="B210" s="700" t="s">
        <v>1779</v>
      </c>
      <c r="C210" s="701"/>
      <c r="D210" s="702"/>
      <c r="E210" s="703"/>
      <c r="F210" s="702">
        <f>SUM(F202:F208)</f>
        <v>62421</v>
      </c>
    </row>
    <row r="211" spans="1:256" s="641" customFormat="1" ht="15.75" customHeight="1">
      <c r="A211" s="633"/>
      <c r="B211" s="634"/>
      <c r="C211" s="635"/>
      <c r="D211" s="636"/>
      <c r="E211" s="704"/>
      <c r="F211" s="647"/>
    </row>
    <row r="212" spans="1:256" s="641" customFormat="1" ht="13.8">
      <c r="A212" s="633"/>
      <c r="B212" s="664"/>
      <c r="C212" s="623"/>
      <c r="D212" s="624"/>
      <c r="E212" s="625"/>
      <c r="F212" s="625"/>
    </row>
    <row r="213" spans="1:256" s="641" customFormat="1" ht="13.8">
      <c r="A213" s="633"/>
      <c r="B213" s="664"/>
      <c r="C213" s="623"/>
      <c r="D213" s="624"/>
      <c r="E213" s="625"/>
      <c r="F213" s="625"/>
    </row>
    <row r="214" spans="1:256" s="641" customFormat="1" ht="13.8">
      <c r="A214" s="633"/>
      <c r="B214" s="664"/>
      <c r="C214" s="623"/>
      <c r="D214" s="624"/>
      <c r="E214" s="625"/>
      <c r="F214" s="625"/>
    </row>
    <row r="215" spans="1:256" s="641" customFormat="1" ht="13.8">
      <c r="A215" s="633"/>
      <c r="B215" s="664"/>
      <c r="C215" s="623"/>
      <c r="D215" s="624"/>
      <c r="E215" s="625"/>
      <c r="F215" s="625"/>
    </row>
    <row r="216" spans="1:256" s="641" customFormat="1" ht="13.8">
      <c r="A216" s="633"/>
      <c r="B216" s="664"/>
      <c r="C216" s="623"/>
      <c r="D216" s="624"/>
      <c r="E216" s="625"/>
      <c r="F216" s="625"/>
    </row>
    <row r="217" spans="1:256" s="641" customFormat="1" ht="13.8">
      <c r="A217" s="633"/>
      <c r="B217" s="664"/>
      <c r="C217" s="623"/>
      <c r="D217" s="624"/>
      <c r="E217" s="625"/>
      <c r="F217" s="625"/>
    </row>
    <row r="218" spans="1:256" s="641" customFormat="1" ht="13.8">
      <c r="A218" s="633"/>
      <c r="B218" s="664"/>
      <c r="C218" s="623"/>
      <c r="D218" s="624"/>
      <c r="E218" s="625"/>
      <c r="F218" s="625"/>
    </row>
    <row r="219" spans="1:256" s="641" customFormat="1" ht="13.8">
      <c r="A219" s="633"/>
      <c r="B219" s="664"/>
      <c r="C219" s="623"/>
      <c r="D219" s="624"/>
      <c r="E219" s="625"/>
      <c r="F219" s="625"/>
    </row>
    <row r="220" spans="1:256" s="641" customFormat="1" ht="13.8">
      <c r="A220" s="633"/>
      <c r="B220" s="664"/>
      <c r="C220" s="623"/>
      <c r="D220" s="624"/>
      <c r="E220" s="625"/>
      <c r="F220" s="625"/>
    </row>
    <row r="221" spans="1:256" s="607" customFormat="1">
      <c r="A221" s="331"/>
      <c r="B221" s="705"/>
      <c r="C221" s="435"/>
      <c r="D221" s="387"/>
      <c r="E221" s="706"/>
      <c r="F221" s="706"/>
      <c r="G221" s="665"/>
      <c r="H221" s="665"/>
      <c r="I221" s="665"/>
      <c r="J221" s="665"/>
      <c r="K221" s="665"/>
      <c r="L221" s="665"/>
      <c r="M221" s="665"/>
      <c r="N221" s="665"/>
      <c r="O221" s="665"/>
      <c r="P221" s="665"/>
      <c r="Q221" s="665"/>
      <c r="R221" s="665"/>
      <c r="S221" s="665"/>
      <c r="T221" s="665"/>
      <c r="U221" s="665"/>
      <c r="V221" s="665"/>
      <c r="W221" s="665"/>
      <c r="X221" s="665"/>
      <c r="Y221" s="665"/>
      <c r="Z221" s="665"/>
      <c r="AA221" s="665"/>
      <c r="AB221" s="665"/>
      <c r="AC221" s="665"/>
      <c r="AD221" s="665"/>
      <c r="AE221" s="665"/>
      <c r="AF221" s="665"/>
      <c r="AG221" s="665"/>
      <c r="AH221" s="665"/>
      <c r="AI221" s="665"/>
      <c r="AJ221" s="665"/>
      <c r="AK221" s="665"/>
      <c r="AL221" s="665"/>
      <c r="AM221" s="665"/>
      <c r="AN221" s="665"/>
      <c r="AO221" s="665"/>
      <c r="AP221" s="665"/>
      <c r="AQ221" s="665"/>
      <c r="AR221" s="665"/>
      <c r="AS221" s="665"/>
      <c r="AT221" s="665"/>
      <c r="AU221" s="665"/>
      <c r="AV221" s="665"/>
      <c r="AW221" s="665"/>
      <c r="AX221" s="665"/>
      <c r="AY221" s="665"/>
      <c r="AZ221" s="665"/>
      <c r="BA221" s="665"/>
      <c r="BB221" s="665"/>
      <c r="BC221" s="665"/>
      <c r="BD221" s="665"/>
      <c r="BE221" s="665"/>
      <c r="BF221" s="665"/>
      <c r="BG221" s="665"/>
      <c r="BH221" s="665"/>
      <c r="BI221" s="665"/>
      <c r="BJ221" s="665"/>
      <c r="BK221" s="665"/>
      <c r="BL221" s="665"/>
      <c r="BM221" s="665"/>
      <c r="BN221" s="665"/>
      <c r="BO221" s="665"/>
      <c r="BP221" s="665"/>
      <c r="BQ221" s="665"/>
      <c r="BR221" s="665"/>
      <c r="BS221" s="665"/>
      <c r="BT221" s="665"/>
      <c r="BU221" s="665"/>
      <c r="BV221" s="665"/>
      <c r="BW221" s="665"/>
      <c r="BX221" s="665"/>
      <c r="BY221" s="665"/>
      <c r="BZ221" s="665"/>
      <c r="CA221" s="665"/>
      <c r="CB221" s="665"/>
      <c r="CC221" s="665"/>
      <c r="CD221" s="665"/>
      <c r="CE221" s="665"/>
      <c r="CF221" s="665"/>
      <c r="CG221" s="665"/>
      <c r="CH221" s="665"/>
      <c r="CI221" s="665"/>
      <c r="CJ221" s="665"/>
      <c r="CK221" s="665"/>
      <c r="CL221" s="665"/>
      <c r="CM221" s="665"/>
      <c r="CN221" s="665"/>
      <c r="CO221" s="665"/>
      <c r="CP221" s="665"/>
      <c r="CQ221" s="665"/>
      <c r="CR221" s="665"/>
      <c r="CS221" s="665"/>
      <c r="CT221" s="665"/>
      <c r="CU221" s="665"/>
      <c r="CV221" s="665"/>
      <c r="CW221" s="665"/>
      <c r="CX221" s="665"/>
      <c r="CY221" s="665"/>
      <c r="CZ221" s="665"/>
      <c r="DA221" s="665"/>
      <c r="DB221" s="665"/>
      <c r="DC221" s="665"/>
      <c r="DD221" s="665"/>
      <c r="DE221" s="665"/>
      <c r="DF221" s="665"/>
      <c r="DG221" s="665"/>
      <c r="DH221" s="665"/>
      <c r="DI221" s="665"/>
      <c r="DJ221" s="665"/>
      <c r="DK221" s="665"/>
      <c r="DL221" s="665"/>
      <c r="DM221" s="665"/>
      <c r="DN221" s="665"/>
      <c r="DO221" s="665"/>
      <c r="DP221" s="665"/>
      <c r="DQ221" s="665"/>
      <c r="DR221" s="665"/>
      <c r="DS221" s="665"/>
      <c r="DT221" s="665"/>
      <c r="DU221" s="665"/>
      <c r="DV221" s="665"/>
      <c r="DW221" s="665"/>
      <c r="DX221" s="665"/>
      <c r="DY221" s="665"/>
      <c r="DZ221" s="665"/>
      <c r="EA221" s="665"/>
      <c r="EB221" s="665"/>
      <c r="EC221" s="665"/>
      <c r="ED221" s="665"/>
      <c r="EE221" s="665"/>
      <c r="EF221" s="665"/>
      <c r="EG221" s="665"/>
      <c r="EH221" s="665"/>
      <c r="EI221" s="665"/>
      <c r="EJ221" s="665"/>
      <c r="EK221" s="665"/>
      <c r="EL221" s="665"/>
      <c r="EM221" s="665"/>
      <c r="EN221" s="665"/>
      <c r="EO221" s="665"/>
      <c r="EP221" s="665"/>
      <c r="EQ221" s="665"/>
      <c r="ER221" s="665"/>
      <c r="ES221" s="665"/>
      <c r="ET221" s="665"/>
      <c r="EU221" s="665"/>
      <c r="EV221" s="665"/>
      <c r="EW221" s="665"/>
      <c r="EX221" s="665"/>
      <c r="EY221" s="665"/>
      <c r="EZ221" s="665"/>
      <c r="FA221" s="665"/>
      <c r="FB221" s="665"/>
      <c r="FC221" s="665"/>
      <c r="FD221" s="665"/>
      <c r="FE221" s="665"/>
      <c r="FF221" s="665"/>
      <c r="FG221" s="665"/>
      <c r="FH221" s="665"/>
      <c r="FI221" s="665"/>
      <c r="FJ221" s="665"/>
      <c r="FK221" s="665"/>
      <c r="FL221" s="665"/>
      <c r="FM221" s="665"/>
      <c r="FN221" s="665"/>
      <c r="FO221" s="665"/>
      <c r="FP221" s="665"/>
      <c r="FQ221" s="665"/>
      <c r="FR221" s="665"/>
      <c r="FS221" s="665"/>
      <c r="FT221" s="665"/>
      <c r="FU221" s="665"/>
      <c r="FV221" s="665"/>
      <c r="FW221" s="665"/>
      <c r="FX221" s="665"/>
      <c r="FY221" s="665"/>
      <c r="FZ221" s="665"/>
      <c r="GA221" s="665"/>
      <c r="GB221" s="665"/>
      <c r="GC221" s="665"/>
      <c r="GD221" s="665"/>
      <c r="GE221" s="665"/>
      <c r="GF221" s="665"/>
      <c r="GG221" s="665"/>
      <c r="GH221" s="665"/>
      <c r="GI221" s="665"/>
      <c r="GJ221" s="665"/>
      <c r="GK221" s="665"/>
      <c r="GL221" s="665"/>
      <c r="GM221" s="665"/>
      <c r="GN221" s="665"/>
      <c r="GO221" s="665"/>
      <c r="GP221" s="665"/>
      <c r="GQ221" s="665"/>
      <c r="GR221" s="665"/>
      <c r="GS221" s="665"/>
      <c r="GT221" s="665"/>
      <c r="GU221" s="665"/>
      <c r="GV221" s="665"/>
      <c r="GW221" s="665"/>
      <c r="GX221" s="665"/>
      <c r="GY221" s="665"/>
      <c r="GZ221" s="665"/>
      <c r="HA221" s="665"/>
      <c r="HB221" s="665"/>
      <c r="HC221" s="665"/>
      <c r="HD221" s="665"/>
      <c r="HE221" s="665"/>
      <c r="HF221" s="665"/>
      <c r="HG221" s="665"/>
      <c r="HH221" s="665"/>
      <c r="HI221" s="665"/>
      <c r="HJ221" s="665"/>
      <c r="HK221" s="665"/>
      <c r="HL221" s="665"/>
      <c r="HM221" s="665"/>
      <c r="HN221" s="665"/>
      <c r="HO221" s="665"/>
      <c r="HP221" s="665"/>
      <c r="HQ221" s="665"/>
      <c r="HR221" s="665"/>
      <c r="HS221" s="665"/>
      <c r="HT221" s="665"/>
      <c r="HU221" s="665"/>
      <c r="HV221" s="665"/>
      <c r="HW221" s="665"/>
      <c r="HX221" s="665"/>
      <c r="HY221" s="665"/>
      <c r="HZ221" s="665"/>
      <c r="IA221" s="665"/>
      <c r="IB221" s="665"/>
      <c r="IC221" s="665"/>
      <c r="ID221" s="665"/>
      <c r="IE221" s="665"/>
      <c r="IF221" s="665"/>
      <c r="IG221" s="665"/>
      <c r="IH221" s="665"/>
      <c r="II221" s="665"/>
      <c r="IJ221" s="665"/>
      <c r="IK221" s="665"/>
      <c r="IL221" s="665"/>
      <c r="IM221" s="665"/>
      <c r="IN221" s="665"/>
      <c r="IO221" s="665"/>
      <c r="IP221" s="665"/>
      <c r="IQ221" s="665"/>
      <c r="IR221" s="665"/>
      <c r="IS221" s="665"/>
      <c r="IT221" s="665"/>
      <c r="IU221" s="665"/>
      <c r="IV221" s="665"/>
    </row>
    <row r="222" spans="1:256" s="607" customFormat="1" ht="153" customHeight="1">
      <c r="A222" s="331"/>
      <c r="B222" s="705"/>
      <c r="C222" s="435"/>
      <c r="D222" s="387"/>
      <c r="E222" s="706"/>
      <c r="F222" s="706"/>
    </row>
    <row r="223" spans="1:256" s="607" customFormat="1" ht="112.5" customHeight="1">
      <c r="A223" s="331"/>
      <c r="B223" s="705"/>
      <c r="C223" s="435"/>
      <c r="D223" s="387"/>
      <c r="E223" s="706"/>
      <c r="F223" s="706"/>
    </row>
    <row r="224" spans="1:256" s="607" customFormat="1" ht="138.75" customHeight="1">
      <c r="A224" s="331"/>
      <c r="B224" s="705"/>
      <c r="C224" s="435"/>
      <c r="D224" s="387"/>
      <c r="E224" s="706"/>
      <c r="F224" s="706"/>
    </row>
    <row r="225" spans="1:6" s="607" customFormat="1">
      <c r="A225" s="331"/>
      <c r="B225" s="705"/>
      <c r="C225" s="435"/>
      <c r="D225" s="387"/>
      <c r="E225" s="706"/>
      <c r="F225" s="706"/>
    </row>
    <row r="226" spans="1:6" s="607" customFormat="1">
      <c r="A226" s="331"/>
      <c r="B226" s="705"/>
      <c r="C226" s="435"/>
      <c r="D226" s="387"/>
      <c r="E226" s="706"/>
      <c r="F226" s="706"/>
    </row>
    <row r="227" spans="1:6" s="607" customFormat="1">
      <c r="A227" s="331"/>
      <c r="B227" s="705"/>
      <c r="C227" s="435"/>
      <c r="D227" s="387"/>
      <c r="E227" s="706"/>
      <c r="F227" s="706"/>
    </row>
    <row r="228" spans="1:6" s="607" customFormat="1">
      <c r="A228" s="331"/>
      <c r="B228" s="705"/>
      <c r="C228" s="435"/>
      <c r="D228" s="387"/>
      <c r="E228" s="706"/>
      <c r="F228" s="706"/>
    </row>
    <row r="229" spans="1:6" s="607" customFormat="1" ht="15" customHeight="1">
      <c r="A229" s="331"/>
      <c r="B229" s="705"/>
      <c r="C229" s="435"/>
      <c r="D229" s="387"/>
      <c r="E229" s="706"/>
      <c r="F229" s="706"/>
    </row>
    <row r="230" spans="1:6" s="607" customFormat="1">
      <c r="A230" s="331"/>
      <c r="B230" s="705"/>
      <c r="C230" s="435"/>
      <c r="D230" s="387"/>
      <c r="E230" s="706"/>
      <c r="F230" s="706"/>
    </row>
    <row r="231" spans="1:6" s="607" customFormat="1">
      <c r="A231" s="331"/>
      <c r="B231" s="705"/>
      <c r="C231" s="435"/>
      <c r="D231" s="387"/>
      <c r="E231" s="706"/>
      <c r="F231" s="706"/>
    </row>
    <row r="232" spans="1:6" s="607" customFormat="1" ht="15.75" customHeight="1">
      <c r="A232" s="331"/>
      <c r="B232" s="705"/>
      <c r="C232" s="435"/>
      <c r="D232" s="387"/>
      <c r="E232" s="706"/>
      <c r="F232" s="706"/>
    </row>
    <row r="233" spans="1:6" s="607" customFormat="1">
      <c r="A233" s="331"/>
      <c r="B233" s="705"/>
      <c r="C233" s="435"/>
      <c r="D233" s="387"/>
      <c r="E233" s="706"/>
      <c r="F233" s="706"/>
    </row>
    <row r="234" spans="1:6" s="607" customFormat="1">
      <c r="A234" s="331"/>
      <c r="B234" s="705"/>
      <c r="C234" s="435"/>
      <c r="D234" s="387"/>
      <c r="E234" s="706"/>
      <c r="F234" s="706"/>
    </row>
    <row r="235" spans="1:6" s="607" customFormat="1">
      <c r="A235" s="331"/>
      <c r="B235" s="705"/>
      <c r="C235" s="435"/>
      <c r="D235" s="387"/>
      <c r="E235" s="706"/>
      <c r="F235" s="706"/>
    </row>
    <row r="236" spans="1:6" s="607" customFormat="1">
      <c r="A236" s="331"/>
      <c r="B236" s="705"/>
      <c r="C236" s="435"/>
      <c r="D236" s="387"/>
      <c r="E236" s="706"/>
      <c r="F236" s="706"/>
    </row>
    <row r="237" spans="1:6" s="607" customFormat="1">
      <c r="A237" s="331"/>
      <c r="B237" s="705"/>
      <c r="C237" s="435"/>
      <c r="D237" s="387"/>
      <c r="E237" s="706"/>
      <c r="F237" s="706"/>
    </row>
    <row r="238" spans="1:6" s="607" customFormat="1">
      <c r="A238" s="331"/>
      <c r="B238" s="705"/>
      <c r="C238" s="435"/>
      <c r="D238" s="387"/>
      <c r="E238" s="706"/>
      <c r="F238" s="706"/>
    </row>
    <row r="239" spans="1:6" s="607" customFormat="1">
      <c r="A239" s="331"/>
      <c r="B239" s="705"/>
      <c r="C239" s="435"/>
      <c r="D239" s="387"/>
      <c r="E239" s="706"/>
      <c r="F239" s="706"/>
    </row>
    <row r="240" spans="1:6" s="607" customFormat="1">
      <c r="A240" s="331"/>
      <c r="B240" s="705"/>
      <c r="C240" s="435"/>
      <c r="D240" s="387"/>
      <c r="E240" s="706"/>
      <c r="F240" s="706"/>
    </row>
    <row r="241" spans="1:256" s="607" customFormat="1">
      <c r="A241" s="331"/>
      <c r="B241" s="705"/>
      <c r="C241" s="435"/>
      <c r="D241" s="387"/>
      <c r="E241" s="706"/>
      <c r="F241" s="706"/>
    </row>
    <row r="242" spans="1:256" s="607" customFormat="1">
      <c r="A242" s="331"/>
      <c r="B242" s="705"/>
      <c r="C242" s="435"/>
      <c r="D242" s="387"/>
      <c r="E242" s="706"/>
      <c r="F242" s="706"/>
    </row>
    <row r="243" spans="1:256" s="607" customFormat="1">
      <c r="A243" s="331"/>
      <c r="B243" s="705"/>
      <c r="C243" s="435"/>
      <c r="D243" s="387"/>
      <c r="E243" s="706"/>
      <c r="F243" s="706"/>
    </row>
    <row r="244" spans="1:256" s="607" customFormat="1">
      <c r="A244" s="331"/>
      <c r="B244" s="705"/>
      <c r="C244" s="435"/>
      <c r="D244" s="387"/>
      <c r="E244" s="706"/>
      <c r="F244" s="706"/>
    </row>
    <row r="245" spans="1:256" s="607" customFormat="1">
      <c r="A245" s="331"/>
      <c r="B245" s="705"/>
      <c r="C245" s="435"/>
      <c r="D245" s="387"/>
      <c r="E245" s="706"/>
      <c r="F245" s="706"/>
    </row>
    <row r="246" spans="1:256" s="607" customFormat="1">
      <c r="A246" s="331"/>
      <c r="B246" s="705"/>
      <c r="C246" s="435"/>
      <c r="D246" s="387"/>
      <c r="E246" s="706"/>
      <c r="F246" s="706"/>
    </row>
    <row r="247" spans="1:256" s="607" customFormat="1">
      <c r="A247" s="331"/>
      <c r="B247" s="705"/>
      <c r="C247" s="435"/>
      <c r="D247" s="387"/>
      <c r="E247" s="706"/>
      <c r="F247" s="706"/>
    </row>
    <row r="248" spans="1:256" s="607" customFormat="1">
      <c r="A248" s="331"/>
      <c r="B248" s="705"/>
      <c r="C248" s="435"/>
      <c r="D248" s="387"/>
      <c r="E248" s="706"/>
      <c r="F248" s="706"/>
    </row>
    <row r="249" spans="1:256" s="607" customFormat="1">
      <c r="A249" s="331"/>
      <c r="B249" s="705"/>
      <c r="C249" s="435"/>
      <c r="D249" s="387"/>
      <c r="E249" s="706"/>
      <c r="F249" s="706"/>
    </row>
    <row r="250" spans="1:256" s="607" customFormat="1">
      <c r="A250" s="331"/>
      <c r="B250" s="705"/>
      <c r="C250" s="435"/>
      <c r="D250" s="387"/>
      <c r="E250" s="706"/>
      <c r="F250" s="706"/>
    </row>
    <row r="251" spans="1:256" s="607" customFormat="1">
      <c r="A251" s="331"/>
      <c r="B251" s="705"/>
      <c r="C251" s="435"/>
      <c r="D251" s="387"/>
      <c r="E251" s="706"/>
      <c r="F251" s="706"/>
    </row>
    <row r="252" spans="1:256" s="607" customFormat="1">
      <c r="A252" s="331"/>
      <c r="B252" s="705"/>
      <c r="C252" s="435"/>
      <c r="D252" s="387"/>
      <c r="E252" s="706"/>
      <c r="F252" s="706"/>
    </row>
    <row r="253" spans="1:256" s="607" customFormat="1">
      <c r="A253" s="331"/>
      <c r="B253" s="705"/>
      <c r="C253" s="435"/>
      <c r="D253" s="387"/>
      <c r="E253" s="706"/>
      <c r="F253" s="706"/>
    </row>
    <row r="254" spans="1:256" s="607" customFormat="1">
      <c r="A254" s="331"/>
      <c r="B254" s="705"/>
      <c r="C254" s="435"/>
      <c r="D254" s="387"/>
      <c r="E254" s="706"/>
      <c r="F254" s="706"/>
    </row>
    <row r="255" spans="1:256" s="607" customFormat="1" ht="15" customHeight="1">
      <c r="A255" s="331"/>
      <c r="B255" s="705"/>
      <c r="C255" s="435"/>
      <c r="D255" s="387"/>
      <c r="E255" s="706"/>
      <c r="F255" s="706"/>
    </row>
    <row r="256" spans="1:256">
      <c r="G256" s="607"/>
      <c r="H256" s="607"/>
      <c r="I256" s="607"/>
      <c r="J256" s="607"/>
      <c r="K256" s="607"/>
      <c r="L256" s="607"/>
      <c r="M256" s="607"/>
      <c r="N256" s="607"/>
      <c r="O256" s="607"/>
      <c r="P256" s="607"/>
      <c r="Q256" s="607"/>
      <c r="R256" s="607"/>
      <c r="S256" s="607"/>
      <c r="T256" s="607"/>
      <c r="U256" s="607"/>
      <c r="V256" s="607"/>
      <c r="W256" s="607"/>
      <c r="X256" s="607"/>
      <c r="Y256" s="607"/>
      <c r="Z256" s="607"/>
      <c r="AA256" s="607"/>
      <c r="AB256" s="607"/>
      <c r="AC256" s="607"/>
      <c r="AD256" s="607"/>
      <c r="AE256" s="607"/>
      <c r="AF256" s="607"/>
      <c r="AG256" s="607"/>
      <c r="AH256" s="607"/>
      <c r="AI256" s="607"/>
      <c r="AJ256" s="607"/>
      <c r="AK256" s="607"/>
      <c r="AL256" s="607"/>
      <c r="AM256" s="607"/>
      <c r="AN256" s="607"/>
      <c r="AO256" s="607"/>
      <c r="AP256" s="607"/>
      <c r="AQ256" s="607"/>
      <c r="AR256" s="607"/>
      <c r="AS256" s="607"/>
      <c r="AT256" s="607"/>
      <c r="AU256" s="607"/>
      <c r="AV256" s="607"/>
      <c r="AW256" s="607"/>
      <c r="AX256" s="607"/>
      <c r="AY256" s="607"/>
      <c r="AZ256" s="607"/>
      <c r="BA256" s="607"/>
      <c r="BB256" s="607"/>
      <c r="BC256" s="607"/>
      <c r="BD256" s="607"/>
      <c r="BE256" s="607"/>
      <c r="BF256" s="607"/>
      <c r="BG256" s="607"/>
      <c r="BH256" s="607"/>
      <c r="BI256" s="607"/>
      <c r="BJ256" s="607"/>
      <c r="BK256" s="607"/>
      <c r="BL256" s="607"/>
      <c r="BM256" s="607"/>
      <c r="BN256" s="607"/>
      <c r="BO256" s="607"/>
      <c r="BP256" s="607"/>
      <c r="BQ256" s="607"/>
      <c r="BR256" s="607"/>
      <c r="BS256" s="607"/>
      <c r="BT256" s="607"/>
      <c r="BU256" s="607"/>
      <c r="BV256" s="607"/>
      <c r="BW256" s="607"/>
      <c r="BX256" s="607"/>
      <c r="BY256" s="607"/>
      <c r="BZ256" s="607"/>
      <c r="CA256" s="607"/>
      <c r="CB256" s="607"/>
      <c r="CC256" s="607"/>
      <c r="CD256" s="607"/>
      <c r="CE256" s="607"/>
      <c r="CF256" s="607"/>
      <c r="CG256" s="607"/>
      <c r="CH256" s="607"/>
      <c r="CI256" s="607"/>
      <c r="CJ256" s="607"/>
      <c r="CK256" s="607"/>
      <c r="CL256" s="607"/>
      <c r="CM256" s="607"/>
      <c r="CN256" s="607"/>
      <c r="CO256" s="607"/>
      <c r="CP256" s="607"/>
      <c r="CQ256" s="607"/>
      <c r="CR256" s="607"/>
      <c r="CS256" s="607"/>
      <c r="CT256" s="607"/>
      <c r="CU256" s="607"/>
      <c r="CV256" s="607"/>
      <c r="CW256" s="607"/>
      <c r="CX256" s="607"/>
      <c r="CY256" s="607"/>
      <c r="CZ256" s="607"/>
      <c r="DA256" s="607"/>
      <c r="DB256" s="607"/>
      <c r="DC256" s="607"/>
      <c r="DD256" s="607"/>
      <c r="DE256" s="607"/>
      <c r="DF256" s="607"/>
      <c r="DG256" s="607"/>
      <c r="DH256" s="607"/>
      <c r="DI256" s="607"/>
      <c r="DJ256" s="607"/>
      <c r="DK256" s="607"/>
      <c r="DL256" s="607"/>
      <c r="DM256" s="607"/>
      <c r="DN256" s="607"/>
      <c r="DO256" s="607"/>
      <c r="DP256" s="607"/>
      <c r="DQ256" s="607"/>
      <c r="DR256" s="607"/>
      <c r="DS256" s="607"/>
      <c r="DT256" s="607"/>
      <c r="DU256" s="607"/>
      <c r="DV256" s="607"/>
      <c r="DW256" s="607"/>
      <c r="DX256" s="607"/>
      <c r="DY256" s="607"/>
      <c r="DZ256" s="607"/>
      <c r="EA256" s="607"/>
      <c r="EB256" s="607"/>
      <c r="EC256" s="607"/>
      <c r="ED256" s="607"/>
      <c r="EE256" s="607"/>
      <c r="EF256" s="607"/>
      <c r="EG256" s="607"/>
      <c r="EH256" s="607"/>
      <c r="EI256" s="607"/>
      <c r="EJ256" s="607"/>
      <c r="EK256" s="607"/>
      <c r="EL256" s="607"/>
      <c r="EM256" s="607"/>
      <c r="EN256" s="607"/>
      <c r="EO256" s="607"/>
      <c r="EP256" s="607"/>
      <c r="EQ256" s="607"/>
      <c r="ER256" s="607"/>
      <c r="ES256" s="607"/>
      <c r="ET256" s="607"/>
      <c r="EU256" s="607"/>
      <c r="EV256" s="607"/>
      <c r="EW256" s="607"/>
      <c r="EX256" s="607"/>
      <c r="EY256" s="607"/>
      <c r="EZ256" s="607"/>
      <c r="FA256" s="607"/>
      <c r="FB256" s="607"/>
      <c r="FC256" s="607"/>
      <c r="FD256" s="607"/>
      <c r="FE256" s="607"/>
      <c r="FF256" s="607"/>
      <c r="FG256" s="607"/>
      <c r="FH256" s="607"/>
      <c r="FI256" s="607"/>
      <c r="FJ256" s="607"/>
      <c r="FK256" s="607"/>
      <c r="FL256" s="607"/>
      <c r="FM256" s="607"/>
      <c r="FN256" s="607"/>
      <c r="FO256" s="607"/>
      <c r="FP256" s="607"/>
      <c r="FQ256" s="607"/>
      <c r="FR256" s="607"/>
      <c r="FS256" s="607"/>
      <c r="FT256" s="607"/>
      <c r="FU256" s="607"/>
      <c r="FV256" s="607"/>
      <c r="FW256" s="607"/>
      <c r="FX256" s="607"/>
      <c r="FY256" s="607"/>
      <c r="FZ256" s="607"/>
      <c r="GA256" s="607"/>
      <c r="GB256" s="607"/>
      <c r="GC256" s="607"/>
      <c r="GD256" s="607"/>
      <c r="GE256" s="607"/>
      <c r="GF256" s="607"/>
      <c r="GG256" s="607"/>
      <c r="GH256" s="607"/>
      <c r="GI256" s="607"/>
      <c r="GJ256" s="607"/>
      <c r="GK256" s="607"/>
      <c r="GL256" s="607"/>
      <c r="GM256" s="607"/>
      <c r="GN256" s="607"/>
      <c r="GO256" s="607"/>
      <c r="GP256" s="607"/>
      <c r="GQ256" s="607"/>
      <c r="GR256" s="607"/>
      <c r="GS256" s="607"/>
      <c r="GT256" s="607"/>
      <c r="GU256" s="607"/>
      <c r="GV256" s="607"/>
      <c r="GW256" s="607"/>
      <c r="GX256" s="607"/>
      <c r="GY256" s="607"/>
      <c r="GZ256" s="607"/>
      <c r="HA256" s="607"/>
      <c r="HB256" s="607"/>
      <c r="HC256" s="607"/>
      <c r="HD256" s="607"/>
      <c r="HE256" s="607"/>
      <c r="HF256" s="607"/>
      <c r="HG256" s="607"/>
      <c r="HH256" s="607"/>
      <c r="HI256" s="607"/>
      <c r="HJ256" s="607"/>
      <c r="HK256" s="607"/>
      <c r="HL256" s="607"/>
      <c r="HM256" s="607"/>
      <c r="HN256" s="607"/>
      <c r="HO256" s="607"/>
      <c r="HP256" s="607"/>
      <c r="HQ256" s="607"/>
      <c r="HR256" s="607"/>
      <c r="HS256" s="607"/>
      <c r="HT256" s="607"/>
      <c r="HU256" s="607"/>
      <c r="HV256" s="607"/>
      <c r="HW256" s="607"/>
      <c r="HX256" s="607"/>
      <c r="HY256" s="607"/>
      <c r="HZ256" s="607"/>
      <c r="IA256" s="607"/>
      <c r="IB256" s="607"/>
      <c r="IC256" s="607"/>
      <c r="ID256" s="607"/>
      <c r="IE256" s="607"/>
      <c r="IF256" s="607"/>
      <c r="IG256" s="607"/>
      <c r="IH256" s="607"/>
      <c r="II256" s="607"/>
      <c r="IJ256" s="607"/>
      <c r="IK256" s="607"/>
      <c r="IL256" s="607"/>
      <c r="IM256" s="607"/>
      <c r="IN256" s="607"/>
      <c r="IO256" s="607"/>
      <c r="IP256" s="607"/>
      <c r="IQ256" s="607"/>
      <c r="IR256" s="607"/>
      <c r="IS256" s="607"/>
      <c r="IT256" s="607"/>
      <c r="IU256" s="607"/>
      <c r="IV256" s="607"/>
    </row>
    <row r="257" spans="7:256">
      <c r="G257" s="607"/>
      <c r="H257" s="607"/>
      <c r="I257" s="607"/>
      <c r="J257" s="607"/>
      <c r="K257" s="607"/>
      <c r="L257" s="607"/>
      <c r="M257" s="607"/>
      <c r="N257" s="607"/>
      <c r="O257" s="607"/>
      <c r="P257" s="607"/>
      <c r="Q257" s="607"/>
      <c r="R257" s="607"/>
      <c r="S257" s="607"/>
      <c r="T257" s="607"/>
      <c r="U257" s="607"/>
      <c r="V257" s="607"/>
      <c r="W257" s="607"/>
      <c r="X257" s="607"/>
      <c r="Y257" s="607"/>
      <c r="Z257" s="607"/>
      <c r="AA257" s="607"/>
      <c r="AB257" s="607"/>
      <c r="AC257" s="607"/>
      <c r="AD257" s="607"/>
      <c r="AE257" s="607"/>
      <c r="AF257" s="607"/>
      <c r="AG257" s="607"/>
      <c r="AH257" s="607"/>
      <c r="AI257" s="607"/>
      <c r="AJ257" s="607"/>
      <c r="AK257" s="607"/>
      <c r="AL257" s="607"/>
      <c r="AM257" s="607"/>
      <c r="AN257" s="607"/>
      <c r="AO257" s="607"/>
      <c r="AP257" s="607"/>
      <c r="AQ257" s="607"/>
      <c r="AR257" s="607"/>
      <c r="AS257" s="607"/>
      <c r="AT257" s="607"/>
      <c r="AU257" s="607"/>
      <c r="AV257" s="607"/>
      <c r="AW257" s="607"/>
      <c r="AX257" s="607"/>
      <c r="AY257" s="607"/>
      <c r="AZ257" s="607"/>
      <c r="BA257" s="607"/>
      <c r="BB257" s="607"/>
      <c r="BC257" s="607"/>
      <c r="BD257" s="607"/>
      <c r="BE257" s="607"/>
      <c r="BF257" s="607"/>
      <c r="BG257" s="607"/>
      <c r="BH257" s="607"/>
      <c r="BI257" s="607"/>
      <c r="BJ257" s="607"/>
      <c r="BK257" s="607"/>
      <c r="BL257" s="607"/>
      <c r="BM257" s="607"/>
      <c r="BN257" s="607"/>
      <c r="BO257" s="607"/>
      <c r="BP257" s="607"/>
      <c r="BQ257" s="607"/>
      <c r="BR257" s="607"/>
      <c r="BS257" s="607"/>
      <c r="BT257" s="607"/>
      <c r="BU257" s="607"/>
      <c r="BV257" s="607"/>
      <c r="BW257" s="607"/>
      <c r="BX257" s="607"/>
      <c r="BY257" s="607"/>
      <c r="BZ257" s="607"/>
      <c r="CA257" s="607"/>
      <c r="CB257" s="607"/>
      <c r="CC257" s="607"/>
      <c r="CD257" s="607"/>
      <c r="CE257" s="607"/>
      <c r="CF257" s="607"/>
      <c r="CG257" s="607"/>
      <c r="CH257" s="607"/>
      <c r="CI257" s="607"/>
      <c r="CJ257" s="607"/>
      <c r="CK257" s="607"/>
      <c r="CL257" s="607"/>
      <c r="CM257" s="607"/>
      <c r="CN257" s="607"/>
      <c r="CO257" s="607"/>
      <c r="CP257" s="607"/>
      <c r="CQ257" s="607"/>
      <c r="CR257" s="607"/>
      <c r="CS257" s="607"/>
      <c r="CT257" s="607"/>
      <c r="CU257" s="607"/>
      <c r="CV257" s="607"/>
      <c r="CW257" s="607"/>
      <c r="CX257" s="607"/>
      <c r="CY257" s="607"/>
      <c r="CZ257" s="607"/>
      <c r="DA257" s="607"/>
      <c r="DB257" s="607"/>
      <c r="DC257" s="607"/>
      <c r="DD257" s="607"/>
      <c r="DE257" s="607"/>
      <c r="DF257" s="607"/>
      <c r="DG257" s="607"/>
      <c r="DH257" s="607"/>
      <c r="DI257" s="607"/>
      <c r="DJ257" s="607"/>
      <c r="DK257" s="607"/>
      <c r="DL257" s="607"/>
      <c r="DM257" s="607"/>
      <c r="DN257" s="607"/>
      <c r="DO257" s="607"/>
      <c r="DP257" s="607"/>
      <c r="DQ257" s="607"/>
      <c r="DR257" s="607"/>
      <c r="DS257" s="607"/>
      <c r="DT257" s="607"/>
      <c r="DU257" s="607"/>
      <c r="DV257" s="607"/>
      <c r="DW257" s="607"/>
      <c r="DX257" s="607"/>
      <c r="DY257" s="607"/>
      <c r="DZ257" s="607"/>
      <c r="EA257" s="607"/>
      <c r="EB257" s="607"/>
      <c r="EC257" s="607"/>
      <c r="ED257" s="607"/>
      <c r="EE257" s="607"/>
      <c r="EF257" s="607"/>
      <c r="EG257" s="607"/>
      <c r="EH257" s="607"/>
      <c r="EI257" s="607"/>
      <c r="EJ257" s="607"/>
      <c r="EK257" s="607"/>
      <c r="EL257" s="607"/>
      <c r="EM257" s="607"/>
      <c r="EN257" s="607"/>
      <c r="EO257" s="607"/>
      <c r="EP257" s="607"/>
      <c r="EQ257" s="607"/>
      <c r="ER257" s="607"/>
      <c r="ES257" s="607"/>
      <c r="ET257" s="607"/>
      <c r="EU257" s="607"/>
      <c r="EV257" s="607"/>
      <c r="EW257" s="607"/>
      <c r="EX257" s="607"/>
      <c r="EY257" s="607"/>
      <c r="EZ257" s="607"/>
      <c r="FA257" s="607"/>
      <c r="FB257" s="607"/>
      <c r="FC257" s="607"/>
      <c r="FD257" s="607"/>
      <c r="FE257" s="607"/>
      <c r="FF257" s="607"/>
      <c r="FG257" s="607"/>
      <c r="FH257" s="607"/>
      <c r="FI257" s="607"/>
      <c r="FJ257" s="607"/>
      <c r="FK257" s="607"/>
      <c r="FL257" s="607"/>
      <c r="FM257" s="607"/>
      <c r="FN257" s="607"/>
      <c r="FO257" s="607"/>
      <c r="FP257" s="607"/>
      <c r="FQ257" s="607"/>
      <c r="FR257" s="607"/>
      <c r="FS257" s="607"/>
      <c r="FT257" s="607"/>
      <c r="FU257" s="607"/>
      <c r="FV257" s="607"/>
      <c r="FW257" s="607"/>
      <c r="FX257" s="607"/>
      <c r="FY257" s="607"/>
      <c r="FZ257" s="607"/>
      <c r="GA257" s="607"/>
      <c r="GB257" s="607"/>
      <c r="GC257" s="607"/>
      <c r="GD257" s="607"/>
      <c r="GE257" s="607"/>
      <c r="GF257" s="607"/>
      <c r="GG257" s="607"/>
      <c r="GH257" s="607"/>
      <c r="GI257" s="607"/>
      <c r="GJ257" s="607"/>
      <c r="GK257" s="607"/>
      <c r="GL257" s="607"/>
      <c r="GM257" s="607"/>
      <c r="GN257" s="607"/>
      <c r="GO257" s="607"/>
      <c r="GP257" s="607"/>
      <c r="GQ257" s="607"/>
      <c r="GR257" s="607"/>
      <c r="GS257" s="607"/>
      <c r="GT257" s="607"/>
      <c r="GU257" s="607"/>
      <c r="GV257" s="607"/>
      <c r="GW257" s="607"/>
      <c r="GX257" s="607"/>
      <c r="GY257" s="607"/>
      <c r="GZ257" s="607"/>
      <c r="HA257" s="607"/>
      <c r="HB257" s="607"/>
      <c r="HC257" s="607"/>
      <c r="HD257" s="607"/>
      <c r="HE257" s="607"/>
      <c r="HF257" s="607"/>
      <c r="HG257" s="607"/>
      <c r="HH257" s="607"/>
      <c r="HI257" s="607"/>
      <c r="HJ257" s="607"/>
      <c r="HK257" s="607"/>
      <c r="HL257" s="607"/>
      <c r="HM257" s="607"/>
      <c r="HN257" s="607"/>
      <c r="HO257" s="607"/>
      <c r="HP257" s="607"/>
      <c r="HQ257" s="607"/>
      <c r="HR257" s="607"/>
      <c r="HS257" s="607"/>
      <c r="HT257" s="607"/>
      <c r="HU257" s="607"/>
      <c r="HV257" s="607"/>
      <c r="HW257" s="607"/>
      <c r="HX257" s="607"/>
      <c r="HY257" s="607"/>
      <c r="HZ257" s="607"/>
      <c r="IA257" s="607"/>
      <c r="IB257" s="607"/>
      <c r="IC257" s="607"/>
      <c r="ID257" s="607"/>
      <c r="IE257" s="607"/>
      <c r="IF257" s="607"/>
      <c r="IG257" s="607"/>
      <c r="IH257" s="607"/>
      <c r="II257" s="607"/>
      <c r="IJ257" s="607"/>
      <c r="IK257" s="607"/>
      <c r="IL257" s="607"/>
      <c r="IM257" s="607"/>
      <c r="IN257" s="607"/>
      <c r="IO257" s="607"/>
      <c r="IP257" s="607"/>
      <c r="IQ257" s="607"/>
      <c r="IR257" s="607"/>
      <c r="IS257" s="607"/>
      <c r="IT257" s="607"/>
      <c r="IU257" s="607"/>
      <c r="IV257" s="607"/>
    </row>
    <row r="258" spans="7:256">
      <c r="G258" s="607"/>
      <c r="H258" s="607"/>
      <c r="I258" s="607"/>
      <c r="J258" s="607"/>
      <c r="K258" s="607"/>
      <c r="L258" s="607"/>
      <c r="M258" s="607"/>
      <c r="N258" s="607"/>
      <c r="O258" s="607"/>
      <c r="P258" s="607"/>
      <c r="Q258" s="607"/>
      <c r="R258" s="607"/>
      <c r="S258" s="607"/>
      <c r="T258" s="607"/>
      <c r="U258" s="607"/>
      <c r="V258" s="607"/>
      <c r="W258" s="607"/>
      <c r="X258" s="607"/>
      <c r="Y258" s="607"/>
      <c r="Z258" s="607"/>
      <c r="AA258" s="607"/>
      <c r="AB258" s="607"/>
      <c r="AC258" s="607"/>
      <c r="AD258" s="607"/>
      <c r="AE258" s="607"/>
      <c r="AF258" s="607"/>
      <c r="AG258" s="607"/>
      <c r="AH258" s="607"/>
      <c r="AI258" s="607"/>
      <c r="AJ258" s="607"/>
      <c r="AK258" s="607"/>
      <c r="AL258" s="607"/>
      <c r="AM258" s="607"/>
      <c r="AN258" s="607"/>
      <c r="AO258" s="607"/>
      <c r="AP258" s="607"/>
      <c r="AQ258" s="607"/>
      <c r="AR258" s="607"/>
      <c r="AS258" s="607"/>
      <c r="AT258" s="607"/>
      <c r="AU258" s="607"/>
      <c r="AV258" s="607"/>
      <c r="AW258" s="607"/>
      <c r="AX258" s="607"/>
      <c r="AY258" s="607"/>
      <c r="AZ258" s="607"/>
      <c r="BA258" s="607"/>
      <c r="BB258" s="607"/>
      <c r="BC258" s="607"/>
      <c r="BD258" s="607"/>
      <c r="BE258" s="607"/>
      <c r="BF258" s="607"/>
      <c r="BG258" s="607"/>
      <c r="BH258" s="607"/>
      <c r="BI258" s="607"/>
      <c r="BJ258" s="607"/>
      <c r="BK258" s="607"/>
      <c r="BL258" s="607"/>
      <c r="BM258" s="607"/>
      <c r="BN258" s="607"/>
      <c r="BO258" s="607"/>
      <c r="BP258" s="607"/>
      <c r="BQ258" s="607"/>
      <c r="BR258" s="607"/>
      <c r="BS258" s="607"/>
      <c r="BT258" s="607"/>
      <c r="BU258" s="607"/>
      <c r="BV258" s="607"/>
      <c r="BW258" s="607"/>
      <c r="BX258" s="607"/>
      <c r="BY258" s="607"/>
      <c r="BZ258" s="607"/>
      <c r="CA258" s="607"/>
      <c r="CB258" s="607"/>
      <c r="CC258" s="607"/>
      <c r="CD258" s="607"/>
      <c r="CE258" s="607"/>
      <c r="CF258" s="607"/>
      <c r="CG258" s="607"/>
      <c r="CH258" s="607"/>
      <c r="CI258" s="607"/>
      <c r="CJ258" s="607"/>
      <c r="CK258" s="607"/>
      <c r="CL258" s="607"/>
      <c r="CM258" s="607"/>
      <c r="CN258" s="607"/>
      <c r="CO258" s="607"/>
      <c r="CP258" s="607"/>
      <c r="CQ258" s="607"/>
      <c r="CR258" s="607"/>
      <c r="CS258" s="607"/>
      <c r="CT258" s="607"/>
      <c r="CU258" s="607"/>
      <c r="CV258" s="607"/>
      <c r="CW258" s="607"/>
      <c r="CX258" s="607"/>
      <c r="CY258" s="607"/>
      <c r="CZ258" s="607"/>
      <c r="DA258" s="607"/>
      <c r="DB258" s="607"/>
      <c r="DC258" s="607"/>
      <c r="DD258" s="607"/>
      <c r="DE258" s="607"/>
      <c r="DF258" s="607"/>
      <c r="DG258" s="607"/>
      <c r="DH258" s="607"/>
      <c r="DI258" s="607"/>
      <c r="DJ258" s="607"/>
      <c r="DK258" s="607"/>
      <c r="DL258" s="607"/>
      <c r="DM258" s="607"/>
      <c r="DN258" s="607"/>
      <c r="DO258" s="607"/>
      <c r="DP258" s="607"/>
      <c r="DQ258" s="607"/>
      <c r="DR258" s="607"/>
      <c r="DS258" s="607"/>
      <c r="DT258" s="607"/>
      <c r="DU258" s="607"/>
      <c r="DV258" s="607"/>
      <c r="DW258" s="607"/>
      <c r="DX258" s="607"/>
      <c r="DY258" s="607"/>
      <c r="DZ258" s="607"/>
      <c r="EA258" s="607"/>
      <c r="EB258" s="607"/>
      <c r="EC258" s="607"/>
      <c r="ED258" s="607"/>
      <c r="EE258" s="607"/>
      <c r="EF258" s="607"/>
      <c r="EG258" s="607"/>
      <c r="EH258" s="607"/>
      <c r="EI258" s="607"/>
      <c r="EJ258" s="607"/>
      <c r="EK258" s="607"/>
      <c r="EL258" s="607"/>
      <c r="EM258" s="607"/>
      <c r="EN258" s="607"/>
      <c r="EO258" s="607"/>
      <c r="EP258" s="607"/>
      <c r="EQ258" s="607"/>
      <c r="ER258" s="607"/>
      <c r="ES258" s="607"/>
      <c r="ET258" s="607"/>
      <c r="EU258" s="607"/>
      <c r="EV258" s="607"/>
      <c r="EW258" s="607"/>
      <c r="EX258" s="607"/>
      <c r="EY258" s="607"/>
      <c r="EZ258" s="607"/>
      <c r="FA258" s="607"/>
      <c r="FB258" s="607"/>
      <c r="FC258" s="607"/>
      <c r="FD258" s="607"/>
      <c r="FE258" s="607"/>
      <c r="FF258" s="607"/>
      <c r="FG258" s="607"/>
      <c r="FH258" s="607"/>
      <c r="FI258" s="607"/>
      <c r="FJ258" s="607"/>
      <c r="FK258" s="607"/>
      <c r="FL258" s="607"/>
      <c r="FM258" s="607"/>
      <c r="FN258" s="607"/>
      <c r="FO258" s="607"/>
      <c r="FP258" s="607"/>
      <c r="FQ258" s="607"/>
      <c r="FR258" s="607"/>
      <c r="FS258" s="607"/>
      <c r="FT258" s="607"/>
      <c r="FU258" s="607"/>
      <c r="FV258" s="607"/>
      <c r="FW258" s="607"/>
      <c r="FX258" s="607"/>
      <c r="FY258" s="607"/>
      <c r="FZ258" s="607"/>
      <c r="GA258" s="607"/>
      <c r="GB258" s="607"/>
      <c r="GC258" s="607"/>
      <c r="GD258" s="607"/>
      <c r="GE258" s="607"/>
      <c r="GF258" s="607"/>
      <c r="GG258" s="607"/>
      <c r="GH258" s="607"/>
      <c r="GI258" s="607"/>
      <c r="GJ258" s="607"/>
      <c r="GK258" s="607"/>
      <c r="GL258" s="607"/>
      <c r="GM258" s="607"/>
      <c r="GN258" s="607"/>
      <c r="GO258" s="607"/>
      <c r="GP258" s="607"/>
      <c r="GQ258" s="607"/>
      <c r="GR258" s="607"/>
      <c r="GS258" s="607"/>
      <c r="GT258" s="607"/>
      <c r="GU258" s="607"/>
      <c r="GV258" s="607"/>
      <c r="GW258" s="607"/>
      <c r="GX258" s="607"/>
      <c r="GY258" s="607"/>
      <c r="GZ258" s="607"/>
      <c r="HA258" s="607"/>
      <c r="HB258" s="607"/>
      <c r="HC258" s="607"/>
      <c r="HD258" s="607"/>
      <c r="HE258" s="607"/>
      <c r="HF258" s="607"/>
      <c r="HG258" s="607"/>
      <c r="HH258" s="607"/>
      <c r="HI258" s="607"/>
      <c r="HJ258" s="607"/>
      <c r="HK258" s="607"/>
      <c r="HL258" s="607"/>
      <c r="HM258" s="607"/>
      <c r="HN258" s="607"/>
      <c r="HO258" s="607"/>
      <c r="HP258" s="607"/>
      <c r="HQ258" s="607"/>
      <c r="HR258" s="607"/>
      <c r="HS258" s="607"/>
      <c r="HT258" s="607"/>
      <c r="HU258" s="607"/>
      <c r="HV258" s="607"/>
      <c r="HW258" s="607"/>
      <c r="HX258" s="607"/>
      <c r="HY258" s="607"/>
      <c r="HZ258" s="607"/>
      <c r="IA258" s="607"/>
      <c r="IB258" s="607"/>
      <c r="IC258" s="607"/>
      <c r="ID258" s="607"/>
      <c r="IE258" s="607"/>
      <c r="IF258" s="607"/>
      <c r="IG258" s="607"/>
      <c r="IH258" s="607"/>
      <c r="II258" s="607"/>
      <c r="IJ258" s="607"/>
      <c r="IK258" s="607"/>
      <c r="IL258" s="607"/>
      <c r="IM258" s="607"/>
      <c r="IN258" s="607"/>
      <c r="IO258" s="607"/>
      <c r="IP258" s="607"/>
      <c r="IQ258" s="607"/>
      <c r="IR258" s="607"/>
      <c r="IS258" s="607"/>
      <c r="IT258" s="607"/>
      <c r="IU258" s="607"/>
      <c r="IV258" s="607"/>
    </row>
    <row r="260" spans="7:256" ht="22.5" customHeight="1"/>
    <row r="263" spans="7:256" ht="22.5" customHeight="1"/>
    <row r="266" spans="7:256" ht="22.5" customHeight="1"/>
    <row r="267" spans="7:256" ht="14.25" customHeight="1"/>
    <row r="268" spans="7:256" ht="15.75" customHeight="1"/>
    <row r="269" spans="7:256" ht="22.5" customHeight="1"/>
    <row r="271" spans="7:256" ht="15.75" customHeight="1"/>
    <row r="272" spans="7:256" ht="24.75" customHeight="1"/>
  </sheetData>
  <mergeCells count="3">
    <mergeCell ref="A2:B2"/>
    <mergeCell ref="C2:E2"/>
    <mergeCell ref="B3:D3"/>
  </mergeCells>
  <pageMargins left="0.78740157480314965" right="0.19685039370078741" top="0.23622047244094491" bottom="0.59055118110236227" header="0.23622047244094491" footer="0.31496062992125984"/>
  <pageSetup paperSize="9" scale="80" firstPageNumber="5" orientation="portrait" useFirstPageNumber="1" r:id="rId1"/>
  <headerFooter alignWithMargins="0">
    <oddHeader>&amp;R&amp;6Str. &amp;P</oddHeader>
  </headerFooter>
  <rowBreaks count="9" manualBreakCount="9">
    <brk id="23" max="5" man="1"/>
    <brk id="49" max="5" man="1"/>
    <brk id="68" max="5" man="1"/>
    <brk id="103" max="5" man="1"/>
    <brk id="123" max="5" man="1"/>
    <brk id="142" max="5" man="1"/>
    <brk id="161" max="5" man="1"/>
    <brk id="179" max="5" man="1"/>
    <brk id="198"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P125"/>
  <sheetViews>
    <sheetView showZeros="0" view="pageBreakPreview" topLeftCell="A103" zoomScaleNormal="100" zoomScaleSheetLayoutView="100" workbookViewId="0">
      <selection activeCell="J111" sqref="J111"/>
    </sheetView>
  </sheetViews>
  <sheetFormatPr defaultColWidth="8.88671875" defaultRowHeight="13.8"/>
  <cols>
    <col min="1" max="1" width="8.44140625" style="707" customWidth="1"/>
    <col min="2" max="2" width="35.6640625" style="707" customWidth="1"/>
    <col min="3" max="3" width="6.33203125" style="707" customWidth="1"/>
    <col min="4" max="4" width="8.6640625" style="707" customWidth="1"/>
    <col min="5" max="5" width="7.5546875" style="707" customWidth="1"/>
    <col min="6" max="6" width="9.33203125" style="707" customWidth="1"/>
    <col min="7" max="7" width="12" style="708" bestFit="1" customWidth="1"/>
    <col min="8" max="16384" width="8.88671875" style="707"/>
  </cols>
  <sheetData>
    <row r="2" spans="1:16" s="615" customFormat="1" ht="12.75" customHeight="1">
      <c r="A2" s="619"/>
      <c r="B2" s="619"/>
      <c r="C2" s="620"/>
      <c r="D2" s="620"/>
      <c r="E2" s="620"/>
      <c r="F2" s="613"/>
      <c r="G2" s="629"/>
    </row>
    <row r="3" spans="1:16" s="400" customFormat="1" ht="14.4">
      <c r="A3" s="621" t="s">
        <v>872</v>
      </c>
      <c r="B3" s="622" t="s">
        <v>2511</v>
      </c>
      <c r="C3" s="623"/>
      <c r="D3" s="624"/>
      <c r="E3" s="625"/>
      <c r="F3" s="625"/>
      <c r="G3" s="641"/>
    </row>
    <row r="5" spans="1:16" s="307" customFormat="1" ht="11.25" customHeight="1">
      <c r="A5" s="631" t="s">
        <v>1318</v>
      </c>
      <c r="B5" s="631" t="s">
        <v>1319</v>
      </c>
      <c r="C5" s="631" t="s">
        <v>2512</v>
      </c>
      <c r="D5" s="631" t="s">
        <v>1320</v>
      </c>
      <c r="E5" s="632" t="s">
        <v>1321</v>
      </c>
      <c r="F5" s="631" t="s">
        <v>1322</v>
      </c>
      <c r="G5" s="631" t="s">
        <v>1323</v>
      </c>
    </row>
    <row r="6" spans="1:16" s="615" customFormat="1">
      <c r="A6" s="626"/>
      <c r="B6" s="627"/>
      <c r="C6" s="628"/>
      <c r="D6" s="629"/>
      <c r="E6" s="628"/>
      <c r="F6" s="630"/>
      <c r="G6" s="655"/>
      <c r="H6" s="307"/>
      <c r="I6" s="307"/>
      <c r="J6" s="307"/>
      <c r="K6" s="307"/>
      <c r="L6" s="307"/>
      <c r="M6" s="307"/>
      <c r="N6" s="307"/>
      <c r="O6" s="307"/>
      <c r="P6" s="307"/>
    </row>
    <row r="7" spans="1:16">
      <c r="A7" s="709"/>
      <c r="B7" s="710"/>
      <c r="C7" s="711"/>
      <c r="D7" s="712"/>
      <c r="E7" s="713"/>
      <c r="F7" s="712"/>
      <c r="G7" s="714"/>
    </row>
    <row r="8" spans="1:16" ht="13.95" customHeight="1">
      <c r="A8" s="715" t="s">
        <v>2385</v>
      </c>
      <c r="B8" s="716" t="s">
        <v>2513</v>
      </c>
      <c r="C8" s="717"/>
      <c r="D8" s="718"/>
      <c r="E8" s="719"/>
      <c r="F8" s="719"/>
      <c r="G8" s="720"/>
    </row>
    <row r="9" spans="1:16" s="615" customFormat="1">
      <c r="A9" s="626"/>
      <c r="B9" s="627"/>
      <c r="C9" s="628"/>
      <c r="D9" s="629"/>
      <c r="E9" s="628"/>
      <c r="F9" s="630"/>
      <c r="G9" s="655"/>
      <c r="H9" s="307"/>
      <c r="I9" s="307"/>
      <c r="J9" s="307"/>
      <c r="K9" s="307"/>
      <c r="L9" s="307"/>
      <c r="M9" s="307"/>
      <c r="N9" s="307"/>
      <c r="O9" s="307"/>
      <c r="P9" s="307"/>
    </row>
    <row r="10" spans="1:16" ht="41.4">
      <c r="A10" s="721">
        <v>1</v>
      </c>
      <c r="B10" s="722" t="s">
        <v>2514</v>
      </c>
      <c r="C10" s="723"/>
      <c r="D10" s="724" t="s">
        <v>2515</v>
      </c>
      <c r="E10" s="724">
        <v>10</v>
      </c>
      <c r="F10" s="725">
        <v>100</v>
      </c>
      <c r="G10" s="726">
        <f>E10*F10</f>
        <v>1000</v>
      </c>
    </row>
    <row r="11" spans="1:16" ht="96.6">
      <c r="A11" s="721">
        <v>2</v>
      </c>
      <c r="B11" s="722" t="s">
        <v>2780</v>
      </c>
      <c r="C11" s="723"/>
      <c r="D11" s="904" t="s">
        <v>2410</v>
      </c>
      <c r="E11" s="727">
        <v>1</v>
      </c>
      <c r="F11" s="725">
        <v>100</v>
      </c>
      <c r="G11" s="726">
        <f>E11*F11</f>
        <v>100</v>
      </c>
    </row>
    <row r="12" spans="1:16" ht="124.2">
      <c r="A12" s="721">
        <v>3</v>
      </c>
      <c r="B12" s="905" t="s">
        <v>2781</v>
      </c>
      <c r="C12" s="723"/>
      <c r="D12" s="904" t="s">
        <v>2410</v>
      </c>
      <c r="E12" s="727">
        <v>1</v>
      </c>
      <c r="F12" s="725">
        <v>100</v>
      </c>
      <c r="G12" s="726">
        <f>E12*F12</f>
        <v>100</v>
      </c>
    </row>
    <row r="13" spans="1:16" s="899" customFormat="1" ht="207">
      <c r="A13" s="893">
        <v>4</v>
      </c>
      <c r="B13" s="894" t="s">
        <v>2516</v>
      </c>
      <c r="C13" s="895"/>
      <c r="D13" s="896" t="s">
        <v>2515</v>
      </c>
      <c r="E13" s="896">
        <v>1</v>
      </c>
      <c r="F13" s="897"/>
      <c r="G13" s="898"/>
    </row>
    <row r="14" spans="1:16">
      <c r="A14" s="721"/>
      <c r="B14" s="711"/>
      <c r="C14" s="723"/>
      <c r="D14" s="724"/>
      <c r="E14" s="724"/>
      <c r="F14" s="712"/>
      <c r="G14" s="714"/>
    </row>
    <row r="15" spans="1:16" ht="13.95" customHeight="1">
      <c r="A15" s="715" t="s">
        <v>2385</v>
      </c>
      <c r="B15" s="716" t="s">
        <v>2517</v>
      </c>
      <c r="C15" s="717"/>
      <c r="D15" s="718"/>
      <c r="E15" s="719"/>
      <c r="F15" s="719"/>
      <c r="G15" s="720">
        <f>SUM(G10:G12)</f>
        <v>1200</v>
      </c>
    </row>
    <row r="16" spans="1:16">
      <c r="A16" s="728"/>
      <c r="B16" s="729"/>
      <c r="C16" s="730"/>
      <c r="D16" s="729"/>
      <c r="E16" s="729"/>
      <c r="F16" s="729"/>
      <c r="G16" s="731"/>
    </row>
    <row r="17" spans="1:7">
      <c r="A17" s="709"/>
      <c r="B17" s="710"/>
      <c r="C17" s="711"/>
      <c r="D17" s="712"/>
      <c r="E17" s="713"/>
      <c r="F17" s="712"/>
      <c r="G17" s="714"/>
    </row>
    <row r="18" spans="1:7">
      <c r="A18" s="732" t="s">
        <v>2425</v>
      </c>
      <c r="B18" s="953" t="s">
        <v>2518</v>
      </c>
      <c r="C18" s="954"/>
      <c r="D18" s="733"/>
      <c r="E18" s="733"/>
      <c r="F18" s="719"/>
      <c r="G18" s="734"/>
    </row>
    <row r="19" spans="1:7">
      <c r="A19" s="735"/>
      <c r="B19" s="729"/>
      <c r="C19" s="736"/>
      <c r="D19" s="729"/>
      <c r="E19" s="729"/>
      <c r="F19" s="729"/>
      <c r="G19" s="731"/>
    </row>
    <row r="20" spans="1:7" ht="220.8">
      <c r="A20" s="721">
        <v>1</v>
      </c>
      <c r="B20" s="722" t="s">
        <v>2519</v>
      </c>
      <c r="C20" s="711"/>
      <c r="D20" s="737"/>
      <c r="E20" s="713"/>
      <c r="F20" s="725"/>
      <c r="G20" s="726"/>
    </row>
    <row r="21" spans="1:7" ht="15">
      <c r="A21" s="721" t="s">
        <v>1135</v>
      </c>
      <c r="B21" s="722" t="s">
        <v>2520</v>
      </c>
      <c r="C21" s="711"/>
      <c r="D21" s="737" t="s">
        <v>2489</v>
      </c>
      <c r="E21" s="713">
        <v>20.399999999999999</v>
      </c>
      <c r="F21" s="725">
        <v>40</v>
      </c>
      <c r="G21" s="726">
        <f>E21*F21</f>
        <v>816</v>
      </c>
    </row>
    <row r="22" spans="1:7" ht="15">
      <c r="A22" s="721" t="s">
        <v>1134</v>
      </c>
      <c r="B22" s="722" t="s">
        <v>2521</v>
      </c>
      <c r="C22" s="711"/>
      <c r="D22" s="737" t="s">
        <v>2489</v>
      </c>
      <c r="E22" s="713">
        <v>4.5</v>
      </c>
      <c r="F22" s="725">
        <v>100</v>
      </c>
      <c r="G22" s="726">
        <f>E22*F22</f>
        <v>450</v>
      </c>
    </row>
    <row r="23" spans="1:7" ht="234.75" customHeight="1">
      <c r="A23" s="721">
        <v>2</v>
      </c>
      <c r="B23" s="738" t="s">
        <v>2522</v>
      </c>
      <c r="C23" s="739" t="s">
        <v>2523</v>
      </c>
      <c r="D23" s="724" t="s">
        <v>2515</v>
      </c>
      <c r="E23" s="740">
        <v>1</v>
      </c>
      <c r="F23" s="725">
        <v>2500</v>
      </c>
      <c r="G23" s="726">
        <f>E23*F23</f>
        <v>2500</v>
      </c>
    </row>
    <row r="24" spans="1:7" ht="208.5" customHeight="1">
      <c r="A24" s="721">
        <v>3</v>
      </c>
      <c r="B24" s="738" t="s">
        <v>2524</v>
      </c>
      <c r="C24" s="739" t="s">
        <v>2525</v>
      </c>
      <c r="D24" s="724" t="s">
        <v>2515</v>
      </c>
      <c r="E24" s="740">
        <v>2</v>
      </c>
      <c r="F24" s="725">
        <v>800</v>
      </c>
      <c r="G24" s="726">
        <f>E24*F24</f>
        <v>1600</v>
      </c>
    </row>
    <row r="25" spans="1:7" ht="170.25" customHeight="1">
      <c r="A25" s="721">
        <v>4</v>
      </c>
      <c r="B25" s="722" t="s">
        <v>2526</v>
      </c>
      <c r="C25" s="711"/>
      <c r="D25" s="737"/>
      <c r="E25" s="713"/>
      <c r="F25" s="725"/>
      <c r="G25" s="726"/>
    </row>
    <row r="26" spans="1:7" ht="15">
      <c r="A26" s="721" t="s">
        <v>1135</v>
      </c>
      <c r="B26" s="722" t="s">
        <v>2527</v>
      </c>
      <c r="C26" s="711"/>
      <c r="D26" s="737" t="s">
        <v>2489</v>
      </c>
      <c r="E26" s="713">
        <v>235</v>
      </c>
      <c r="F26" s="725">
        <v>20</v>
      </c>
      <c r="G26" s="726">
        <f t="shared" ref="G26:G33" si="0">E26*F26</f>
        <v>4700</v>
      </c>
    </row>
    <row r="27" spans="1:7" ht="15">
      <c r="A27" s="721" t="s">
        <v>1134</v>
      </c>
      <c r="B27" s="722" t="s">
        <v>2528</v>
      </c>
      <c r="C27" s="711"/>
      <c r="D27" s="737" t="s">
        <v>2489</v>
      </c>
      <c r="E27" s="713">
        <v>15.5</v>
      </c>
      <c r="F27" s="725">
        <v>100</v>
      </c>
      <c r="G27" s="726">
        <f t="shared" si="0"/>
        <v>1550</v>
      </c>
    </row>
    <row r="28" spans="1:7" ht="97.8">
      <c r="A28" s="721">
        <v>5</v>
      </c>
      <c r="B28" s="722" t="s">
        <v>2529</v>
      </c>
      <c r="C28" s="741"/>
      <c r="D28" s="737" t="s">
        <v>2489</v>
      </c>
      <c r="E28" s="713">
        <f>(E21+E22+E26+E27)*0.1</f>
        <v>27.54</v>
      </c>
      <c r="F28" s="725">
        <v>40</v>
      </c>
      <c r="G28" s="726">
        <f t="shared" si="0"/>
        <v>1101.5999999999999</v>
      </c>
    </row>
    <row r="29" spans="1:7" ht="55.2">
      <c r="A29" s="721">
        <v>6</v>
      </c>
      <c r="B29" s="722" t="s">
        <v>2530</v>
      </c>
      <c r="C29" s="741"/>
      <c r="D29" s="724" t="s">
        <v>2515</v>
      </c>
      <c r="E29" s="740">
        <v>7</v>
      </c>
      <c r="F29" s="713">
        <v>100</v>
      </c>
      <c r="G29" s="726">
        <f t="shared" si="0"/>
        <v>700</v>
      </c>
    </row>
    <row r="30" spans="1:7" ht="146.25" customHeight="1">
      <c r="A30" s="721">
        <v>7</v>
      </c>
      <c r="B30" s="722" t="s">
        <v>2531</v>
      </c>
      <c r="C30" s="711"/>
      <c r="D30" s="737" t="s">
        <v>2489</v>
      </c>
      <c r="E30" s="713">
        <v>250</v>
      </c>
      <c r="F30" s="713">
        <v>20</v>
      </c>
      <c r="G30" s="726">
        <f t="shared" si="0"/>
        <v>5000</v>
      </c>
    </row>
    <row r="31" spans="1:7" ht="41.4">
      <c r="A31" s="721">
        <v>8</v>
      </c>
      <c r="B31" s="742" t="s">
        <v>2532</v>
      </c>
      <c r="C31" s="741"/>
      <c r="D31" s="724" t="s">
        <v>2391</v>
      </c>
      <c r="E31" s="727">
        <v>385</v>
      </c>
      <c r="F31" s="713">
        <v>1</v>
      </c>
      <c r="G31" s="726">
        <f t="shared" si="0"/>
        <v>385</v>
      </c>
    </row>
    <row r="32" spans="1:7" ht="55.2">
      <c r="A32" s="721">
        <v>9</v>
      </c>
      <c r="B32" s="722" t="s">
        <v>2533</v>
      </c>
      <c r="C32" s="711"/>
      <c r="D32" s="737" t="s">
        <v>2534</v>
      </c>
      <c r="E32" s="713">
        <v>4</v>
      </c>
      <c r="F32" s="713">
        <v>200</v>
      </c>
      <c r="G32" s="726">
        <f t="shared" si="0"/>
        <v>800</v>
      </c>
    </row>
    <row r="33" spans="1:7" ht="96.6">
      <c r="A33" s="721">
        <v>10</v>
      </c>
      <c r="B33" s="722" t="s">
        <v>2535</v>
      </c>
      <c r="C33" s="741"/>
      <c r="D33" s="724" t="s">
        <v>2391</v>
      </c>
      <c r="E33" s="727">
        <v>6</v>
      </c>
      <c r="F33" s="713">
        <v>100</v>
      </c>
      <c r="G33" s="726">
        <f t="shared" si="0"/>
        <v>600</v>
      </c>
    </row>
    <row r="34" spans="1:7" ht="78.75" customHeight="1">
      <c r="A34" s="721">
        <v>11</v>
      </c>
      <c r="B34" s="722" t="s">
        <v>2536</v>
      </c>
      <c r="C34" s="711"/>
      <c r="D34" s="712"/>
      <c r="E34" s="713"/>
      <c r="F34" s="712"/>
      <c r="G34" s="714"/>
    </row>
    <row r="35" spans="1:7">
      <c r="A35" s="721" t="s">
        <v>1135</v>
      </c>
      <c r="B35" s="722" t="s">
        <v>2537</v>
      </c>
      <c r="C35" s="711"/>
      <c r="D35" s="724" t="s">
        <v>2515</v>
      </c>
      <c r="E35" s="713">
        <v>1</v>
      </c>
      <c r="F35" s="713">
        <v>100</v>
      </c>
      <c r="G35" s="726">
        <f t="shared" ref="G35:G51" si="1">E35*F35</f>
        <v>100</v>
      </c>
    </row>
    <row r="36" spans="1:7">
      <c r="A36" s="721" t="s">
        <v>1134</v>
      </c>
      <c r="B36" s="722" t="s">
        <v>2538</v>
      </c>
      <c r="C36" s="711"/>
      <c r="D36" s="724" t="s">
        <v>2515</v>
      </c>
      <c r="E36" s="713">
        <v>1</v>
      </c>
      <c r="F36" s="713">
        <v>100</v>
      </c>
      <c r="G36" s="726">
        <f t="shared" si="1"/>
        <v>100</v>
      </c>
    </row>
    <row r="37" spans="1:7" ht="41.4">
      <c r="A37" s="721" t="s">
        <v>1133</v>
      </c>
      <c r="B37" s="743" t="s">
        <v>2539</v>
      </c>
      <c r="C37" s="711"/>
      <c r="D37" s="724" t="s">
        <v>2515</v>
      </c>
      <c r="E37" s="713">
        <v>1</v>
      </c>
      <c r="F37" s="713">
        <v>100</v>
      </c>
      <c r="G37" s="726">
        <f t="shared" si="1"/>
        <v>100</v>
      </c>
    </row>
    <row r="38" spans="1:7" ht="27.6">
      <c r="A38" s="721" t="s">
        <v>1132</v>
      </c>
      <c r="B38" s="743" t="s">
        <v>2540</v>
      </c>
      <c r="C38" s="711"/>
      <c r="D38" s="724" t="s">
        <v>2515</v>
      </c>
      <c r="E38" s="713">
        <v>2</v>
      </c>
      <c r="F38" s="713">
        <v>100</v>
      </c>
      <c r="G38" s="726">
        <f t="shared" si="1"/>
        <v>200</v>
      </c>
    </row>
    <row r="39" spans="1:7" ht="27.6">
      <c r="A39" s="721" t="s">
        <v>2541</v>
      </c>
      <c r="B39" s="722" t="s">
        <v>2542</v>
      </c>
      <c r="C39" s="711"/>
      <c r="D39" s="724" t="s">
        <v>2515</v>
      </c>
      <c r="E39" s="713">
        <v>2</v>
      </c>
      <c r="F39" s="713">
        <v>100</v>
      </c>
      <c r="G39" s="726">
        <f t="shared" si="1"/>
        <v>200</v>
      </c>
    </row>
    <row r="40" spans="1:7" ht="27.6">
      <c r="A40" s="721" t="s">
        <v>2543</v>
      </c>
      <c r="B40" s="722" t="s">
        <v>2544</v>
      </c>
      <c r="C40" s="711"/>
      <c r="D40" s="724" t="s">
        <v>2515</v>
      </c>
      <c r="E40" s="713">
        <v>2</v>
      </c>
      <c r="F40" s="713">
        <v>80</v>
      </c>
      <c r="G40" s="726">
        <f t="shared" si="1"/>
        <v>160</v>
      </c>
    </row>
    <row r="41" spans="1:7" ht="27.6">
      <c r="A41" s="721" t="s">
        <v>2545</v>
      </c>
      <c r="B41" s="722" t="s">
        <v>2544</v>
      </c>
      <c r="C41" s="711"/>
      <c r="D41" s="724" t="s">
        <v>2515</v>
      </c>
      <c r="E41" s="713">
        <v>2</v>
      </c>
      <c r="F41" s="713">
        <v>50</v>
      </c>
      <c r="G41" s="726">
        <f t="shared" si="1"/>
        <v>100</v>
      </c>
    </row>
    <row r="42" spans="1:7">
      <c r="A42" s="721" t="s">
        <v>2546</v>
      </c>
      <c r="B42" s="738" t="s">
        <v>2547</v>
      </c>
      <c r="C42" s="711"/>
      <c r="D42" s="724" t="s">
        <v>2515</v>
      </c>
      <c r="E42" s="713">
        <v>1</v>
      </c>
      <c r="F42" s="725">
        <v>50</v>
      </c>
      <c r="G42" s="726">
        <f t="shared" si="1"/>
        <v>50</v>
      </c>
    </row>
    <row r="43" spans="1:7">
      <c r="A43" s="721" t="s">
        <v>2548</v>
      </c>
      <c r="B43" s="738" t="s">
        <v>2549</v>
      </c>
      <c r="C43" s="711"/>
      <c r="D43" s="724" t="s">
        <v>2515</v>
      </c>
      <c r="E43" s="713">
        <v>1</v>
      </c>
      <c r="F43" s="725">
        <v>100</v>
      </c>
      <c r="G43" s="726">
        <f t="shared" si="1"/>
        <v>100</v>
      </c>
    </row>
    <row r="44" spans="1:7">
      <c r="A44" s="721" t="s">
        <v>2550</v>
      </c>
      <c r="B44" s="738" t="s">
        <v>2551</v>
      </c>
      <c r="C44" s="711"/>
      <c r="D44" s="724" t="s">
        <v>2515</v>
      </c>
      <c r="E44" s="713">
        <v>3</v>
      </c>
      <c r="F44" s="725">
        <v>100</v>
      </c>
      <c r="G44" s="726">
        <f t="shared" si="1"/>
        <v>300</v>
      </c>
    </row>
    <row r="45" spans="1:7">
      <c r="A45" s="721" t="s">
        <v>2552</v>
      </c>
      <c r="B45" s="738" t="s">
        <v>2553</v>
      </c>
      <c r="C45" s="711"/>
      <c r="D45" s="724" t="s">
        <v>2515</v>
      </c>
      <c r="E45" s="713">
        <v>1</v>
      </c>
      <c r="F45" s="725">
        <v>100</v>
      </c>
      <c r="G45" s="726">
        <f t="shared" si="1"/>
        <v>100</v>
      </c>
    </row>
    <row r="46" spans="1:7">
      <c r="A46" s="721" t="s">
        <v>2554</v>
      </c>
      <c r="B46" s="722" t="s">
        <v>2555</v>
      </c>
      <c r="C46" s="711"/>
      <c r="D46" s="724" t="s">
        <v>2515</v>
      </c>
      <c r="E46" s="713">
        <v>1</v>
      </c>
      <c r="F46" s="725">
        <v>100</v>
      </c>
      <c r="G46" s="726">
        <f t="shared" si="1"/>
        <v>100</v>
      </c>
    </row>
    <row r="47" spans="1:7">
      <c r="A47" s="721" t="s">
        <v>2556</v>
      </c>
      <c r="B47" s="722" t="s">
        <v>2557</v>
      </c>
      <c r="C47" s="711"/>
      <c r="D47" s="724" t="s">
        <v>2515</v>
      </c>
      <c r="E47" s="713">
        <v>2</v>
      </c>
      <c r="F47" s="725">
        <v>100</v>
      </c>
      <c r="G47" s="726">
        <f t="shared" si="1"/>
        <v>200</v>
      </c>
    </row>
    <row r="48" spans="1:7" ht="44.25" customHeight="1">
      <c r="A48" s="721" t="s">
        <v>2558</v>
      </c>
      <c r="B48" s="742" t="s">
        <v>2559</v>
      </c>
      <c r="C48" s="711"/>
      <c r="D48" s="724" t="s">
        <v>2515</v>
      </c>
      <c r="E48" s="713">
        <v>1</v>
      </c>
      <c r="F48" s="725">
        <v>1000</v>
      </c>
      <c r="G48" s="726">
        <f t="shared" si="1"/>
        <v>1000</v>
      </c>
    </row>
    <row r="49" spans="1:7" ht="41.4">
      <c r="A49" s="721" t="s">
        <v>2560</v>
      </c>
      <c r="B49" s="742" t="s">
        <v>2561</v>
      </c>
      <c r="C49" s="711"/>
      <c r="D49" s="724" t="s">
        <v>2515</v>
      </c>
      <c r="E49" s="713">
        <v>1</v>
      </c>
      <c r="F49" s="725">
        <v>500</v>
      </c>
      <c r="G49" s="726">
        <f t="shared" si="1"/>
        <v>500</v>
      </c>
    </row>
    <row r="50" spans="1:7" ht="41.4">
      <c r="A50" s="721" t="s">
        <v>2562</v>
      </c>
      <c r="B50" s="742" t="s">
        <v>2563</v>
      </c>
      <c r="C50" s="711"/>
      <c r="D50" s="724" t="s">
        <v>2515</v>
      </c>
      <c r="E50" s="713">
        <v>1</v>
      </c>
      <c r="F50" s="725">
        <v>400</v>
      </c>
      <c r="G50" s="726">
        <f t="shared" si="1"/>
        <v>400</v>
      </c>
    </row>
    <row r="51" spans="1:7" ht="41.4">
      <c r="A51" s="721" t="s">
        <v>2564</v>
      </c>
      <c r="B51" s="742" t="s">
        <v>2563</v>
      </c>
      <c r="C51" s="711"/>
      <c r="D51" s="724" t="s">
        <v>2515</v>
      </c>
      <c r="E51" s="713">
        <v>1</v>
      </c>
      <c r="F51" s="725">
        <v>300</v>
      </c>
      <c r="G51" s="726">
        <f t="shared" si="1"/>
        <v>300</v>
      </c>
    </row>
    <row r="52" spans="1:7" ht="156.75" customHeight="1">
      <c r="A52" s="721">
        <v>12</v>
      </c>
      <c r="B52" s="722" t="s">
        <v>2565</v>
      </c>
      <c r="C52" s="741"/>
      <c r="D52" s="712"/>
      <c r="E52" s="712"/>
      <c r="F52" s="712"/>
      <c r="G52" s="714"/>
    </row>
    <row r="53" spans="1:7">
      <c r="A53" s="721" t="s">
        <v>1135</v>
      </c>
      <c r="B53" s="742" t="s">
        <v>2566</v>
      </c>
      <c r="C53" s="711"/>
      <c r="D53" s="724" t="s">
        <v>2391</v>
      </c>
      <c r="E53" s="727">
        <v>101.3</v>
      </c>
      <c r="F53" s="713">
        <v>65</v>
      </c>
      <c r="G53" s="726">
        <f>E53*F53</f>
        <v>6584.5</v>
      </c>
    </row>
    <row r="54" spans="1:7">
      <c r="A54" s="721" t="s">
        <v>1134</v>
      </c>
      <c r="B54" s="742" t="s">
        <v>2567</v>
      </c>
      <c r="C54" s="711"/>
      <c r="D54" s="724" t="s">
        <v>2391</v>
      </c>
      <c r="E54" s="727">
        <v>96.3</v>
      </c>
      <c r="F54" s="713">
        <v>60</v>
      </c>
      <c r="G54" s="726">
        <f>E54*F54</f>
        <v>5778</v>
      </c>
    </row>
    <row r="55" spans="1:7">
      <c r="A55" s="721" t="s">
        <v>1133</v>
      </c>
      <c r="B55" s="742" t="s">
        <v>2568</v>
      </c>
      <c r="C55" s="711"/>
      <c r="D55" s="724" t="s">
        <v>2391</v>
      </c>
      <c r="E55" s="727">
        <v>162.4</v>
      </c>
      <c r="F55" s="713">
        <v>50</v>
      </c>
      <c r="G55" s="726">
        <f>E55*F55</f>
        <v>8120</v>
      </c>
    </row>
    <row r="56" spans="1:7">
      <c r="A56" s="721" t="s">
        <v>1132</v>
      </c>
      <c r="B56" s="742" t="s">
        <v>2569</v>
      </c>
      <c r="C56" s="711"/>
      <c r="D56" s="724" t="s">
        <v>2391</v>
      </c>
      <c r="E56" s="727">
        <v>38.799999999999997</v>
      </c>
      <c r="F56" s="713">
        <v>38</v>
      </c>
      <c r="G56" s="726">
        <f>E56*F56</f>
        <v>1474.3999999999999</v>
      </c>
    </row>
    <row r="57" spans="1:7">
      <c r="A57" s="721" t="s">
        <v>2541</v>
      </c>
      <c r="B57" s="742" t="s">
        <v>2570</v>
      </c>
      <c r="C57" s="711"/>
      <c r="D57" s="724" t="s">
        <v>2391</v>
      </c>
      <c r="E57" s="727">
        <v>95.2</v>
      </c>
      <c r="F57" s="713">
        <v>28</v>
      </c>
      <c r="G57" s="726">
        <f>E57*F57</f>
        <v>2665.6</v>
      </c>
    </row>
    <row r="58" spans="1:7" ht="159.75" customHeight="1">
      <c r="A58" s="721">
        <v>13</v>
      </c>
      <c r="B58" s="722" t="s">
        <v>2571</v>
      </c>
      <c r="C58" s="741"/>
      <c r="D58" s="712"/>
      <c r="E58" s="712"/>
      <c r="F58" s="712"/>
      <c r="G58" s="714"/>
    </row>
    <row r="59" spans="1:7">
      <c r="A59" s="721" t="s">
        <v>1135</v>
      </c>
      <c r="B59" s="742" t="s">
        <v>2572</v>
      </c>
      <c r="C59" s="711"/>
      <c r="D59" s="724" t="s">
        <v>2391</v>
      </c>
      <c r="E59" s="727">
        <v>115.6</v>
      </c>
      <c r="F59" s="713">
        <v>20</v>
      </c>
      <c r="G59" s="726">
        <f>E59*F59</f>
        <v>2312</v>
      </c>
    </row>
    <row r="60" spans="1:7">
      <c r="A60" s="721" t="s">
        <v>1134</v>
      </c>
      <c r="B60" s="742" t="s">
        <v>2573</v>
      </c>
      <c r="C60" s="711"/>
      <c r="D60" s="724" t="s">
        <v>2391</v>
      </c>
      <c r="E60" s="727">
        <f>144.15-25+20+3+32+42</f>
        <v>216.15</v>
      </c>
      <c r="F60" s="713">
        <v>15</v>
      </c>
      <c r="G60" s="726">
        <f>E60*F60</f>
        <v>3242.25</v>
      </c>
    </row>
    <row r="61" spans="1:7">
      <c r="A61" s="721" t="s">
        <v>2541</v>
      </c>
      <c r="B61" s="742" t="s">
        <v>2574</v>
      </c>
      <c r="C61" s="711"/>
      <c r="D61" s="724" t="s">
        <v>2391</v>
      </c>
      <c r="E61" s="727">
        <f>335-115</f>
        <v>220</v>
      </c>
      <c r="F61" s="713">
        <v>12</v>
      </c>
      <c r="G61" s="726">
        <f>E61*F61</f>
        <v>2640</v>
      </c>
    </row>
    <row r="62" spans="1:7" ht="183.75" customHeight="1">
      <c r="A62" s="721">
        <v>14</v>
      </c>
      <c r="B62" s="722" t="s">
        <v>2575</v>
      </c>
      <c r="C62" s="741"/>
      <c r="D62" s="712"/>
      <c r="E62" s="712"/>
      <c r="F62" s="712"/>
      <c r="G62" s="714"/>
    </row>
    <row r="63" spans="1:7">
      <c r="A63" s="721" t="s">
        <v>1135</v>
      </c>
      <c r="B63" s="742" t="s">
        <v>2576</v>
      </c>
      <c r="C63" s="711"/>
      <c r="D63" s="724" t="s">
        <v>2391</v>
      </c>
      <c r="E63" s="727">
        <v>93.6</v>
      </c>
      <c r="F63" s="713">
        <v>14</v>
      </c>
      <c r="G63" s="726">
        <f t="shared" ref="G63:G71" si="2">E63*F63</f>
        <v>1310.3999999999999</v>
      </c>
    </row>
    <row r="64" spans="1:7">
      <c r="A64" s="721" t="s">
        <v>1134</v>
      </c>
      <c r="B64" s="742" t="s">
        <v>2573</v>
      </c>
      <c r="C64" s="711"/>
      <c r="D64" s="724" t="s">
        <v>2391</v>
      </c>
      <c r="E64" s="727">
        <v>66.349999999999994</v>
      </c>
      <c r="F64" s="713">
        <v>12</v>
      </c>
      <c r="G64" s="726">
        <f t="shared" si="2"/>
        <v>796.19999999999993</v>
      </c>
    </row>
    <row r="65" spans="1:7">
      <c r="A65" s="721" t="s">
        <v>1133</v>
      </c>
      <c r="B65" s="742" t="s">
        <v>2574</v>
      </c>
      <c r="C65" s="711"/>
      <c r="D65" s="724" t="s">
        <v>2391</v>
      </c>
      <c r="E65" s="727">
        <v>148.75</v>
      </c>
      <c r="F65" s="713">
        <v>10</v>
      </c>
      <c r="G65" s="726">
        <f t="shared" si="2"/>
        <v>1487.5</v>
      </c>
    </row>
    <row r="66" spans="1:7" ht="94.5" customHeight="1">
      <c r="A66" s="721">
        <v>15</v>
      </c>
      <c r="B66" s="722" t="s">
        <v>2577</v>
      </c>
      <c r="C66" s="741"/>
      <c r="D66" s="724" t="s">
        <v>2515</v>
      </c>
      <c r="E66" s="713">
        <v>2</v>
      </c>
      <c r="F66" s="725">
        <v>2200</v>
      </c>
      <c r="G66" s="726">
        <f t="shared" si="2"/>
        <v>4400</v>
      </c>
    </row>
    <row r="67" spans="1:7" ht="55.5" customHeight="1">
      <c r="A67" s="721">
        <v>16</v>
      </c>
      <c r="B67" s="722" t="s">
        <v>2578</v>
      </c>
      <c r="C67" s="741"/>
      <c r="D67" s="724" t="s">
        <v>2515</v>
      </c>
      <c r="E67" s="740">
        <v>7</v>
      </c>
      <c r="F67" s="725">
        <v>100</v>
      </c>
      <c r="G67" s="726">
        <f t="shared" si="2"/>
        <v>700</v>
      </c>
    </row>
    <row r="68" spans="1:7" ht="110.4">
      <c r="A68" s="721">
        <v>17</v>
      </c>
      <c r="B68" s="738" t="s">
        <v>2579</v>
      </c>
      <c r="C68" s="739"/>
      <c r="D68" s="737" t="s">
        <v>291</v>
      </c>
      <c r="E68" s="740">
        <v>1</v>
      </c>
      <c r="F68" s="725">
        <v>100</v>
      </c>
      <c r="G68" s="726">
        <f t="shared" si="2"/>
        <v>100</v>
      </c>
    </row>
    <row r="69" spans="1:7" ht="110.4">
      <c r="A69" s="721">
        <v>18</v>
      </c>
      <c r="B69" s="722" t="s">
        <v>2580</v>
      </c>
      <c r="C69" s="741"/>
      <c r="D69" s="724" t="s">
        <v>2515</v>
      </c>
      <c r="E69" s="713">
        <v>1</v>
      </c>
      <c r="F69" s="725">
        <v>1800</v>
      </c>
      <c r="G69" s="726">
        <f t="shared" si="2"/>
        <v>1800</v>
      </c>
    </row>
    <row r="70" spans="1:7" ht="41.4">
      <c r="A70" s="721">
        <v>19</v>
      </c>
      <c r="B70" s="722" t="s">
        <v>2581</v>
      </c>
      <c r="C70" s="741"/>
      <c r="D70" s="724" t="s">
        <v>2515</v>
      </c>
      <c r="E70" s="713">
        <v>1</v>
      </c>
      <c r="F70" s="725">
        <v>100</v>
      </c>
      <c r="G70" s="726">
        <f t="shared" si="2"/>
        <v>100</v>
      </c>
    </row>
    <row r="71" spans="1:7" ht="55.2">
      <c r="A71" s="721">
        <v>20</v>
      </c>
      <c r="B71" s="722" t="s">
        <v>2582</v>
      </c>
      <c r="C71" s="712"/>
      <c r="D71" s="737" t="s">
        <v>2583</v>
      </c>
      <c r="E71" s="727">
        <v>3</v>
      </c>
      <c r="F71" s="725">
        <v>100</v>
      </c>
      <c r="G71" s="726">
        <f t="shared" si="2"/>
        <v>300</v>
      </c>
    </row>
    <row r="72" spans="1:7" ht="55.2">
      <c r="A72" s="721">
        <v>21</v>
      </c>
      <c r="B72" s="722" t="s">
        <v>2584</v>
      </c>
      <c r="C72" s="712"/>
      <c r="D72" s="737" t="s">
        <v>2534</v>
      </c>
      <c r="E72" s="727">
        <v>680</v>
      </c>
      <c r="F72" s="725">
        <v>5</v>
      </c>
      <c r="G72" s="744">
        <f>F72*E72</f>
        <v>3400</v>
      </c>
    </row>
    <row r="73" spans="1:7" ht="107.25" customHeight="1">
      <c r="A73" s="721">
        <v>22</v>
      </c>
      <c r="B73" s="738" t="s">
        <v>2785</v>
      </c>
      <c r="C73" s="739"/>
      <c r="D73" s="906" t="s">
        <v>2410</v>
      </c>
      <c r="E73" s="740">
        <v>1</v>
      </c>
      <c r="F73" s="725">
        <v>1000</v>
      </c>
      <c r="G73" s="744">
        <f>F73*E73</f>
        <v>1000</v>
      </c>
    </row>
    <row r="74" spans="1:7">
      <c r="A74" s="721"/>
      <c r="B74" s="742"/>
      <c r="C74" s="711"/>
      <c r="D74" s="724"/>
      <c r="E74" s="713"/>
      <c r="F74" s="725"/>
      <c r="G74" s="726"/>
    </row>
    <row r="75" spans="1:7">
      <c r="A75" s="745" t="s">
        <v>2425</v>
      </c>
      <c r="B75" s="716" t="s">
        <v>2585</v>
      </c>
      <c r="C75" s="717"/>
      <c r="D75" s="718"/>
      <c r="E75" s="719"/>
      <c r="F75" s="719"/>
      <c r="G75" s="720">
        <f>SUM(G21:G73)</f>
        <v>72423.45</v>
      </c>
    </row>
    <row r="76" spans="1:7">
      <c r="A76" s="746"/>
      <c r="B76" s="712"/>
      <c r="C76" s="747"/>
      <c r="D76" s="712"/>
      <c r="E76" s="712"/>
      <c r="F76" s="712"/>
      <c r="G76" s="714"/>
    </row>
    <row r="77" spans="1:7">
      <c r="A77" s="748"/>
      <c r="B77" s="749"/>
      <c r="C77" s="750"/>
      <c r="D77" s="729"/>
      <c r="E77" s="751"/>
      <c r="F77" s="729"/>
      <c r="G77" s="731"/>
    </row>
    <row r="78" spans="1:7">
      <c r="A78" s="745" t="s">
        <v>2461</v>
      </c>
      <c r="B78" s="716" t="s">
        <v>2586</v>
      </c>
      <c r="C78" s="717"/>
      <c r="D78" s="718"/>
      <c r="E78" s="719"/>
      <c r="F78" s="719"/>
      <c r="G78" s="720"/>
    </row>
    <row r="79" spans="1:7">
      <c r="A79" s="721"/>
      <c r="B79" s="710"/>
      <c r="C79" s="711"/>
      <c r="D79" s="712"/>
      <c r="E79" s="713"/>
      <c r="F79" s="712"/>
      <c r="G79" s="714"/>
    </row>
    <row r="80" spans="1:7" ht="70.5" customHeight="1">
      <c r="A80" s="721">
        <v>1</v>
      </c>
      <c r="B80" s="738" t="s">
        <v>2587</v>
      </c>
      <c r="C80" s="752"/>
      <c r="D80" s="724" t="s">
        <v>2391</v>
      </c>
      <c r="E80" s="727">
        <v>630.29999999999995</v>
      </c>
      <c r="F80" s="725">
        <v>1</v>
      </c>
      <c r="G80" s="726">
        <f>E80*F80</f>
        <v>630.29999999999995</v>
      </c>
    </row>
    <row r="81" spans="1:8" ht="195" customHeight="1">
      <c r="A81" s="721">
        <v>2</v>
      </c>
      <c r="B81" s="722" t="s">
        <v>2588</v>
      </c>
      <c r="C81" s="711"/>
      <c r="D81" s="737"/>
      <c r="E81" s="713"/>
      <c r="F81" s="725"/>
      <c r="G81" s="726"/>
    </row>
    <row r="82" spans="1:8" ht="15">
      <c r="A82" s="721" t="s">
        <v>1135</v>
      </c>
      <c r="B82" s="722" t="s">
        <v>2520</v>
      </c>
      <c r="C82" s="711"/>
      <c r="D82" s="737" t="s">
        <v>2489</v>
      </c>
      <c r="E82" s="713">
        <v>928.45</v>
      </c>
      <c r="F82" s="725">
        <v>20</v>
      </c>
      <c r="G82" s="726">
        <f t="shared" ref="G82:G95" si="3">E82*F82</f>
        <v>18569</v>
      </c>
    </row>
    <row r="83" spans="1:8" ht="15">
      <c r="A83" s="721" t="s">
        <v>1134</v>
      </c>
      <c r="B83" s="722" t="s">
        <v>2521</v>
      </c>
      <c r="C83" s="711"/>
      <c r="D83" s="737" t="s">
        <v>2489</v>
      </c>
      <c r="E83" s="713">
        <v>163</v>
      </c>
      <c r="F83" s="725">
        <v>50</v>
      </c>
      <c r="G83" s="726">
        <f t="shared" si="3"/>
        <v>8150</v>
      </c>
    </row>
    <row r="84" spans="1:8" ht="249" customHeight="1">
      <c r="A84" s="721">
        <v>3</v>
      </c>
      <c r="B84" s="738" t="s">
        <v>2589</v>
      </c>
      <c r="C84" s="739" t="s">
        <v>2590</v>
      </c>
      <c r="D84" s="724" t="s">
        <v>2515</v>
      </c>
      <c r="E84" s="740">
        <v>2</v>
      </c>
      <c r="F84" s="725">
        <v>1500</v>
      </c>
      <c r="G84" s="726">
        <f t="shared" si="3"/>
        <v>3000</v>
      </c>
    </row>
    <row r="85" spans="1:8" ht="247.5" customHeight="1">
      <c r="A85" s="721">
        <v>4</v>
      </c>
      <c r="B85" s="738" t="s">
        <v>2591</v>
      </c>
      <c r="C85" s="739" t="s">
        <v>2592</v>
      </c>
      <c r="D85" s="724" t="s">
        <v>2515</v>
      </c>
      <c r="E85" s="740">
        <v>9</v>
      </c>
      <c r="F85" s="725">
        <v>1000</v>
      </c>
      <c r="G85" s="726">
        <f t="shared" si="3"/>
        <v>9000</v>
      </c>
    </row>
    <row r="86" spans="1:8" ht="156.75" customHeight="1">
      <c r="A86" s="721">
        <v>5</v>
      </c>
      <c r="B86" s="742" t="s">
        <v>2593</v>
      </c>
      <c r="C86" s="739" t="s">
        <v>2594</v>
      </c>
      <c r="D86" s="737" t="s">
        <v>291</v>
      </c>
      <c r="E86" s="740">
        <v>1</v>
      </c>
      <c r="F86" s="725">
        <v>7000</v>
      </c>
      <c r="G86" s="726">
        <f t="shared" si="3"/>
        <v>7000</v>
      </c>
    </row>
    <row r="87" spans="1:8" ht="110.4">
      <c r="A87" s="721">
        <v>6</v>
      </c>
      <c r="B87" s="742" t="s">
        <v>2595</v>
      </c>
      <c r="C87" s="711"/>
      <c r="D87" s="737" t="s">
        <v>258</v>
      </c>
      <c r="E87" s="727">
        <v>75</v>
      </c>
      <c r="F87" s="725">
        <v>20</v>
      </c>
      <c r="G87" s="726">
        <f t="shared" si="3"/>
        <v>1500</v>
      </c>
    </row>
    <row r="88" spans="1:8" ht="151.80000000000001">
      <c r="A88" s="721">
        <v>7</v>
      </c>
      <c r="B88" s="738" t="s">
        <v>2767</v>
      </c>
      <c r="C88" s="739"/>
      <c r="D88" s="737" t="s">
        <v>291</v>
      </c>
      <c r="E88" s="740">
        <v>2</v>
      </c>
      <c r="F88" s="725">
        <v>100</v>
      </c>
      <c r="G88" s="726">
        <f t="shared" si="3"/>
        <v>200</v>
      </c>
    </row>
    <row r="89" spans="1:8" ht="81.75" customHeight="1">
      <c r="A89" s="721">
        <v>8</v>
      </c>
      <c r="B89" s="742" t="s">
        <v>2596</v>
      </c>
      <c r="C89" s="753"/>
      <c r="D89" s="737" t="s">
        <v>2534</v>
      </c>
      <c r="E89" s="727">
        <v>510</v>
      </c>
      <c r="F89" s="725">
        <v>2</v>
      </c>
      <c r="G89" s="726">
        <f t="shared" si="3"/>
        <v>1020</v>
      </c>
    </row>
    <row r="90" spans="1:8" ht="350.25" customHeight="1">
      <c r="A90" s="721">
        <v>9</v>
      </c>
      <c r="B90" s="738" t="s">
        <v>2597</v>
      </c>
      <c r="C90" s="739" t="s">
        <v>2598</v>
      </c>
      <c r="D90" s="724" t="s">
        <v>2515</v>
      </c>
      <c r="E90" s="740">
        <v>4</v>
      </c>
      <c r="F90" s="725">
        <v>1200</v>
      </c>
      <c r="G90" s="726">
        <f t="shared" si="3"/>
        <v>4800</v>
      </c>
      <c r="H90" s="754"/>
    </row>
    <row r="91" spans="1:8" ht="358.8">
      <c r="A91" s="721">
        <v>10</v>
      </c>
      <c r="B91" s="738" t="s">
        <v>2599</v>
      </c>
      <c r="C91" s="739" t="s">
        <v>2598</v>
      </c>
      <c r="D91" s="724" t="s">
        <v>2515</v>
      </c>
      <c r="E91" s="740">
        <v>4</v>
      </c>
      <c r="F91" s="725">
        <v>1200</v>
      </c>
      <c r="G91" s="726">
        <f t="shared" si="3"/>
        <v>4800</v>
      </c>
    </row>
    <row r="92" spans="1:8" ht="358.8">
      <c r="A92" s="721">
        <v>11</v>
      </c>
      <c r="B92" s="738" t="s">
        <v>2600</v>
      </c>
      <c r="C92" s="739" t="s">
        <v>2601</v>
      </c>
      <c r="D92" s="724" t="s">
        <v>2515</v>
      </c>
      <c r="E92" s="740">
        <v>9</v>
      </c>
      <c r="F92" s="725">
        <v>800</v>
      </c>
      <c r="G92" s="726">
        <f t="shared" si="3"/>
        <v>7200</v>
      </c>
    </row>
    <row r="93" spans="1:8" ht="69">
      <c r="A93" s="721">
        <v>12</v>
      </c>
      <c r="B93" s="722" t="s">
        <v>2602</v>
      </c>
      <c r="C93" s="741"/>
      <c r="D93" s="724" t="s">
        <v>2515</v>
      </c>
      <c r="E93" s="740">
        <v>55</v>
      </c>
      <c r="F93" s="725">
        <v>50</v>
      </c>
      <c r="G93" s="726">
        <f t="shared" si="3"/>
        <v>2750</v>
      </c>
    </row>
    <row r="94" spans="1:8" ht="151.80000000000001">
      <c r="A94" s="721">
        <v>13</v>
      </c>
      <c r="B94" s="722" t="s">
        <v>2603</v>
      </c>
      <c r="C94" s="741"/>
      <c r="D94" s="724" t="s">
        <v>2391</v>
      </c>
      <c r="E94" s="740">
        <v>22.5</v>
      </c>
      <c r="F94" s="725">
        <v>200</v>
      </c>
      <c r="G94" s="726">
        <f t="shared" si="3"/>
        <v>4500</v>
      </c>
    </row>
    <row r="95" spans="1:8" ht="97.8">
      <c r="A95" s="721">
        <v>14</v>
      </c>
      <c r="B95" s="722" t="s">
        <v>2604</v>
      </c>
      <c r="C95" s="741"/>
      <c r="D95" s="737" t="s">
        <v>2489</v>
      </c>
      <c r="E95" s="713">
        <v>65.5</v>
      </c>
      <c r="F95" s="725">
        <v>60</v>
      </c>
      <c r="G95" s="726">
        <f t="shared" si="3"/>
        <v>3930</v>
      </c>
    </row>
    <row r="96" spans="1:8" ht="81.75" customHeight="1">
      <c r="A96" s="721">
        <v>15</v>
      </c>
      <c r="B96" s="742" t="s">
        <v>2605</v>
      </c>
      <c r="C96" s="711"/>
      <c r="D96" s="737"/>
      <c r="E96" s="727"/>
      <c r="F96" s="712"/>
      <c r="G96" s="726"/>
    </row>
    <row r="97" spans="1:7">
      <c r="A97" s="721" t="s">
        <v>1135</v>
      </c>
      <c r="B97" s="755" t="s">
        <v>2606</v>
      </c>
      <c r="C97" s="739" t="s">
        <v>2607</v>
      </c>
      <c r="D97" s="724" t="s">
        <v>2391</v>
      </c>
      <c r="E97" s="727">
        <v>21.35</v>
      </c>
      <c r="F97" s="725">
        <v>130</v>
      </c>
      <c r="G97" s="726">
        <f t="shared" ref="G97:G103" si="4">E97*F97</f>
        <v>2775.5</v>
      </c>
    </row>
    <row r="98" spans="1:7">
      <c r="A98" s="721" t="s">
        <v>1134</v>
      </c>
      <c r="B98" s="755" t="s">
        <v>2608</v>
      </c>
      <c r="C98" s="739" t="s">
        <v>2609</v>
      </c>
      <c r="D98" s="724" t="s">
        <v>2391</v>
      </c>
      <c r="E98" s="727">
        <v>117.75</v>
      </c>
      <c r="F98" s="725">
        <v>78</v>
      </c>
      <c r="G98" s="726">
        <f t="shared" si="4"/>
        <v>9184.5</v>
      </c>
    </row>
    <row r="99" spans="1:7">
      <c r="A99" s="721" t="s">
        <v>1133</v>
      </c>
      <c r="B99" s="755" t="s">
        <v>2610</v>
      </c>
      <c r="C99" s="739" t="s">
        <v>2609</v>
      </c>
      <c r="D99" s="724" t="s">
        <v>2391</v>
      </c>
      <c r="E99" s="727">
        <f>87.5+24</f>
        <v>111.5</v>
      </c>
      <c r="F99" s="725">
        <v>69</v>
      </c>
      <c r="G99" s="726">
        <f t="shared" si="4"/>
        <v>7693.5</v>
      </c>
    </row>
    <row r="100" spans="1:7">
      <c r="A100" s="721" t="s">
        <v>1132</v>
      </c>
      <c r="B100" s="755" t="s">
        <v>2611</v>
      </c>
      <c r="C100" s="739" t="s">
        <v>2612</v>
      </c>
      <c r="D100" s="724" t="s">
        <v>2391</v>
      </c>
      <c r="E100" s="727">
        <v>168.8</v>
      </c>
      <c r="F100" s="725">
        <v>48</v>
      </c>
      <c r="G100" s="726">
        <f t="shared" si="4"/>
        <v>8102.4000000000005</v>
      </c>
    </row>
    <row r="101" spans="1:7">
      <c r="A101" s="721" t="s">
        <v>2541</v>
      </c>
      <c r="B101" s="755" t="s">
        <v>2613</v>
      </c>
      <c r="C101" s="739" t="s">
        <v>2614</v>
      </c>
      <c r="D101" s="724" t="s">
        <v>2391</v>
      </c>
      <c r="E101" s="727">
        <v>191.35</v>
      </c>
      <c r="F101" s="725">
        <v>36</v>
      </c>
      <c r="G101" s="726">
        <f t="shared" si="4"/>
        <v>6888.5999999999995</v>
      </c>
    </row>
    <row r="102" spans="1:7">
      <c r="A102" s="721" t="s">
        <v>2543</v>
      </c>
      <c r="B102" s="755" t="s">
        <v>2615</v>
      </c>
      <c r="C102" s="739" t="s">
        <v>2616</v>
      </c>
      <c r="D102" s="724" t="s">
        <v>2391</v>
      </c>
      <c r="E102" s="727">
        <v>39.700000000000003</v>
      </c>
      <c r="F102" s="725">
        <v>27</v>
      </c>
      <c r="G102" s="726">
        <f t="shared" si="4"/>
        <v>1071.9000000000001</v>
      </c>
    </row>
    <row r="103" spans="1:7" ht="69" customHeight="1">
      <c r="A103" s="721">
        <v>16</v>
      </c>
      <c r="B103" s="742" t="s">
        <v>2617</v>
      </c>
      <c r="C103" s="711"/>
      <c r="D103" s="737" t="s">
        <v>2489</v>
      </c>
      <c r="E103" s="713">
        <v>79.48</v>
      </c>
      <c r="F103" s="725">
        <v>1</v>
      </c>
      <c r="G103" s="726">
        <f t="shared" si="4"/>
        <v>79.48</v>
      </c>
    </row>
    <row r="104" spans="1:7" ht="110.4">
      <c r="A104" s="721">
        <v>16</v>
      </c>
      <c r="B104" s="755" t="s">
        <v>2618</v>
      </c>
      <c r="C104" s="739"/>
      <c r="D104" s="724"/>
      <c r="E104" s="727"/>
      <c r="F104" s="725"/>
      <c r="G104" s="726"/>
    </row>
    <row r="105" spans="1:7">
      <c r="A105" s="721" t="s">
        <v>1135</v>
      </c>
      <c r="B105" s="755" t="s">
        <v>2610</v>
      </c>
      <c r="C105" s="739" t="s">
        <v>2609</v>
      </c>
      <c r="D105" s="724" t="s">
        <v>2391</v>
      </c>
      <c r="E105" s="727">
        <v>393.85</v>
      </c>
      <c r="F105" s="725">
        <v>1</v>
      </c>
      <c r="G105" s="726">
        <f>E105*F105</f>
        <v>393.85</v>
      </c>
    </row>
    <row r="106" spans="1:7">
      <c r="A106" s="721" t="s">
        <v>1134</v>
      </c>
      <c r="B106" s="755" t="s">
        <v>2611</v>
      </c>
      <c r="C106" s="739" t="s">
        <v>2612</v>
      </c>
      <c r="D106" s="724" t="s">
        <v>2391</v>
      </c>
      <c r="E106" s="727">
        <v>297.2</v>
      </c>
      <c r="F106" s="725">
        <v>1</v>
      </c>
      <c r="G106" s="726">
        <f>E106*F106</f>
        <v>297.2</v>
      </c>
    </row>
    <row r="107" spans="1:7" ht="69">
      <c r="A107" s="721">
        <v>17</v>
      </c>
      <c r="B107" s="755" t="s">
        <v>2619</v>
      </c>
      <c r="C107" s="739"/>
      <c r="D107" s="737" t="s">
        <v>2489</v>
      </c>
      <c r="E107" s="713">
        <v>331.7</v>
      </c>
      <c r="F107" s="725">
        <v>1</v>
      </c>
      <c r="G107" s="726">
        <f>E107*F107</f>
        <v>331.7</v>
      </c>
    </row>
    <row r="108" spans="1:7" ht="69">
      <c r="A108" s="721">
        <v>18</v>
      </c>
      <c r="B108" s="755" t="s">
        <v>2620</v>
      </c>
      <c r="C108" s="739"/>
      <c r="D108" s="737" t="s">
        <v>2489</v>
      </c>
      <c r="E108" s="713">
        <f>331.7*0.3</f>
        <v>99.509999999999991</v>
      </c>
      <c r="F108" s="725">
        <v>1</v>
      </c>
      <c r="G108" s="726">
        <f>E108*F108</f>
        <v>99.509999999999991</v>
      </c>
    </row>
    <row r="109" spans="1:7" ht="82.8">
      <c r="A109" s="721">
        <v>19</v>
      </c>
      <c r="B109" s="722" t="s">
        <v>2621</v>
      </c>
      <c r="C109" s="711"/>
      <c r="D109" s="724" t="s">
        <v>2515</v>
      </c>
      <c r="E109" s="740">
        <v>2</v>
      </c>
      <c r="F109" s="725">
        <v>450</v>
      </c>
      <c r="G109" s="726">
        <f>E109*F109</f>
        <v>900</v>
      </c>
    </row>
    <row r="110" spans="1:7" ht="55.2">
      <c r="A110" s="721">
        <v>20</v>
      </c>
      <c r="B110" s="722" t="s">
        <v>2584</v>
      </c>
      <c r="C110" s="712"/>
      <c r="D110" s="737" t="s">
        <v>2534</v>
      </c>
      <c r="E110" s="727">
        <v>2500</v>
      </c>
      <c r="F110" s="725">
        <v>1</v>
      </c>
      <c r="G110" s="744">
        <f>F110*E110</f>
        <v>2500</v>
      </c>
    </row>
    <row r="111" spans="1:7" ht="69" customHeight="1">
      <c r="A111" s="721">
        <v>21</v>
      </c>
      <c r="B111" s="738" t="s">
        <v>2783</v>
      </c>
      <c r="C111" s="739"/>
      <c r="D111" s="920" t="s">
        <v>253</v>
      </c>
      <c r="E111" s="740">
        <v>1</v>
      </c>
      <c r="F111" s="725">
        <v>1500</v>
      </c>
      <c r="G111" s="744">
        <f>F111*E111</f>
        <v>1500</v>
      </c>
    </row>
    <row r="112" spans="1:7">
      <c r="A112" s="721"/>
      <c r="B112" s="742"/>
      <c r="C112" s="711"/>
      <c r="D112" s="724"/>
      <c r="E112" s="713"/>
      <c r="F112" s="725"/>
      <c r="G112" s="726"/>
    </row>
    <row r="113" spans="1:7">
      <c r="A113" s="715" t="s">
        <v>2461</v>
      </c>
      <c r="B113" s="716" t="s">
        <v>2622</v>
      </c>
      <c r="C113" s="717"/>
      <c r="D113" s="718"/>
      <c r="E113" s="719"/>
      <c r="F113" s="719"/>
      <c r="G113" s="720">
        <f>SUM(G80:G111)</f>
        <v>118867.43999999999</v>
      </c>
    </row>
    <row r="114" spans="1:7">
      <c r="A114" s="756"/>
      <c r="B114" s="756"/>
      <c r="C114" s="756"/>
      <c r="D114" s="756"/>
      <c r="E114" s="756"/>
      <c r="F114" s="756"/>
      <c r="G114" s="757"/>
    </row>
    <row r="115" spans="1:7" s="655" customFormat="1">
      <c r="A115" s="633"/>
      <c r="B115" s="634"/>
      <c r="C115" s="635"/>
      <c r="D115" s="636"/>
      <c r="E115" s="647"/>
      <c r="F115" s="647"/>
    </row>
    <row r="116" spans="1:7" s="685" customFormat="1" ht="15.6">
      <c r="A116" s="688" t="s">
        <v>872</v>
      </c>
      <c r="B116" s="689" t="s">
        <v>2511</v>
      </c>
      <c r="C116" s="758"/>
      <c r="D116" s="759"/>
      <c r="E116" s="760"/>
      <c r="F116" s="760"/>
    </row>
    <row r="117" spans="1:7" s="655" customFormat="1">
      <c r="A117" s="633"/>
      <c r="B117" s="638"/>
      <c r="C117" s="635"/>
      <c r="D117" s="636"/>
      <c r="E117" s="647"/>
      <c r="F117" s="647"/>
    </row>
    <row r="118" spans="1:7" s="655" customFormat="1">
      <c r="A118" s="694" t="s">
        <v>2385</v>
      </c>
      <c r="B118" s="695" t="s">
        <v>2513</v>
      </c>
      <c r="C118" s="696"/>
      <c r="D118" s="697"/>
      <c r="E118" s="698"/>
      <c r="F118" s="697"/>
      <c r="G118" s="761">
        <f>G15</f>
        <v>1200</v>
      </c>
    </row>
    <row r="119" spans="1:7" s="655" customFormat="1">
      <c r="A119" s="633"/>
      <c r="B119" s="634"/>
      <c r="C119" s="635"/>
      <c r="D119" s="636"/>
      <c r="E119" s="647"/>
      <c r="F119" s="647"/>
    </row>
    <row r="120" spans="1:7" s="655" customFormat="1" ht="15" customHeight="1">
      <c r="A120" s="694" t="s">
        <v>2425</v>
      </c>
      <c r="B120" s="695" t="s">
        <v>2386</v>
      </c>
      <c r="C120" s="696"/>
      <c r="D120" s="697"/>
      <c r="E120" s="698"/>
      <c r="F120" s="697"/>
      <c r="G120" s="761">
        <f>G75</f>
        <v>72423.45</v>
      </c>
    </row>
    <row r="121" spans="1:7" s="655" customFormat="1" ht="16.5" customHeight="1">
      <c r="A121" s="633"/>
      <c r="B121" s="634"/>
      <c r="C121" s="635"/>
      <c r="D121" s="636"/>
      <c r="E121" s="647"/>
      <c r="F121" s="647"/>
    </row>
    <row r="122" spans="1:7" s="655" customFormat="1">
      <c r="A122" s="694" t="s">
        <v>2461</v>
      </c>
      <c r="B122" s="695" t="s">
        <v>2623</v>
      </c>
      <c r="C122" s="696"/>
      <c r="D122" s="697"/>
      <c r="E122" s="698"/>
      <c r="F122" s="697"/>
      <c r="G122" s="761">
        <f>G113</f>
        <v>118867.43999999999</v>
      </c>
    </row>
    <row r="123" spans="1:7" s="655" customFormat="1" ht="15.75" customHeight="1">
      <c r="A123" s="633"/>
      <c r="B123" s="634"/>
      <c r="C123" s="635"/>
      <c r="D123" s="636"/>
      <c r="E123" s="647"/>
      <c r="F123" s="647"/>
    </row>
    <row r="124" spans="1:7" s="763" customFormat="1" ht="15.75" customHeight="1">
      <c r="A124" s="699"/>
      <c r="B124" s="700" t="s">
        <v>1779</v>
      </c>
      <c r="C124" s="701"/>
      <c r="D124" s="702"/>
      <c r="E124" s="703"/>
      <c r="F124" s="702"/>
      <c r="G124" s="762">
        <f>SUM(G118:G122)</f>
        <v>192490.88999999998</v>
      </c>
    </row>
    <row r="125" spans="1:7" s="655" customFormat="1" ht="15.75" customHeight="1">
      <c r="A125" s="633"/>
      <c r="B125" s="634"/>
      <c r="C125" s="635"/>
      <c r="D125" s="636"/>
      <c r="E125" s="704"/>
      <c r="F125" s="647"/>
    </row>
  </sheetData>
  <mergeCells count="1">
    <mergeCell ref="B18:C18"/>
  </mergeCells>
  <pageMargins left="0.70866141732283472" right="0.70866141732283472" top="0.74803149606299213" bottom="0.74803149606299213" header="0.31496062992125984" footer="0.31496062992125984"/>
  <pageSetup paperSize="9" scale="52" orientation="portrait" r:id="rId1"/>
  <rowBreaks count="10" manualBreakCount="10">
    <brk id="16" max="6" man="1"/>
    <brk id="23" max="6" man="1"/>
    <brk id="29" max="6" man="1"/>
    <brk id="48" max="6" man="1"/>
    <brk id="62" max="6" man="1"/>
    <brk id="76" max="6" man="1"/>
    <brk id="83" max="6" man="1"/>
    <brk id="86" max="6" man="1"/>
    <brk id="93" max="6" man="1"/>
    <brk id="114"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7:G42"/>
  <sheetViews>
    <sheetView showZeros="0" view="pageBreakPreview" zoomScaleNormal="100" zoomScaleSheetLayoutView="100" workbookViewId="0">
      <selection activeCell="F19" sqref="F19"/>
    </sheetView>
  </sheetViews>
  <sheetFormatPr defaultColWidth="8.88671875" defaultRowHeight="13.8"/>
  <cols>
    <col min="1" max="1" width="8.44140625" style="707" customWidth="1"/>
    <col min="2" max="2" width="35.6640625" style="707" customWidth="1"/>
    <col min="3" max="3" width="6.33203125" style="707" customWidth="1"/>
    <col min="4" max="4" width="8.6640625" style="707" customWidth="1"/>
    <col min="5" max="5" width="7.5546875" style="707" customWidth="1"/>
    <col min="6" max="6" width="9.33203125" style="707" customWidth="1"/>
    <col min="7" max="7" width="12" style="708" bestFit="1" customWidth="1"/>
    <col min="8" max="16384" width="8.88671875" style="707"/>
  </cols>
  <sheetData>
    <row r="7" spans="1:7" s="685" customFormat="1" ht="19.5" customHeight="1">
      <c r="A7" s="688"/>
      <c r="B7" s="955" t="s">
        <v>2626</v>
      </c>
      <c r="C7" s="955"/>
      <c r="D7" s="955"/>
      <c r="E7" s="955"/>
      <c r="F7" s="955"/>
    </row>
    <row r="8" spans="1:7" s="655" customFormat="1">
      <c r="A8" s="633"/>
      <c r="B8" s="638"/>
      <c r="C8" s="635"/>
      <c r="D8" s="636"/>
      <c r="E8" s="647"/>
      <c r="F8" s="647"/>
    </row>
    <row r="9" spans="1:7" s="655" customFormat="1">
      <c r="A9" s="694" t="s">
        <v>2624</v>
      </c>
      <c r="B9" s="695" t="s">
        <v>2384</v>
      </c>
      <c r="C9" s="696"/>
      <c r="D9" s="697"/>
      <c r="E9" s="698"/>
      <c r="F9" s="697"/>
      <c r="G9" s="761">
        <f>'VIK-1'!F210</f>
        <v>62421</v>
      </c>
    </row>
    <row r="10" spans="1:7" s="655" customFormat="1">
      <c r="A10" s="633"/>
      <c r="B10" s="634"/>
      <c r="C10" s="635"/>
      <c r="D10" s="636"/>
      <c r="E10" s="647"/>
      <c r="F10" s="647"/>
    </row>
    <row r="11" spans="1:7" s="655" customFormat="1" ht="15" customHeight="1">
      <c r="A11" s="694" t="s">
        <v>2625</v>
      </c>
      <c r="B11" s="695" t="s">
        <v>2511</v>
      </c>
      <c r="C11" s="696"/>
      <c r="D11" s="697"/>
      <c r="E11" s="698"/>
      <c r="F11" s="697"/>
      <c r="G11" s="761">
        <f>'VIK-2'!G124</f>
        <v>192490.88999999998</v>
      </c>
    </row>
    <row r="12" spans="1:7" s="655" customFormat="1" ht="15.75" customHeight="1">
      <c r="A12" s="633"/>
      <c r="B12" s="634"/>
      <c r="C12" s="635"/>
      <c r="D12" s="636"/>
      <c r="E12" s="647"/>
      <c r="F12" s="647"/>
    </row>
    <row r="13" spans="1:7" s="763" customFormat="1" ht="15.75" customHeight="1">
      <c r="A13" s="699"/>
      <c r="B13" s="700" t="s">
        <v>1779</v>
      </c>
      <c r="C13" s="701"/>
      <c r="D13" s="702"/>
      <c r="E13" s="703"/>
      <c r="F13" s="702"/>
      <c r="G13" s="762">
        <f>SUM(G9:G11)</f>
        <v>254911.88999999998</v>
      </c>
    </row>
    <row r="14" spans="1:7" s="763" customFormat="1" ht="15.75" customHeight="1">
      <c r="A14" s="699"/>
      <c r="B14" s="700" t="s">
        <v>2369</v>
      </c>
      <c r="C14" s="701"/>
      <c r="D14" s="702"/>
      <c r="E14" s="703"/>
      <c r="F14" s="702"/>
      <c r="G14" s="762">
        <f>G13*0.25</f>
        <v>63727.972499999996</v>
      </c>
    </row>
    <row r="15" spans="1:7" s="764" customFormat="1" ht="15.6">
      <c r="G15" s="765"/>
    </row>
    <row r="16" spans="1:7" s="763" customFormat="1" ht="15.75" customHeight="1">
      <c r="A16" s="699"/>
      <c r="B16" s="700" t="s">
        <v>1801</v>
      </c>
      <c r="C16" s="701"/>
      <c r="D16" s="702"/>
      <c r="E16" s="703"/>
      <c r="F16" s="702"/>
      <c r="G16" s="762">
        <f>G13+G14</f>
        <v>318639.86249999999</v>
      </c>
    </row>
    <row r="17" spans="1:6" s="655" customFormat="1" ht="15.75" customHeight="1">
      <c r="A17" s="633"/>
      <c r="B17" s="634"/>
      <c r="C17" s="635"/>
      <c r="D17" s="636"/>
      <c r="E17" s="704"/>
      <c r="F17" s="647"/>
    </row>
    <row r="21" spans="1:6" s="655" customFormat="1" ht="15.75" customHeight="1">
      <c r="A21" s="633"/>
      <c r="B21" s="634"/>
      <c r="C21" s="635"/>
      <c r="D21" s="636"/>
      <c r="E21" s="704"/>
      <c r="F21" s="647"/>
    </row>
    <row r="26" spans="1:6" s="655" customFormat="1" ht="15.75" customHeight="1">
      <c r="A26" s="633"/>
      <c r="B26" s="634"/>
      <c r="C26" s="635"/>
      <c r="D26" s="636"/>
      <c r="E26" s="704"/>
      <c r="F26" s="647"/>
    </row>
    <row r="33" spans="1:6" s="655" customFormat="1" ht="15.75" customHeight="1">
      <c r="A33" s="633"/>
      <c r="B33" s="634"/>
      <c r="C33" s="635"/>
      <c r="D33" s="636"/>
      <c r="E33" s="704"/>
      <c r="F33" s="647"/>
    </row>
    <row r="37" spans="1:6" s="655" customFormat="1" ht="15.75" customHeight="1">
      <c r="A37" s="633"/>
      <c r="B37" s="634"/>
      <c r="C37" s="635"/>
      <c r="D37" s="636"/>
      <c r="E37" s="704"/>
      <c r="F37" s="647"/>
    </row>
    <row r="42" spans="1:6" s="655" customFormat="1" ht="15.75" customHeight="1">
      <c r="A42" s="633"/>
      <c r="B42" s="634"/>
      <c r="C42" s="635"/>
      <c r="D42" s="636"/>
      <c r="E42" s="704"/>
      <c r="F42" s="647"/>
    </row>
  </sheetData>
  <mergeCells count="1">
    <mergeCell ref="B7:F7"/>
  </mergeCells>
  <pageMargins left="0.70866141732283472" right="0.70866141732283472" top="0.74803149606299213" bottom="0.74803149606299213" header="0.31496062992125984" footer="0.31496062992125984"/>
  <pageSetup paperSize="9" scale="9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3"/>
  <sheetViews>
    <sheetView view="pageBreakPreview" zoomScaleNormal="100" zoomScaleSheetLayoutView="100" workbookViewId="0">
      <selection activeCell="A23" sqref="A23"/>
    </sheetView>
  </sheetViews>
  <sheetFormatPr defaultRowHeight="13.2"/>
  <cols>
    <col min="1" max="1" width="55.6640625" style="308" customWidth="1"/>
    <col min="2" max="2" width="31.6640625" style="308" customWidth="1"/>
    <col min="3" max="256" width="9.109375" style="308"/>
    <col min="257" max="257" width="55.6640625" style="308" customWidth="1"/>
    <col min="258" max="258" width="31.6640625" style="308" customWidth="1"/>
    <col min="259" max="512" width="9.109375" style="308"/>
    <col min="513" max="513" width="55.6640625" style="308" customWidth="1"/>
    <col min="514" max="514" width="31.6640625" style="308" customWidth="1"/>
    <col min="515" max="768" width="9.109375" style="308"/>
    <col min="769" max="769" width="55.6640625" style="308" customWidth="1"/>
    <col min="770" max="770" width="31.6640625" style="308" customWidth="1"/>
    <col min="771" max="1024" width="9.109375" style="308"/>
    <col min="1025" max="1025" width="55.6640625" style="308" customWidth="1"/>
    <col min="1026" max="1026" width="31.6640625" style="308" customWidth="1"/>
    <col min="1027" max="1280" width="9.109375" style="308"/>
    <col min="1281" max="1281" width="55.6640625" style="308" customWidth="1"/>
    <col min="1282" max="1282" width="31.6640625" style="308" customWidth="1"/>
    <col min="1283" max="1536" width="9.109375" style="308"/>
    <col min="1537" max="1537" width="55.6640625" style="308" customWidth="1"/>
    <col min="1538" max="1538" width="31.6640625" style="308" customWidth="1"/>
    <col min="1539" max="1792" width="9.109375" style="308"/>
    <col min="1793" max="1793" width="55.6640625" style="308" customWidth="1"/>
    <col min="1794" max="1794" width="31.6640625" style="308" customWidth="1"/>
    <col min="1795" max="2048" width="9.109375" style="308"/>
    <col min="2049" max="2049" width="55.6640625" style="308" customWidth="1"/>
    <col min="2050" max="2050" width="31.6640625" style="308" customWidth="1"/>
    <col min="2051" max="2304" width="9.109375" style="308"/>
    <col min="2305" max="2305" width="55.6640625" style="308" customWidth="1"/>
    <col min="2306" max="2306" width="31.6640625" style="308" customWidth="1"/>
    <col min="2307" max="2560" width="9.109375" style="308"/>
    <col min="2561" max="2561" width="55.6640625" style="308" customWidth="1"/>
    <col min="2562" max="2562" width="31.6640625" style="308" customWidth="1"/>
    <col min="2563" max="2816" width="9.109375" style="308"/>
    <col min="2817" max="2817" width="55.6640625" style="308" customWidth="1"/>
    <col min="2818" max="2818" width="31.6640625" style="308" customWidth="1"/>
    <col min="2819" max="3072" width="9.109375" style="308"/>
    <col min="3073" max="3073" width="55.6640625" style="308" customWidth="1"/>
    <col min="3074" max="3074" width="31.6640625" style="308" customWidth="1"/>
    <col min="3075" max="3328" width="9.109375" style="308"/>
    <col min="3329" max="3329" width="55.6640625" style="308" customWidth="1"/>
    <col min="3330" max="3330" width="31.6640625" style="308" customWidth="1"/>
    <col min="3331" max="3584" width="9.109375" style="308"/>
    <col min="3585" max="3585" width="55.6640625" style="308" customWidth="1"/>
    <col min="3586" max="3586" width="31.6640625" style="308" customWidth="1"/>
    <col min="3587" max="3840" width="9.109375" style="308"/>
    <col min="3841" max="3841" width="55.6640625" style="308" customWidth="1"/>
    <col min="3842" max="3842" width="31.6640625" style="308" customWidth="1"/>
    <col min="3843" max="4096" width="9.109375" style="308"/>
    <col min="4097" max="4097" width="55.6640625" style="308" customWidth="1"/>
    <col min="4098" max="4098" width="31.6640625" style="308" customWidth="1"/>
    <col min="4099" max="4352" width="9.109375" style="308"/>
    <col min="4353" max="4353" width="55.6640625" style="308" customWidth="1"/>
    <col min="4354" max="4354" width="31.6640625" style="308" customWidth="1"/>
    <col min="4355" max="4608" width="9.109375" style="308"/>
    <col min="4609" max="4609" width="55.6640625" style="308" customWidth="1"/>
    <col min="4610" max="4610" width="31.6640625" style="308" customWidth="1"/>
    <col min="4611" max="4864" width="9.109375" style="308"/>
    <col min="4865" max="4865" width="55.6640625" style="308" customWidth="1"/>
    <col min="4866" max="4866" width="31.6640625" style="308" customWidth="1"/>
    <col min="4867" max="5120" width="9.109375" style="308"/>
    <col min="5121" max="5121" width="55.6640625" style="308" customWidth="1"/>
    <col min="5122" max="5122" width="31.6640625" style="308" customWidth="1"/>
    <col min="5123" max="5376" width="9.109375" style="308"/>
    <col min="5377" max="5377" width="55.6640625" style="308" customWidth="1"/>
    <col min="5378" max="5378" width="31.6640625" style="308" customWidth="1"/>
    <col min="5379" max="5632" width="9.109375" style="308"/>
    <col min="5633" max="5633" width="55.6640625" style="308" customWidth="1"/>
    <col min="5634" max="5634" width="31.6640625" style="308" customWidth="1"/>
    <col min="5635" max="5888" width="9.109375" style="308"/>
    <col min="5889" max="5889" width="55.6640625" style="308" customWidth="1"/>
    <col min="5890" max="5890" width="31.6640625" style="308" customWidth="1"/>
    <col min="5891" max="6144" width="9.109375" style="308"/>
    <col min="6145" max="6145" width="55.6640625" style="308" customWidth="1"/>
    <col min="6146" max="6146" width="31.6640625" style="308" customWidth="1"/>
    <col min="6147" max="6400" width="9.109375" style="308"/>
    <col min="6401" max="6401" width="55.6640625" style="308" customWidth="1"/>
    <col min="6402" max="6402" width="31.6640625" style="308" customWidth="1"/>
    <col min="6403" max="6656" width="9.109375" style="308"/>
    <col min="6657" max="6657" width="55.6640625" style="308" customWidth="1"/>
    <col min="6658" max="6658" width="31.6640625" style="308" customWidth="1"/>
    <col min="6659" max="6912" width="9.109375" style="308"/>
    <col min="6913" max="6913" width="55.6640625" style="308" customWidth="1"/>
    <col min="6914" max="6914" width="31.6640625" style="308" customWidth="1"/>
    <col min="6915" max="7168" width="9.109375" style="308"/>
    <col min="7169" max="7169" width="55.6640625" style="308" customWidth="1"/>
    <col min="7170" max="7170" width="31.6640625" style="308" customWidth="1"/>
    <col min="7171" max="7424" width="9.109375" style="308"/>
    <col min="7425" max="7425" width="55.6640625" style="308" customWidth="1"/>
    <col min="7426" max="7426" width="31.6640625" style="308" customWidth="1"/>
    <col min="7427" max="7680" width="9.109375" style="308"/>
    <col min="7681" max="7681" width="55.6640625" style="308" customWidth="1"/>
    <col min="7682" max="7682" width="31.6640625" style="308" customWidth="1"/>
    <col min="7683" max="7936" width="9.109375" style="308"/>
    <col min="7937" max="7937" width="55.6640625" style="308" customWidth="1"/>
    <col min="7938" max="7938" width="31.6640625" style="308" customWidth="1"/>
    <col min="7939" max="8192" width="9.109375" style="308"/>
    <col min="8193" max="8193" width="55.6640625" style="308" customWidth="1"/>
    <col min="8194" max="8194" width="31.6640625" style="308" customWidth="1"/>
    <col min="8195" max="8448" width="9.109375" style="308"/>
    <col min="8449" max="8449" width="55.6640625" style="308" customWidth="1"/>
    <col min="8450" max="8450" width="31.6640625" style="308" customWidth="1"/>
    <col min="8451" max="8704" width="9.109375" style="308"/>
    <col min="8705" max="8705" width="55.6640625" style="308" customWidth="1"/>
    <col min="8706" max="8706" width="31.6640625" style="308" customWidth="1"/>
    <col min="8707" max="8960" width="9.109375" style="308"/>
    <col min="8961" max="8961" width="55.6640625" style="308" customWidth="1"/>
    <col min="8962" max="8962" width="31.6640625" style="308" customWidth="1"/>
    <col min="8963" max="9216" width="9.109375" style="308"/>
    <col min="9217" max="9217" width="55.6640625" style="308" customWidth="1"/>
    <col min="9218" max="9218" width="31.6640625" style="308" customWidth="1"/>
    <col min="9219" max="9472" width="9.109375" style="308"/>
    <col min="9473" max="9473" width="55.6640625" style="308" customWidth="1"/>
    <col min="9474" max="9474" width="31.6640625" style="308" customWidth="1"/>
    <col min="9475" max="9728" width="9.109375" style="308"/>
    <col min="9729" max="9729" width="55.6640625" style="308" customWidth="1"/>
    <col min="9730" max="9730" width="31.6640625" style="308" customWidth="1"/>
    <col min="9731" max="9984" width="9.109375" style="308"/>
    <col min="9985" max="9985" width="55.6640625" style="308" customWidth="1"/>
    <col min="9986" max="9986" width="31.6640625" style="308" customWidth="1"/>
    <col min="9987" max="10240" width="9.109375" style="308"/>
    <col min="10241" max="10241" width="55.6640625" style="308" customWidth="1"/>
    <col min="10242" max="10242" width="31.6640625" style="308" customWidth="1"/>
    <col min="10243" max="10496" width="9.109375" style="308"/>
    <col min="10497" max="10497" width="55.6640625" style="308" customWidth="1"/>
    <col min="10498" max="10498" width="31.6640625" style="308" customWidth="1"/>
    <col min="10499" max="10752" width="9.109375" style="308"/>
    <col min="10753" max="10753" width="55.6640625" style="308" customWidth="1"/>
    <col min="10754" max="10754" width="31.6640625" style="308" customWidth="1"/>
    <col min="10755" max="11008" width="9.109375" style="308"/>
    <col min="11009" max="11009" width="55.6640625" style="308" customWidth="1"/>
    <col min="11010" max="11010" width="31.6640625" style="308" customWidth="1"/>
    <col min="11011" max="11264" width="9.109375" style="308"/>
    <col min="11265" max="11265" width="55.6640625" style="308" customWidth="1"/>
    <col min="11266" max="11266" width="31.6640625" style="308" customWidth="1"/>
    <col min="11267" max="11520" width="9.109375" style="308"/>
    <col min="11521" max="11521" width="55.6640625" style="308" customWidth="1"/>
    <col min="11522" max="11522" width="31.6640625" style="308" customWidth="1"/>
    <col min="11523" max="11776" width="9.109375" style="308"/>
    <col min="11777" max="11777" width="55.6640625" style="308" customWidth="1"/>
    <col min="11778" max="11778" width="31.6640625" style="308" customWidth="1"/>
    <col min="11779" max="12032" width="9.109375" style="308"/>
    <col min="12033" max="12033" width="55.6640625" style="308" customWidth="1"/>
    <col min="12034" max="12034" width="31.6640625" style="308" customWidth="1"/>
    <col min="12035" max="12288" width="9.109375" style="308"/>
    <col min="12289" max="12289" width="55.6640625" style="308" customWidth="1"/>
    <col min="12290" max="12290" width="31.6640625" style="308" customWidth="1"/>
    <col min="12291" max="12544" width="9.109375" style="308"/>
    <col min="12545" max="12545" width="55.6640625" style="308" customWidth="1"/>
    <col min="12546" max="12546" width="31.6640625" style="308" customWidth="1"/>
    <col min="12547" max="12800" width="9.109375" style="308"/>
    <col min="12801" max="12801" width="55.6640625" style="308" customWidth="1"/>
    <col min="12802" max="12802" width="31.6640625" style="308" customWidth="1"/>
    <col min="12803" max="13056" width="9.109375" style="308"/>
    <col min="13057" max="13057" width="55.6640625" style="308" customWidth="1"/>
    <col min="13058" max="13058" width="31.6640625" style="308" customWidth="1"/>
    <col min="13059" max="13312" width="9.109375" style="308"/>
    <col min="13313" max="13313" width="55.6640625" style="308" customWidth="1"/>
    <col min="13314" max="13314" width="31.6640625" style="308" customWidth="1"/>
    <col min="13315" max="13568" width="9.109375" style="308"/>
    <col min="13569" max="13569" width="55.6640625" style="308" customWidth="1"/>
    <col min="13570" max="13570" width="31.6640625" style="308" customWidth="1"/>
    <col min="13571" max="13824" width="9.109375" style="308"/>
    <col min="13825" max="13825" width="55.6640625" style="308" customWidth="1"/>
    <col min="13826" max="13826" width="31.6640625" style="308" customWidth="1"/>
    <col min="13827" max="14080" width="9.109375" style="308"/>
    <col min="14081" max="14081" width="55.6640625" style="308" customWidth="1"/>
    <col min="14082" max="14082" width="31.6640625" style="308" customWidth="1"/>
    <col min="14083" max="14336" width="9.109375" style="308"/>
    <col min="14337" max="14337" width="55.6640625" style="308" customWidth="1"/>
    <col min="14338" max="14338" width="31.6640625" style="308" customWidth="1"/>
    <col min="14339" max="14592" width="9.109375" style="308"/>
    <col min="14593" max="14593" width="55.6640625" style="308" customWidth="1"/>
    <col min="14594" max="14594" width="31.6640625" style="308" customWidth="1"/>
    <col min="14595" max="14848" width="9.109375" style="308"/>
    <col min="14849" max="14849" width="55.6640625" style="308" customWidth="1"/>
    <col min="14850" max="14850" width="31.6640625" style="308" customWidth="1"/>
    <col min="14851" max="15104" width="9.109375" style="308"/>
    <col min="15105" max="15105" width="55.6640625" style="308" customWidth="1"/>
    <col min="15106" max="15106" width="31.6640625" style="308" customWidth="1"/>
    <col min="15107" max="15360" width="9.109375" style="308"/>
    <col min="15361" max="15361" width="55.6640625" style="308" customWidth="1"/>
    <col min="15362" max="15362" width="31.6640625" style="308" customWidth="1"/>
    <col min="15363" max="15616" width="9.109375" style="308"/>
    <col min="15617" max="15617" width="55.6640625" style="308" customWidth="1"/>
    <col min="15618" max="15618" width="31.6640625" style="308" customWidth="1"/>
    <col min="15619" max="15872" width="9.109375" style="308"/>
    <col min="15873" max="15873" width="55.6640625" style="308" customWidth="1"/>
    <col min="15874" max="15874" width="31.6640625" style="308" customWidth="1"/>
    <col min="15875" max="16128" width="9.109375" style="308"/>
    <col min="16129" max="16129" width="55.6640625" style="308" customWidth="1"/>
    <col min="16130" max="16130" width="31.6640625" style="308" customWidth="1"/>
    <col min="16131" max="16384" width="9.109375" style="308"/>
  </cols>
  <sheetData>
    <row r="1" spans="1:3" ht="15.75" customHeight="1">
      <c r="A1" s="306"/>
      <c r="B1" s="307"/>
    </row>
    <row r="2" spans="1:3" ht="15" customHeight="1">
      <c r="A2" s="306"/>
      <c r="B2" s="309" t="s">
        <v>1286</v>
      </c>
    </row>
    <row r="3" spans="1:3">
      <c r="A3" s="940" t="s">
        <v>1287</v>
      </c>
      <c r="B3" s="940"/>
    </row>
    <row r="4" spans="1:3">
      <c r="A4" s="310"/>
      <c r="B4" s="307"/>
    </row>
    <row r="5" spans="1:3">
      <c r="B5" s="307"/>
    </row>
    <row r="6" spans="1:3">
      <c r="A6" s="311" t="s">
        <v>1288</v>
      </c>
      <c r="B6" s="941"/>
      <c r="C6" s="941"/>
    </row>
    <row r="7" spans="1:3">
      <c r="A7" s="312" t="s">
        <v>46</v>
      </c>
      <c r="B7" s="941"/>
      <c r="C7" s="941"/>
    </row>
    <row r="8" spans="1:3">
      <c r="A8" s="312" t="s">
        <v>1289</v>
      </c>
      <c r="B8" s="941"/>
      <c r="C8" s="941"/>
    </row>
    <row r="9" spans="1:3">
      <c r="A9" s="312" t="s">
        <v>48</v>
      </c>
      <c r="B9" s="313"/>
      <c r="C9" s="313"/>
    </row>
    <row r="10" spans="1:3">
      <c r="A10" s="314"/>
      <c r="B10" s="313"/>
      <c r="C10" s="313"/>
    </row>
    <row r="11" spans="1:3">
      <c r="A11" s="314"/>
      <c r="B11" s="313"/>
      <c r="C11" s="313"/>
    </row>
    <row r="12" spans="1:3">
      <c r="A12" s="958" t="s">
        <v>1290</v>
      </c>
      <c r="B12" s="958"/>
      <c r="C12" s="941"/>
    </row>
    <row r="13" spans="1:3">
      <c r="A13" s="943" t="s">
        <v>1291</v>
      </c>
      <c r="B13" s="943"/>
      <c r="C13" s="941"/>
    </row>
    <row r="14" spans="1:3" ht="41.25" customHeight="1">
      <c r="A14" s="314" t="s">
        <v>1292</v>
      </c>
      <c r="B14" s="314"/>
      <c r="C14" s="313"/>
    </row>
    <row r="15" spans="1:3">
      <c r="A15" s="314"/>
      <c r="B15" s="314"/>
      <c r="C15" s="313"/>
    </row>
    <row r="16" spans="1:3">
      <c r="A16" s="942"/>
      <c r="B16" s="942"/>
      <c r="C16" s="941"/>
    </row>
    <row r="17" spans="1:3">
      <c r="A17" s="942" t="s">
        <v>1293</v>
      </c>
      <c r="B17" s="942"/>
      <c r="C17" s="941"/>
    </row>
    <row r="18" spans="1:3">
      <c r="A18" s="315" t="s">
        <v>2649</v>
      </c>
      <c r="B18" s="315"/>
      <c r="C18" s="313"/>
    </row>
    <row r="19" spans="1:3">
      <c r="A19" s="942" t="s">
        <v>1294</v>
      </c>
      <c r="B19" s="942"/>
      <c r="C19" s="313"/>
    </row>
    <row r="20" spans="1:3">
      <c r="A20" s="914" t="s">
        <v>2768</v>
      </c>
      <c r="B20" s="315"/>
      <c r="C20" s="313"/>
    </row>
    <row r="21" spans="1:3">
      <c r="A21" s="315"/>
      <c r="B21" s="315"/>
      <c r="C21" s="313"/>
    </row>
    <row r="22" spans="1:3">
      <c r="A22" s="315"/>
      <c r="B22" s="315"/>
      <c r="C22" s="313"/>
    </row>
    <row r="23" spans="1:3">
      <c r="A23" s="315"/>
      <c r="B23" s="315"/>
      <c r="C23" s="313"/>
    </row>
    <row r="24" spans="1:3" ht="25.5" customHeight="1">
      <c r="A24" s="957" t="s">
        <v>1295</v>
      </c>
      <c r="B24" s="957"/>
      <c r="C24" s="313"/>
    </row>
    <row r="25" spans="1:3">
      <c r="A25" s="315"/>
      <c r="B25" s="315"/>
      <c r="C25" s="313"/>
    </row>
    <row r="26" spans="1:3">
      <c r="A26" s="315"/>
      <c r="B26" s="315"/>
      <c r="C26" s="313"/>
    </row>
    <row r="27" spans="1:3">
      <c r="A27" s="315"/>
      <c r="B27" s="315"/>
      <c r="C27" s="313"/>
    </row>
    <row r="28" spans="1:3">
      <c r="A28" s="942"/>
      <c r="B28" s="942"/>
      <c r="C28" s="941"/>
    </row>
    <row r="29" spans="1:3">
      <c r="A29" s="942"/>
      <c r="B29" s="942"/>
      <c r="C29" s="941"/>
    </row>
    <row r="30" spans="1:3">
      <c r="A30" s="315"/>
      <c r="B30" s="315"/>
      <c r="C30" s="313"/>
    </row>
    <row r="31" spans="1:3">
      <c r="A31" s="942"/>
      <c r="B31" s="942"/>
      <c r="C31" s="941"/>
    </row>
    <row r="32" spans="1:3">
      <c r="A32" s="942"/>
      <c r="B32" s="942"/>
      <c r="C32" s="941"/>
    </row>
    <row r="33" spans="1:4" ht="15.6">
      <c r="A33" s="944"/>
      <c r="B33" s="944"/>
      <c r="C33" s="941"/>
    </row>
    <row r="34" spans="1:4" ht="15.6">
      <c r="A34" s="944"/>
      <c r="B34" s="944"/>
      <c r="C34" s="941"/>
    </row>
    <row r="35" spans="1:4">
      <c r="A35" s="315"/>
      <c r="B35" s="315"/>
      <c r="C35" s="313"/>
    </row>
    <row r="36" spans="1:4">
      <c r="A36" s="311"/>
      <c r="B36" s="316"/>
      <c r="C36" s="313"/>
    </row>
    <row r="37" spans="1:4">
      <c r="A37" s="311"/>
      <c r="B37" s="317"/>
      <c r="C37" s="313"/>
    </row>
    <row r="38" spans="1:4">
      <c r="A38" s="318"/>
      <c r="B38" s="317"/>
      <c r="C38" s="313"/>
    </row>
    <row r="39" spans="1:4" s="318" customFormat="1">
      <c r="B39" s="319"/>
    </row>
    <row r="40" spans="1:4">
      <c r="A40" s="318"/>
      <c r="B40" s="320"/>
      <c r="C40" s="321"/>
      <c r="D40" s="313"/>
    </row>
    <row r="41" spans="1:4">
      <c r="A41" s="315"/>
      <c r="B41" s="315"/>
      <c r="C41" s="313"/>
    </row>
    <row r="42" spans="1:4">
      <c r="A42" s="318"/>
      <c r="B42" s="320"/>
      <c r="C42" s="321"/>
      <c r="D42" s="313"/>
    </row>
    <row r="43" spans="1:4">
      <c r="A43" s="318"/>
      <c r="B43" s="322"/>
      <c r="C43" s="313"/>
    </row>
    <row r="44" spans="1:4">
      <c r="A44" s="323"/>
      <c r="B44" s="321"/>
    </row>
    <row r="45" spans="1:4">
      <c r="A45" s="311"/>
      <c r="B45" s="324"/>
      <c r="C45" s="313"/>
    </row>
    <row r="46" spans="1:4">
      <c r="A46" s="315"/>
      <c r="B46" s="315"/>
      <c r="C46" s="313"/>
    </row>
    <row r="47" spans="1:4" s="325" customFormat="1">
      <c r="A47" s="956"/>
      <c r="B47" s="956"/>
      <c r="C47" s="313"/>
    </row>
    <row r="48" spans="1:4">
      <c r="A48" s="942"/>
      <c r="B48" s="942"/>
      <c r="C48" s="313"/>
    </row>
    <row r="49" spans="1:3">
      <c r="A49" s="942"/>
      <c r="B49" s="942"/>
      <c r="C49" s="313"/>
    </row>
    <row r="50" spans="1:3">
      <c r="C50" s="313"/>
    </row>
    <row r="51" spans="1:3">
      <c r="C51" s="941"/>
    </row>
    <row r="52" spans="1:3">
      <c r="C52" s="941"/>
    </row>
    <row r="53" spans="1:3">
      <c r="C53" s="941"/>
    </row>
  </sheetData>
  <mergeCells count="22">
    <mergeCell ref="A16:B16"/>
    <mergeCell ref="C16:C17"/>
    <mergeCell ref="A17:B17"/>
    <mergeCell ref="A3:B3"/>
    <mergeCell ref="B6:C8"/>
    <mergeCell ref="A12:B12"/>
    <mergeCell ref="C12:C13"/>
    <mergeCell ref="A13:B13"/>
    <mergeCell ref="A47:B47"/>
    <mergeCell ref="A48:B48"/>
    <mergeCell ref="A49:B49"/>
    <mergeCell ref="C51:C53"/>
    <mergeCell ref="A19:B19"/>
    <mergeCell ref="A28:B28"/>
    <mergeCell ref="C28:C29"/>
    <mergeCell ref="A29:B29"/>
    <mergeCell ref="A31:B31"/>
    <mergeCell ref="C31:C34"/>
    <mergeCell ref="A32:B32"/>
    <mergeCell ref="A33:B33"/>
    <mergeCell ref="A34:B34"/>
    <mergeCell ref="A24:B24"/>
  </mergeCells>
  <pageMargins left="0.94488188976377963" right="0.23622047244094491" top="0.35433070866141736" bottom="0.98425196850393704" header="0.51181102362204722" footer="0.51181102362204722"/>
  <pageSetup paperSize="9"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50"/>
  <sheetViews>
    <sheetView showZeros="0" view="pageBreakPreview" topLeftCell="A338" zoomScaleNormal="100" zoomScaleSheetLayoutView="100" workbookViewId="0">
      <selection activeCell="E343" sqref="E343"/>
    </sheetView>
  </sheetViews>
  <sheetFormatPr defaultRowHeight="13.2"/>
  <cols>
    <col min="1" max="1" width="10.44140625" style="331" customWidth="1"/>
    <col min="2" max="2" width="44.33203125" style="380" customWidth="1"/>
    <col min="3" max="3" width="8.33203125" style="336" customWidth="1"/>
    <col min="4" max="4" width="9.88671875" style="334" customWidth="1"/>
    <col min="5" max="5" width="10.88671875" style="334" customWidth="1"/>
    <col min="6" max="6" width="12.44140625" style="334" customWidth="1"/>
    <col min="7" max="256" width="9.109375" style="308"/>
    <col min="257" max="257" width="10.44140625" style="308" customWidth="1"/>
    <col min="258" max="258" width="44.33203125" style="308" customWidth="1"/>
    <col min="259" max="259" width="8.33203125" style="308" customWidth="1"/>
    <col min="260" max="260" width="9.88671875" style="308" customWidth="1"/>
    <col min="261" max="261" width="10.88671875" style="308" customWidth="1"/>
    <col min="262" max="262" width="12.44140625" style="308" customWidth="1"/>
    <col min="263" max="512" width="9.109375" style="308"/>
    <col min="513" max="513" width="10.44140625" style="308" customWidth="1"/>
    <col min="514" max="514" width="44.33203125" style="308" customWidth="1"/>
    <col min="515" max="515" width="8.33203125" style="308" customWidth="1"/>
    <col min="516" max="516" width="9.88671875" style="308" customWidth="1"/>
    <col min="517" max="517" width="10.88671875" style="308" customWidth="1"/>
    <col min="518" max="518" width="12.44140625" style="308" customWidth="1"/>
    <col min="519" max="768" width="9.109375" style="308"/>
    <col min="769" max="769" width="10.44140625" style="308" customWidth="1"/>
    <col min="770" max="770" width="44.33203125" style="308" customWidth="1"/>
    <col min="771" max="771" width="8.33203125" style="308" customWidth="1"/>
    <col min="772" max="772" width="9.88671875" style="308" customWidth="1"/>
    <col min="773" max="773" width="10.88671875" style="308" customWidth="1"/>
    <col min="774" max="774" width="12.44140625" style="308" customWidth="1"/>
    <col min="775" max="1024" width="9.109375" style="308"/>
    <col min="1025" max="1025" width="10.44140625" style="308" customWidth="1"/>
    <col min="1026" max="1026" width="44.33203125" style="308" customWidth="1"/>
    <col min="1027" max="1027" width="8.33203125" style="308" customWidth="1"/>
    <col min="1028" max="1028" width="9.88671875" style="308" customWidth="1"/>
    <col min="1029" max="1029" width="10.88671875" style="308" customWidth="1"/>
    <col min="1030" max="1030" width="12.44140625" style="308" customWidth="1"/>
    <col min="1031" max="1280" width="9.109375" style="308"/>
    <col min="1281" max="1281" width="10.44140625" style="308" customWidth="1"/>
    <col min="1282" max="1282" width="44.33203125" style="308" customWidth="1"/>
    <col min="1283" max="1283" width="8.33203125" style="308" customWidth="1"/>
    <col min="1284" max="1284" width="9.88671875" style="308" customWidth="1"/>
    <col min="1285" max="1285" width="10.88671875" style="308" customWidth="1"/>
    <col min="1286" max="1286" width="12.44140625" style="308" customWidth="1"/>
    <col min="1287" max="1536" width="9.109375" style="308"/>
    <col min="1537" max="1537" width="10.44140625" style="308" customWidth="1"/>
    <col min="1538" max="1538" width="44.33203125" style="308" customWidth="1"/>
    <col min="1539" max="1539" width="8.33203125" style="308" customWidth="1"/>
    <col min="1540" max="1540" width="9.88671875" style="308" customWidth="1"/>
    <col min="1541" max="1541" width="10.88671875" style="308" customWidth="1"/>
    <col min="1542" max="1542" width="12.44140625" style="308" customWidth="1"/>
    <col min="1543" max="1792" width="9.109375" style="308"/>
    <col min="1793" max="1793" width="10.44140625" style="308" customWidth="1"/>
    <col min="1794" max="1794" width="44.33203125" style="308" customWidth="1"/>
    <col min="1795" max="1795" width="8.33203125" style="308" customWidth="1"/>
    <col min="1796" max="1796" width="9.88671875" style="308" customWidth="1"/>
    <col min="1797" max="1797" width="10.88671875" style="308" customWidth="1"/>
    <col min="1798" max="1798" width="12.44140625" style="308" customWidth="1"/>
    <col min="1799" max="2048" width="9.109375" style="308"/>
    <col min="2049" max="2049" width="10.44140625" style="308" customWidth="1"/>
    <col min="2050" max="2050" width="44.33203125" style="308" customWidth="1"/>
    <col min="2051" max="2051" width="8.33203125" style="308" customWidth="1"/>
    <col min="2052" max="2052" width="9.88671875" style="308" customWidth="1"/>
    <col min="2053" max="2053" width="10.88671875" style="308" customWidth="1"/>
    <col min="2054" max="2054" width="12.44140625" style="308" customWidth="1"/>
    <col min="2055" max="2304" width="9.109375" style="308"/>
    <col min="2305" max="2305" width="10.44140625" style="308" customWidth="1"/>
    <col min="2306" max="2306" width="44.33203125" style="308" customWidth="1"/>
    <col min="2307" max="2307" width="8.33203125" style="308" customWidth="1"/>
    <col min="2308" max="2308" width="9.88671875" style="308" customWidth="1"/>
    <col min="2309" max="2309" width="10.88671875" style="308" customWidth="1"/>
    <col min="2310" max="2310" width="12.44140625" style="308" customWidth="1"/>
    <col min="2311" max="2560" width="9.109375" style="308"/>
    <col min="2561" max="2561" width="10.44140625" style="308" customWidth="1"/>
    <col min="2562" max="2562" width="44.33203125" style="308" customWidth="1"/>
    <col min="2563" max="2563" width="8.33203125" style="308" customWidth="1"/>
    <col min="2564" max="2564" width="9.88671875" style="308" customWidth="1"/>
    <col min="2565" max="2565" width="10.88671875" style="308" customWidth="1"/>
    <col min="2566" max="2566" width="12.44140625" style="308" customWidth="1"/>
    <col min="2567" max="2816" width="9.109375" style="308"/>
    <col min="2817" max="2817" width="10.44140625" style="308" customWidth="1"/>
    <col min="2818" max="2818" width="44.33203125" style="308" customWidth="1"/>
    <col min="2819" max="2819" width="8.33203125" style="308" customWidth="1"/>
    <col min="2820" max="2820" width="9.88671875" style="308" customWidth="1"/>
    <col min="2821" max="2821" width="10.88671875" style="308" customWidth="1"/>
    <col min="2822" max="2822" width="12.44140625" style="308" customWidth="1"/>
    <col min="2823" max="3072" width="9.109375" style="308"/>
    <col min="3073" max="3073" width="10.44140625" style="308" customWidth="1"/>
    <col min="3074" max="3074" width="44.33203125" style="308" customWidth="1"/>
    <col min="3075" max="3075" width="8.33203125" style="308" customWidth="1"/>
    <col min="3076" max="3076" width="9.88671875" style="308" customWidth="1"/>
    <col min="3077" max="3077" width="10.88671875" style="308" customWidth="1"/>
    <col min="3078" max="3078" width="12.44140625" style="308" customWidth="1"/>
    <col min="3079" max="3328" width="9.109375" style="308"/>
    <col min="3329" max="3329" width="10.44140625" style="308" customWidth="1"/>
    <col min="3330" max="3330" width="44.33203125" style="308" customWidth="1"/>
    <col min="3331" max="3331" width="8.33203125" style="308" customWidth="1"/>
    <col min="3332" max="3332" width="9.88671875" style="308" customWidth="1"/>
    <col min="3333" max="3333" width="10.88671875" style="308" customWidth="1"/>
    <col min="3334" max="3334" width="12.44140625" style="308" customWidth="1"/>
    <col min="3335" max="3584" width="9.109375" style="308"/>
    <col min="3585" max="3585" width="10.44140625" style="308" customWidth="1"/>
    <col min="3586" max="3586" width="44.33203125" style="308" customWidth="1"/>
    <col min="3587" max="3587" width="8.33203125" style="308" customWidth="1"/>
    <col min="3588" max="3588" width="9.88671875" style="308" customWidth="1"/>
    <col min="3589" max="3589" width="10.88671875" style="308" customWidth="1"/>
    <col min="3590" max="3590" width="12.44140625" style="308" customWidth="1"/>
    <col min="3591" max="3840" width="9.109375" style="308"/>
    <col min="3841" max="3841" width="10.44140625" style="308" customWidth="1"/>
    <col min="3842" max="3842" width="44.33203125" style="308" customWidth="1"/>
    <col min="3843" max="3843" width="8.33203125" style="308" customWidth="1"/>
    <col min="3844" max="3844" width="9.88671875" style="308" customWidth="1"/>
    <col min="3845" max="3845" width="10.88671875" style="308" customWidth="1"/>
    <col min="3846" max="3846" width="12.44140625" style="308" customWidth="1"/>
    <col min="3847" max="4096" width="9.109375" style="308"/>
    <col min="4097" max="4097" width="10.44140625" style="308" customWidth="1"/>
    <col min="4098" max="4098" width="44.33203125" style="308" customWidth="1"/>
    <col min="4099" max="4099" width="8.33203125" style="308" customWidth="1"/>
    <col min="4100" max="4100" width="9.88671875" style="308" customWidth="1"/>
    <col min="4101" max="4101" width="10.88671875" style="308" customWidth="1"/>
    <col min="4102" max="4102" width="12.44140625" style="308" customWidth="1"/>
    <col min="4103" max="4352" width="9.109375" style="308"/>
    <col min="4353" max="4353" width="10.44140625" style="308" customWidth="1"/>
    <col min="4354" max="4354" width="44.33203125" style="308" customWidth="1"/>
    <col min="4355" max="4355" width="8.33203125" style="308" customWidth="1"/>
    <col min="4356" max="4356" width="9.88671875" style="308" customWidth="1"/>
    <col min="4357" max="4357" width="10.88671875" style="308" customWidth="1"/>
    <col min="4358" max="4358" width="12.44140625" style="308" customWidth="1"/>
    <col min="4359" max="4608" width="9.109375" style="308"/>
    <col min="4609" max="4609" width="10.44140625" style="308" customWidth="1"/>
    <col min="4610" max="4610" width="44.33203125" style="308" customWidth="1"/>
    <col min="4611" max="4611" width="8.33203125" style="308" customWidth="1"/>
    <col min="4612" max="4612" width="9.88671875" style="308" customWidth="1"/>
    <col min="4613" max="4613" width="10.88671875" style="308" customWidth="1"/>
    <col min="4614" max="4614" width="12.44140625" style="308" customWidth="1"/>
    <col min="4615" max="4864" width="9.109375" style="308"/>
    <col min="4865" max="4865" width="10.44140625" style="308" customWidth="1"/>
    <col min="4866" max="4866" width="44.33203125" style="308" customWidth="1"/>
    <col min="4867" max="4867" width="8.33203125" style="308" customWidth="1"/>
    <col min="4868" max="4868" width="9.88671875" style="308" customWidth="1"/>
    <col min="4869" max="4869" width="10.88671875" style="308" customWidth="1"/>
    <col min="4870" max="4870" width="12.44140625" style="308" customWidth="1"/>
    <col min="4871" max="5120" width="9.109375" style="308"/>
    <col min="5121" max="5121" width="10.44140625" style="308" customWidth="1"/>
    <col min="5122" max="5122" width="44.33203125" style="308" customWidth="1"/>
    <col min="5123" max="5123" width="8.33203125" style="308" customWidth="1"/>
    <col min="5124" max="5124" width="9.88671875" style="308" customWidth="1"/>
    <col min="5125" max="5125" width="10.88671875" style="308" customWidth="1"/>
    <col min="5126" max="5126" width="12.44140625" style="308" customWidth="1"/>
    <col min="5127" max="5376" width="9.109375" style="308"/>
    <col min="5377" max="5377" width="10.44140625" style="308" customWidth="1"/>
    <col min="5378" max="5378" width="44.33203125" style="308" customWidth="1"/>
    <col min="5379" max="5379" width="8.33203125" style="308" customWidth="1"/>
    <col min="5380" max="5380" width="9.88671875" style="308" customWidth="1"/>
    <col min="5381" max="5381" width="10.88671875" style="308" customWidth="1"/>
    <col min="5382" max="5382" width="12.44140625" style="308" customWidth="1"/>
    <col min="5383" max="5632" width="9.109375" style="308"/>
    <col min="5633" max="5633" width="10.44140625" style="308" customWidth="1"/>
    <col min="5634" max="5634" width="44.33203125" style="308" customWidth="1"/>
    <col min="5635" max="5635" width="8.33203125" style="308" customWidth="1"/>
    <col min="5636" max="5636" width="9.88671875" style="308" customWidth="1"/>
    <col min="5637" max="5637" width="10.88671875" style="308" customWidth="1"/>
    <col min="5638" max="5638" width="12.44140625" style="308" customWidth="1"/>
    <col min="5639" max="5888" width="9.109375" style="308"/>
    <col min="5889" max="5889" width="10.44140625" style="308" customWidth="1"/>
    <col min="5890" max="5890" width="44.33203125" style="308" customWidth="1"/>
    <col min="5891" max="5891" width="8.33203125" style="308" customWidth="1"/>
    <col min="5892" max="5892" width="9.88671875" style="308" customWidth="1"/>
    <col min="5893" max="5893" width="10.88671875" style="308" customWidth="1"/>
    <col min="5894" max="5894" width="12.44140625" style="308" customWidth="1"/>
    <col min="5895" max="6144" width="9.109375" style="308"/>
    <col min="6145" max="6145" width="10.44140625" style="308" customWidth="1"/>
    <col min="6146" max="6146" width="44.33203125" style="308" customWidth="1"/>
    <col min="6147" max="6147" width="8.33203125" style="308" customWidth="1"/>
    <col min="6148" max="6148" width="9.88671875" style="308" customWidth="1"/>
    <col min="6149" max="6149" width="10.88671875" style="308" customWidth="1"/>
    <col min="6150" max="6150" width="12.44140625" style="308" customWidth="1"/>
    <col min="6151" max="6400" width="9.109375" style="308"/>
    <col min="6401" max="6401" width="10.44140625" style="308" customWidth="1"/>
    <col min="6402" max="6402" width="44.33203125" style="308" customWidth="1"/>
    <col min="6403" max="6403" width="8.33203125" style="308" customWidth="1"/>
    <col min="6404" max="6404" width="9.88671875" style="308" customWidth="1"/>
    <col min="6405" max="6405" width="10.88671875" style="308" customWidth="1"/>
    <col min="6406" max="6406" width="12.44140625" style="308" customWidth="1"/>
    <col min="6407" max="6656" width="9.109375" style="308"/>
    <col min="6657" max="6657" width="10.44140625" style="308" customWidth="1"/>
    <col min="6658" max="6658" width="44.33203125" style="308" customWidth="1"/>
    <col min="6659" max="6659" width="8.33203125" style="308" customWidth="1"/>
    <col min="6660" max="6660" width="9.88671875" style="308" customWidth="1"/>
    <col min="6661" max="6661" width="10.88671875" style="308" customWidth="1"/>
    <col min="6662" max="6662" width="12.44140625" style="308" customWidth="1"/>
    <col min="6663" max="6912" width="9.109375" style="308"/>
    <col min="6913" max="6913" width="10.44140625" style="308" customWidth="1"/>
    <col min="6914" max="6914" width="44.33203125" style="308" customWidth="1"/>
    <col min="6915" max="6915" width="8.33203125" style="308" customWidth="1"/>
    <col min="6916" max="6916" width="9.88671875" style="308" customWidth="1"/>
    <col min="6917" max="6917" width="10.88671875" style="308" customWidth="1"/>
    <col min="6918" max="6918" width="12.44140625" style="308" customWidth="1"/>
    <col min="6919" max="7168" width="9.109375" style="308"/>
    <col min="7169" max="7169" width="10.44140625" style="308" customWidth="1"/>
    <col min="7170" max="7170" width="44.33203125" style="308" customWidth="1"/>
    <col min="7171" max="7171" width="8.33203125" style="308" customWidth="1"/>
    <col min="7172" max="7172" width="9.88671875" style="308" customWidth="1"/>
    <col min="7173" max="7173" width="10.88671875" style="308" customWidth="1"/>
    <col min="7174" max="7174" width="12.44140625" style="308" customWidth="1"/>
    <col min="7175" max="7424" width="9.109375" style="308"/>
    <col min="7425" max="7425" width="10.44140625" style="308" customWidth="1"/>
    <col min="7426" max="7426" width="44.33203125" style="308" customWidth="1"/>
    <col min="7427" max="7427" width="8.33203125" style="308" customWidth="1"/>
    <col min="7428" max="7428" width="9.88671875" style="308" customWidth="1"/>
    <col min="7429" max="7429" width="10.88671875" style="308" customWidth="1"/>
    <col min="7430" max="7430" width="12.44140625" style="308" customWidth="1"/>
    <col min="7431" max="7680" width="9.109375" style="308"/>
    <col min="7681" max="7681" width="10.44140625" style="308" customWidth="1"/>
    <col min="7682" max="7682" width="44.33203125" style="308" customWidth="1"/>
    <col min="7683" max="7683" width="8.33203125" style="308" customWidth="1"/>
    <col min="7684" max="7684" width="9.88671875" style="308" customWidth="1"/>
    <col min="7685" max="7685" width="10.88671875" style="308" customWidth="1"/>
    <col min="7686" max="7686" width="12.44140625" style="308" customWidth="1"/>
    <col min="7687" max="7936" width="9.109375" style="308"/>
    <col min="7937" max="7937" width="10.44140625" style="308" customWidth="1"/>
    <col min="7938" max="7938" width="44.33203125" style="308" customWidth="1"/>
    <col min="7939" max="7939" width="8.33203125" style="308" customWidth="1"/>
    <col min="7940" max="7940" width="9.88671875" style="308" customWidth="1"/>
    <col min="7941" max="7941" width="10.88671875" style="308" customWidth="1"/>
    <col min="7942" max="7942" width="12.44140625" style="308" customWidth="1"/>
    <col min="7943" max="8192" width="9.109375" style="308"/>
    <col min="8193" max="8193" width="10.44140625" style="308" customWidth="1"/>
    <col min="8194" max="8194" width="44.33203125" style="308" customWidth="1"/>
    <col min="8195" max="8195" width="8.33203125" style="308" customWidth="1"/>
    <col min="8196" max="8196" width="9.88671875" style="308" customWidth="1"/>
    <col min="8197" max="8197" width="10.88671875" style="308" customWidth="1"/>
    <col min="8198" max="8198" width="12.44140625" style="308" customWidth="1"/>
    <col min="8199" max="8448" width="9.109375" style="308"/>
    <col min="8449" max="8449" width="10.44140625" style="308" customWidth="1"/>
    <col min="8450" max="8450" width="44.33203125" style="308" customWidth="1"/>
    <col min="8451" max="8451" width="8.33203125" style="308" customWidth="1"/>
    <col min="8452" max="8452" width="9.88671875" style="308" customWidth="1"/>
    <col min="8453" max="8453" width="10.88671875" style="308" customWidth="1"/>
    <col min="8454" max="8454" width="12.44140625" style="308" customWidth="1"/>
    <col min="8455" max="8704" width="9.109375" style="308"/>
    <col min="8705" max="8705" width="10.44140625" style="308" customWidth="1"/>
    <col min="8706" max="8706" width="44.33203125" style="308" customWidth="1"/>
    <col min="8707" max="8707" width="8.33203125" style="308" customWidth="1"/>
    <col min="8708" max="8708" width="9.88671875" style="308" customWidth="1"/>
    <col min="8709" max="8709" width="10.88671875" style="308" customWidth="1"/>
    <col min="8710" max="8710" width="12.44140625" style="308" customWidth="1"/>
    <col min="8711" max="8960" width="9.109375" style="308"/>
    <col min="8961" max="8961" width="10.44140625" style="308" customWidth="1"/>
    <col min="8962" max="8962" width="44.33203125" style="308" customWidth="1"/>
    <col min="8963" max="8963" width="8.33203125" style="308" customWidth="1"/>
    <col min="8964" max="8964" width="9.88671875" style="308" customWidth="1"/>
    <col min="8965" max="8965" width="10.88671875" style="308" customWidth="1"/>
    <col min="8966" max="8966" width="12.44140625" style="308" customWidth="1"/>
    <col min="8967" max="9216" width="9.109375" style="308"/>
    <col min="9217" max="9217" width="10.44140625" style="308" customWidth="1"/>
    <col min="9218" max="9218" width="44.33203125" style="308" customWidth="1"/>
    <col min="9219" max="9219" width="8.33203125" style="308" customWidth="1"/>
    <col min="9220" max="9220" width="9.88671875" style="308" customWidth="1"/>
    <col min="9221" max="9221" width="10.88671875" style="308" customWidth="1"/>
    <col min="9222" max="9222" width="12.44140625" style="308" customWidth="1"/>
    <col min="9223" max="9472" width="9.109375" style="308"/>
    <col min="9473" max="9473" width="10.44140625" style="308" customWidth="1"/>
    <col min="9474" max="9474" width="44.33203125" style="308" customWidth="1"/>
    <col min="9475" max="9475" width="8.33203125" style="308" customWidth="1"/>
    <col min="9476" max="9476" width="9.88671875" style="308" customWidth="1"/>
    <col min="9477" max="9477" width="10.88671875" style="308" customWidth="1"/>
    <col min="9478" max="9478" width="12.44140625" style="308" customWidth="1"/>
    <col min="9479" max="9728" width="9.109375" style="308"/>
    <col min="9729" max="9729" width="10.44140625" style="308" customWidth="1"/>
    <col min="9730" max="9730" width="44.33203125" style="308" customWidth="1"/>
    <col min="9731" max="9731" width="8.33203125" style="308" customWidth="1"/>
    <col min="9732" max="9732" width="9.88671875" style="308" customWidth="1"/>
    <col min="9733" max="9733" width="10.88671875" style="308" customWidth="1"/>
    <col min="9734" max="9734" width="12.44140625" style="308" customWidth="1"/>
    <col min="9735" max="9984" width="9.109375" style="308"/>
    <col min="9985" max="9985" width="10.44140625" style="308" customWidth="1"/>
    <col min="9986" max="9986" width="44.33203125" style="308" customWidth="1"/>
    <col min="9987" max="9987" width="8.33203125" style="308" customWidth="1"/>
    <col min="9988" max="9988" width="9.88671875" style="308" customWidth="1"/>
    <col min="9989" max="9989" width="10.88671875" style="308" customWidth="1"/>
    <col min="9990" max="9990" width="12.44140625" style="308" customWidth="1"/>
    <col min="9991" max="10240" width="9.109375" style="308"/>
    <col min="10241" max="10241" width="10.44140625" style="308" customWidth="1"/>
    <col min="10242" max="10242" width="44.33203125" style="308" customWidth="1"/>
    <col min="10243" max="10243" width="8.33203125" style="308" customWidth="1"/>
    <col min="10244" max="10244" width="9.88671875" style="308" customWidth="1"/>
    <col min="10245" max="10245" width="10.88671875" style="308" customWidth="1"/>
    <col min="10246" max="10246" width="12.44140625" style="308" customWidth="1"/>
    <col min="10247" max="10496" width="9.109375" style="308"/>
    <col min="10497" max="10497" width="10.44140625" style="308" customWidth="1"/>
    <col min="10498" max="10498" width="44.33203125" style="308" customWidth="1"/>
    <col min="10499" max="10499" width="8.33203125" style="308" customWidth="1"/>
    <col min="10500" max="10500" width="9.88671875" style="308" customWidth="1"/>
    <col min="10501" max="10501" width="10.88671875" style="308" customWidth="1"/>
    <col min="10502" max="10502" width="12.44140625" style="308" customWidth="1"/>
    <col min="10503" max="10752" width="9.109375" style="308"/>
    <col min="10753" max="10753" width="10.44140625" style="308" customWidth="1"/>
    <col min="10754" max="10754" width="44.33203125" style="308" customWidth="1"/>
    <col min="10755" max="10755" width="8.33203125" style="308" customWidth="1"/>
    <col min="10756" max="10756" width="9.88671875" style="308" customWidth="1"/>
    <col min="10757" max="10757" width="10.88671875" style="308" customWidth="1"/>
    <col min="10758" max="10758" width="12.44140625" style="308" customWidth="1"/>
    <col min="10759" max="11008" width="9.109375" style="308"/>
    <col min="11009" max="11009" width="10.44140625" style="308" customWidth="1"/>
    <col min="11010" max="11010" width="44.33203125" style="308" customWidth="1"/>
    <col min="11011" max="11011" width="8.33203125" style="308" customWidth="1"/>
    <col min="11012" max="11012" width="9.88671875" style="308" customWidth="1"/>
    <col min="11013" max="11013" width="10.88671875" style="308" customWidth="1"/>
    <col min="11014" max="11014" width="12.44140625" style="308" customWidth="1"/>
    <col min="11015" max="11264" width="9.109375" style="308"/>
    <col min="11265" max="11265" width="10.44140625" style="308" customWidth="1"/>
    <col min="11266" max="11266" width="44.33203125" style="308" customWidth="1"/>
    <col min="11267" max="11267" width="8.33203125" style="308" customWidth="1"/>
    <col min="11268" max="11268" width="9.88671875" style="308" customWidth="1"/>
    <col min="11269" max="11269" width="10.88671875" style="308" customWidth="1"/>
    <col min="11270" max="11270" width="12.44140625" style="308" customWidth="1"/>
    <col min="11271" max="11520" width="9.109375" style="308"/>
    <col min="11521" max="11521" width="10.44140625" style="308" customWidth="1"/>
    <col min="11522" max="11522" width="44.33203125" style="308" customWidth="1"/>
    <col min="11523" max="11523" width="8.33203125" style="308" customWidth="1"/>
    <col min="11524" max="11524" width="9.88671875" style="308" customWidth="1"/>
    <col min="11525" max="11525" width="10.88671875" style="308" customWidth="1"/>
    <col min="11526" max="11526" width="12.44140625" style="308" customWidth="1"/>
    <col min="11527" max="11776" width="9.109375" style="308"/>
    <col min="11777" max="11777" width="10.44140625" style="308" customWidth="1"/>
    <col min="11778" max="11778" width="44.33203125" style="308" customWidth="1"/>
    <col min="11779" max="11779" width="8.33203125" style="308" customWidth="1"/>
    <col min="11780" max="11780" width="9.88671875" style="308" customWidth="1"/>
    <col min="11781" max="11781" width="10.88671875" style="308" customWidth="1"/>
    <col min="11782" max="11782" width="12.44140625" style="308" customWidth="1"/>
    <col min="11783" max="12032" width="9.109375" style="308"/>
    <col min="12033" max="12033" width="10.44140625" style="308" customWidth="1"/>
    <col min="12034" max="12034" width="44.33203125" style="308" customWidth="1"/>
    <col min="12035" max="12035" width="8.33203125" style="308" customWidth="1"/>
    <col min="12036" max="12036" width="9.88671875" style="308" customWidth="1"/>
    <col min="12037" max="12037" width="10.88671875" style="308" customWidth="1"/>
    <col min="12038" max="12038" width="12.44140625" style="308" customWidth="1"/>
    <col min="12039" max="12288" width="9.109375" style="308"/>
    <col min="12289" max="12289" width="10.44140625" style="308" customWidth="1"/>
    <col min="12290" max="12290" width="44.33203125" style="308" customWidth="1"/>
    <col min="12291" max="12291" width="8.33203125" style="308" customWidth="1"/>
    <col min="12292" max="12292" width="9.88671875" style="308" customWidth="1"/>
    <col min="12293" max="12293" width="10.88671875" style="308" customWidth="1"/>
    <col min="12294" max="12294" width="12.44140625" style="308" customWidth="1"/>
    <col min="12295" max="12544" width="9.109375" style="308"/>
    <col min="12545" max="12545" width="10.44140625" style="308" customWidth="1"/>
    <col min="12546" max="12546" width="44.33203125" style="308" customWidth="1"/>
    <col min="12547" max="12547" width="8.33203125" style="308" customWidth="1"/>
    <col min="12548" max="12548" width="9.88671875" style="308" customWidth="1"/>
    <col min="12549" max="12549" width="10.88671875" style="308" customWidth="1"/>
    <col min="12550" max="12550" width="12.44140625" style="308" customWidth="1"/>
    <col min="12551" max="12800" width="9.109375" style="308"/>
    <col min="12801" max="12801" width="10.44140625" style="308" customWidth="1"/>
    <col min="12802" max="12802" width="44.33203125" style="308" customWidth="1"/>
    <col min="12803" max="12803" width="8.33203125" style="308" customWidth="1"/>
    <col min="12804" max="12804" width="9.88671875" style="308" customWidth="1"/>
    <col min="12805" max="12805" width="10.88671875" style="308" customWidth="1"/>
    <col min="12806" max="12806" width="12.44140625" style="308" customWidth="1"/>
    <col min="12807" max="13056" width="9.109375" style="308"/>
    <col min="13057" max="13057" width="10.44140625" style="308" customWidth="1"/>
    <col min="13058" max="13058" width="44.33203125" style="308" customWidth="1"/>
    <col min="13059" max="13059" width="8.33203125" style="308" customWidth="1"/>
    <col min="13060" max="13060" width="9.88671875" style="308" customWidth="1"/>
    <col min="13061" max="13061" width="10.88671875" style="308" customWidth="1"/>
    <col min="13062" max="13062" width="12.44140625" style="308" customWidth="1"/>
    <col min="13063" max="13312" width="9.109375" style="308"/>
    <col min="13313" max="13313" width="10.44140625" style="308" customWidth="1"/>
    <col min="13314" max="13314" width="44.33203125" style="308" customWidth="1"/>
    <col min="13315" max="13315" width="8.33203125" style="308" customWidth="1"/>
    <col min="13316" max="13316" width="9.88671875" style="308" customWidth="1"/>
    <col min="13317" max="13317" width="10.88671875" style="308" customWidth="1"/>
    <col min="13318" max="13318" width="12.44140625" style="308" customWidth="1"/>
    <col min="13319" max="13568" width="9.109375" style="308"/>
    <col min="13569" max="13569" width="10.44140625" style="308" customWidth="1"/>
    <col min="13570" max="13570" width="44.33203125" style="308" customWidth="1"/>
    <col min="13571" max="13571" width="8.33203125" style="308" customWidth="1"/>
    <col min="13572" max="13572" width="9.88671875" style="308" customWidth="1"/>
    <col min="13573" max="13573" width="10.88671875" style="308" customWidth="1"/>
    <col min="13574" max="13574" width="12.44140625" style="308" customWidth="1"/>
    <col min="13575" max="13824" width="9.109375" style="308"/>
    <col min="13825" max="13825" width="10.44140625" style="308" customWidth="1"/>
    <col min="13826" max="13826" width="44.33203125" style="308" customWidth="1"/>
    <col min="13827" max="13827" width="8.33203125" style="308" customWidth="1"/>
    <col min="13828" max="13828" width="9.88671875" style="308" customWidth="1"/>
    <col min="13829" max="13829" width="10.88671875" style="308" customWidth="1"/>
    <col min="13830" max="13830" width="12.44140625" style="308" customWidth="1"/>
    <col min="13831" max="14080" width="9.109375" style="308"/>
    <col min="14081" max="14081" width="10.44140625" style="308" customWidth="1"/>
    <col min="14082" max="14082" width="44.33203125" style="308" customWidth="1"/>
    <col min="14083" max="14083" width="8.33203125" style="308" customWidth="1"/>
    <col min="14084" max="14084" width="9.88671875" style="308" customWidth="1"/>
    <col min="14085" max="14085" width="10.88671875" style="308" customWidth="1"/>
    <col min="14086" max="14086" width="12.44140625" style="308" customWidth="1"/>
    <col min="14087" max="14336" width="9.109375" style="308"/>
    <col min="14337" max="14337" width="10.44140625" style="308" customWidth="1"/>
    <col min="14338" max="14338" width="44.33203125" style="308" customWidth="1"/>
    <col min="14339" max="14339" width="8.33203125" style="308" customWidth="1"/>
    <col min="14340" max="14340" width="9.88671875" style="308" customWidth="1"/>
    <col min="14341" max="14341" width="10.88671875" style="308" customWidth="1"/>
    <col min="14342" max="14342" width="12.44140625" style="308" customWidth="1"/>
    <col min="14343" max="14592" width="9.109375" style="308"/>
    <col min="14593" max="14593" width="10.44140625" style="308" customWidth="1"/>
    <col min="14594" max="14594" width="44.33203125" style="308" customWidth="1"/>
    <col min="14595" max="14595" width="8.33203125" style="308" customWidth="1"/>
    <col min="14596" max="14596" width="9.88671875" style="308" customWidth="1"/>
    <col min="14597" max="14597" width="10.88671875" style="308" customWidth="1"/>
    <col min="14598" max="14598" width="12.44140625" style="308" customWidth="1"/>
    <col min="14599" max="14848" width="9.109375" style="308"/>
    <col min="14849" max="14849" width="10.44140625" style="308" customWidth="1"/>
    <col min="14850" max="14850" width="44.33203125" style="308" customWidth="1"/>
    <col min="14851" max="14851" width="8.33203125" style="308" customWidth="1"/>
    <col min="14852" max="14852" width="9.88671875" style="308" customWidth="1"/>
    <col min="14853" max="14853" width="10.88671875" style="308" customWidth="1"/>
    <col min="14854" max="14854" width="12.44140625" style="308" customWidth="1"/>
    <col min="14855" max="15104" width="9.109375" style="308"/>
    <col min="15105" max="15105" width="10.44140625" style="308" customWidth="1"/>
    <col min="15106" max="15106" width="44.33203125" style="308" customWidth="1"/>
    <col min="15107" max="15107" width="8.33203125" style="308" customWidth="1"/>
    <col min="15108" max="15108" width="9.88671875" style="308" customWidth="1"/>
    <col min="15109" max="15109" width="10.88671875" style="308" customWidth="1"/>
    <col min="15110" max="15110" width="12.44140625" style="308" customWidth="1"/>
    <col min="15111" max="15360" width="9.109375" style="308"/>
    <col min="15361" max="15361" width="10.44140625" style="308" customWidth="1"/>
    <col min="15362" max="15362" width="44.33203125" style="308" customWidth="1"/>
    <col min="15363" max="15363" width="8.33203125" style="308" customWidth="1"/>
    <col min="15364" max="15364" width="9.88671875" style="308" customWidth="1"/>
    <col min="15365" max="15365" width="10.88671875" style="308" customWidth="1"/>
    <col min="15366" max="15366" width="12.44140625" style="308" customWidth="1"/>
    <col min="15367" max="15616" width="9.109375" style="308"/>
    <col min="15617" max="15617" width="10.44140625" style="308" customWidth="1"/>
    <col min="15618" max="15618" width="44.33203125" style="308" customWidth="1"/>
    <col min="15619" max="15619" width="8.33203125" style="308" customWidth="1"/>
    <col min="15620" max="15620" width="9.88671875" style="308" customWidth="1"/>
    <col min="15621" max="15621" width="10.88671875" style="308" customWidth="1"/>
    <col min="15622" max="15622" width="12.44140625" style="308" customWidth="1"/>
    <col min="15623" max="15872" width="9.109375" style="308"/>
    <col min="15873" max="15873" width="10.44140625" style="308" customWidth="1"/>
    <col min="15874" max="15874" width="44.33203125" style="308" customWidth="1"/>
    <col min="15875" max="15875" width="8.33203125" style="308" customWidth="1"/>
    <col min="15876" max="15876" width="9.88671875" style="308" customWidth="1"/>
    <col min="15877" max="15877" width="10.88671875" style="308" customWidth="1"/>
    <col min="15878" max="15878" width="12.44140625" style="308" customWidth="1"/>
    <col min="15879" max="16128" width="9.109375" style="308"/>
    <col min="16129" max="16129" width="10.44140625" style="308" customWidth="1"/>
    <col min="16130" max="16130" width="44.33203125" style="308" customWidth="1"/>
    <col min="16131" max="16131" width="8.33203125" style="308" customWidth="1"/>
    <col min="16132" max="16132" width="9.88671875" style="308" customWidth="1"/>
    <col min="16133" max="16133" width="10.88671875" style="308" customWidth="1"/>
    <col min="16134" max="16134" width="12.44140625" style="308" customWidth="1"/>
    <col min="16135" max="16384" width="9.109375" style="308"/>
  </cols>
  <sheetData>
    <row r="1" spans="1:6" ht="14.25" customHeight="1">
      <c r="B1" s="312"/>
      <c r="C1" s="332"/>
      <c r="D1" s="333"/>
    </row>
    <row r="2" spans="1:6" s="307" customFormat="1" ht="11.25" customHeight="1">
      <c r="A2" s="326"/>
      <c r="B2" s="326"/>
      <c r="C2" s="326"/>
      <c r="D2" s="327"/>
      <c r="E2" s="328"/>
      <c r="F2" s="328"/>
    </row>
    <row r="3" spans="1:6" s="307" customFormat="1" ht="11.25" customHeight="1">
      <c r="A3" s="329"/>
      <c r="B3" s="330" t="s">
        <v>1295</v>
      </c>
      <c r="C3" s="326"/>
      <c r="D3" s="327"/>
      <c r="E3" s="328"/>
      <c r="F3" s="328"/>
    </row>
    <row r="4" spans="1:6" ht="14.25" customHeight="1">
      <c r="B4" s="312"/>
      <c r="C4" s="332"/>
      <c r="D4" s="333"/>
    </row>
    <row r="5" spans="1:6" s="307" customFormat="1" ht="11.25" customHeight="1">
      <c r="A5" s="329"/>
      <c r="B5" s="335" t="s">
        <v>1296</v>
      </c>
      <c r="C5" s="336"/>
      <c r="D5" s="334"/>
      <c r="E5" s="334"/>
      <c r="F5" s="328"/>
    </row>
    <row r="6" spans="1:6" s="307" customFormat="1" ht="11.25" customHeight="1">
      <c r="A6" s="329"/>
      <c r="B6" s="959" t="s">
        <v>1297</v>
      </c>
      <c r="C6" s="959"/>
      <c r="D6" s="959"/>
      <c r="E6" s="959"/>
      <c r="F6" s="328"/>
    </row>
    <row r="7" spans="1:6" s="307" customFormat="1" ht="54" customHeight="1">
      <c r="A7" s="329"/>
      <c r="B7" s="959" t="s">
        <v>1298</v>
      </c>
      <c r="C7" s="959"/>
      <c r="D7" s="959"/>
      <c r="E7" s="959"/>
      <c r="F7" s="328"/>
    </row>
    <row r="8" spans="1:6" s="307" customFormat="1" ht="65.25" customHeight="1">
      <c r="A8" s="329"/>
      <c r="B8" s="959" t="s">
        <v>1299</v>
      </c>
      <c r="C8" s="959"/>
      <c r="D8" s="959"/>
      <c r="E8" s="959"/>
      <c r="F8" s="328"/>
    </row>
    <row r="9" spans="1:6" s="307" customFormat="1" ht="41.25" customHeight="1">
      <c r="A9" s="329"/>
      <c r="B9" s="959" t="s">
        <v>1300</v>
      </c>
      <c r="C9" s="959"/>
      <c r="D9" s="959"/>
      <c r="E9" s="959"/>
      <c r="F9" s="328"/>
    </row>
    <row r="10" spans="1:6" s="307" customFormat="1" ht="27" customHeight="1">
      <c r="A10" s="329"/>
      <c r="B10" s="960" t="s">
        <v>1301</v>
      </c>
      <c r="C10" s="960"/>
      <c r="D10" s="960"/>
      <c r="E10" s="960"/>
      <c r="F10" s="328"/>
    </row>
    <row r="11" spans="1:6" s="307" customFormat="1" ht="30" customHeight="1">
      <c r="A11" s="329"/>
      <c r="B11" s="960" t="s">
        <v>1302</v>
      </c>
      <c r="C11" s="960"/>
      <c r="D11" s="960"/>
      <c r="E11" s="960"/>
      <c r="F11" s="328"/>
    </row>
    <row r="12" spans="1:6" s="307" customFormat="1" ht="49.5" customHeight="1">
      <c r="A12" s="329"/>
      <c r="B12" s="959" t="s">
        <v>1303</v>
      </c>
      <c r="C12" s="959"/>
      <c r="D12" s="959"/>
      <c r="E12" s="959"/>
      <c r="F12" s="328"/>
    </row>
    <row r="13" spans="1:6" s="307" customFormat="1" ht="29.25" customHeight="1">
      <c r="A13" s="329"/>
      <c r="B13" s="960" t="s">
        <v>1304</v>
      </c>
      <c r="C13" s="960"/>
      <c r="D13" s="960"/>
      <c r="E13" s="960"/>
      <c r="F13" s="328"/>
    </row>
    <row r="14" spans="1:6" s="307" customFormat="1" ht="27.75" customHeight="1">
      <c r="A14" s="329"/>
      <c r="B14" s="959" t="s">
        <v>1305</v>
      </c>
      <c r="C14" s="959"/>
      <c r="D14" s="959"/>
      <c r="E14" s="959"/>
      <c r="F14" s="328"/>
    </row>
    <row r="15" spans="1:6" s="307" customFormat="1" ht="16.5" customHeight="1">
      <c r="A15" s="329"/>
      <c r="B15" s="959" t="s">
        <v>1306</v>
      </c>
      <c r="C15" s="959"/>
      <c r="D15" s="959"/>
      <c r="E15" s="959"/>
      <c r="F15" s="328"/>
    </row>
    <row r="16" spans="1:6" s="307" customFormat="1" ht="27.75" customHeight="1">
      <c r="A16" s="329"/>
      <c r="B16" s="959" t="s">
        <v>1307</v>
      </c>
      <c r="C16" s="959"/>
      <c r="D16" s="959"/>
      <c r="E16" s="959"/>
      <c r="F16" s="328"/>
    </row>
    <row r="17" spans="1:6" s="307" customFormat="1" ht="14.25" customHeight="1">
      <c r="A17" s="329"/>
      <c r="B17" s="959" t="s">
        <v>1308</v>
      </c>
      <c r="C17" s="959"/>
      <c r="D17" s="959"/>
      <c r="E17" s="959"/>
      <c r="F17" s="328"/>
    </row>
    <row r="18" spans="1:6" s="307" customFormat="1" ht="11.25" customHeight="1">
      <c r="A18" s="329"/>
      <c r="B18" s="959" t="s">
        <v>1309</v>
      </c>
      <c r="C18" s="959"/>
      <c r="D18" s="959"/>
      <c r="E18" s="959"/>
      <c r="F18" s="328"/>
    </row>
    <row r="19" spans="1:6" s="307" customFormat="1" ht="39.75" customHeight="1">
      <c r="A19" s="329"/>
      <c r="B19" s="959" t="s">
        <v>1310</v>
      </c>
      <c r="C19" s="959"/>
      <c r="D19" s="959"/>
      <c r="E19" s="959"/>
      <c r="F19" s="328"/>
    </row>
    <row r="20" spans="1:6" s="307" customFormat="1" ht="26.25" customHeight="1">
      <c r="A20" s="329"/>
      <c r="B20" s="959" t="s">
        <v>1311</v>
      </c>
      <c r="C20" s="959"/>
      <c r="D20" s="959"/>
      <c r="E20" s="959"/>
      <c r="F20" s="328"/>
    </row>
    <row r="21" spans="1:6" s="307" customFormat="1" ht="14.25" customHeight="1">
      <c r="A21" s="329"/>
      <c r="B21" s="959" t="s">
        <v>1312</v>
      </c>
      <c r="C21" s="959"/>
      <c r="D21" s="959"/>
      <c r="E21" s="959"/>
      <c r="F21" s="328"/>
    </row>
    <row r="22" spans="1:6" s="307" customFormat="1" ht="11.25" customHeight="1">
      <c r="A22" s="329"/>
      <c r="B22" s="959" t="s">
        <v>1313</v>
      </c>
      <c r="C22" s="959"/>
      <c r="D22" s="959"/>
      <c r="E22" s="959"/>
      <c r="F22" s="328"/>
    </row>
    <row r="23" spans="1:6" s="307" customFormat="1" ht="11.25" customHeight="1">
      <c r="A23" s="329"/>
      <c r="B23" s="959" t="s">
        <v>1314</v>
      </c>
      <c r="C23" s="959"/>
      <c r="D23" s="959"/>
      <c r="E23" s="959"/>
      <c r="F23" s="328"/>
    </row>
    <row r="24" spans="1:6" s="307" customFormat="1" ht="11.25" customHeight="1">
      <c r="A24" s="329"/>
      <c r="B24" s="959" t="s">
        <v>1315</v>
      </c>
      <c r="C24" s="959"/>
      <c r="D24" s="959"/>
      <c r="E24" s="959"/>
      <c r="F24" s="328"/>
    </row>
    <row r="25" spans="1:6" s="307" customFormat="1" ht="11.25" customHeight="1">
      <c r="A25" s="329"/>
      <c r="B25" s="959" t="s">
        <v>1316</v>
      </c>
      <c r="C25" s="959"/>
      <c r="D25" s="959"/>
      <c r="E25" s="959"/>
      <c r="F25" s="328"/>
    </row>
    <row r="26" spans="1:6" s="307" customFormat="1" ht="11.25" customHeight="1">
      <c r="A26" s="329"/>
      <c r="B26" s="959" t="s">
        <v>1317</v>
      </c>
      <c r="C26" s="959"/>
      <c r="D26" s="959"/>
      <c r="E26" s="959"/>
      <c r="F26" s="328"/>
    </row>
    <row r="27" spans="1:6" s="307" customFormat="1" ht="11.25" customHeight="1">
      <c r="A27" s="329"/>
      <c r="B27" s="330"/>
      <c r="C27" s="326"/>
      <c r="D27" s="327"/>
      <c r="E27" s="328"/>
      <c r="F27" s="328"/>
    </row>
    <row r="28" spans="1:6" ht="15" customHeight="1">
      <c r="A28" s="337"/>
      <c r="B28" s="338"/>
      <c r="C28" s="332"/>
      <c r="D28" s="333"/>
    </row>
    <row r="29" spans="1:6" s="307" customFormat="1" ht="17.25" customHeight="1">
      <c r="A29" s="339" t="s">
        <v>1318</v>
      </c>
      <c r="B29" s="339" t="s">
        <v>1319</v>
      </c>
      <c r="C29" s="339" t="s">
        <v>1320</v>
      </c>
      <c r="D29" s="340" t="s">
        <v>1321</v>
      </c>
      <c r="E29" s="340" t="s">
        <v>1322</v>
      </c>
      <c r="F29" s="340" t="s">
        <v>1323</v>
      </c>
    </row>
    <row r="30" spans="1:6" s="307" customFormat="1" ht="11.25" customHeight="1">
      <c r="A30" s="329"/>
      <c r="B30" s="330"/>
      <c r="C30" s="326"/>
      <c r="D30" s="327"/>
      <c r="E30" s="328"/>
      <c r="F30" s="328"/>
    </row>
    <row r="31" spans="1:6" ht="15.75" customHeight="1">
      <c r="A31" s="337" t="s">
        <v>1324</v>
      </c>
      <c r="B31" s="338" t="s">
        <v>1325</v>
      </c>
      <c r="C31" s="332"/>
      <c r="D31" s="333"/>
    </row>
    <row r="32" spans="1:6" ht="17.25" customHeight="1">
      <c r="A32" s="337"/>
      <c r="B32" s="338"/>
      <c r="C32" s="332"/>
      <c r="D32" s="333"/>
    </row>
    <row r="33" spans="1:4" ht="14.25" customHeight="1">
      <c r="A33" s="341" t="s">
        <v>0</v>
      </c>
      <c r="B33" s="342" t="s">
        <v>1326</v>
      </c>
      <c r="C33" s="332"/>
      <c r="D33" s="333"/>
    </row>
    <row r="34" spans="1:4" ht="28.5" customHeight="1">
      <c r="A34" s="337"/>
      <c r="B34" s="342" t="s">
        <v>1327</v>
      </c>
      <c r="C34" s="332"/>
      <c r="D34" s="333"/>
    </row>
    <row r="35" spans="1:4" ht="78" customHeight="1">
      <c r="A35" s="337"/>
      <c r="B35" s="342" t="s">
        <v>1328</v>
      </c>
      <c r="C35" s="332"/>
      <c r="D35" s="333"/>
    </row>
    <row r="36" spans="1:4" ht="75.75" customHeight="1">
      <c r="A36" s="337"/>
      <c r="B36" s="342" t="s">
        <v>1329</v>
      </c>
      <c r="C36" s="332"/>
      <c r="D36" s="333"/>
    </row>
    <row r="37" spans="1:4" ht="52.5" customHeight="1">
      <c r="A37" s="337"/>
      <c r="B37" s="342" t="s">
        <v>2660</v>
      </c>
      <c r="C37" s="332"/>
      <c r="D37" s="333"/>
    </row>
    <row r="38" spans="1:4" ht="33.75" customHeight="1">
      <c r="A38" s="337"/>
      <c r="B38" s="342" t="s">
        <v>1330</v>
      </c>
      <c r="C38" s="332"/>
      <c r="D38" s="333"/>
    </row>
    <row r="39" spans="1:4" ht="114" customHeight="1">
      <c r="A39" s="337"/>
      <c r="B39" s="342" t="s">
        <v>1331</v>
      </c>
      <c r="C39" s="332"/>
      <c r="D39" s="333"/>
    </row>
    <row r="40" spans="1:4" ht="78" customHeight="1">
      <c r="A40" s="337"/>
      <c r="B40" s="342" t="s">
        <v>1332</v>
      </c>
      <c r="C40" s="332"/>
      <c r="D40" s="333"/>
    </row>
    <row r="41" spans="1:4" ht="46.5" customHeight="1">
      <c r="A41" s="337"/>
      <c r="B41" s="342" t="s">
        <v>1333</v>
      </c>
      <c r="C41" s="332"/>
      <c r="D41" s="333"/>
    </row>
    <row r="42" spans="1:4" ht="99" customHeight="1">
      <c r="A42" s="337"/>
      <c r="B42" s="343" t="s">
        <v>1334</v>
      </c>
      <c r="C42" s="332"/>
      <c r="D42" s="333"/>
    </row>
    <row r="43" spans="1:4" ht="77.25" customHeight="1">
      <c r="A43" s="337"/>
      <c r="B43" s="343" t="s">
        <v>2658</v>
      </c>
      <c r="C43" s="332"/>
      <c r="D43" s="333"/>
    </row>
    <row r="44" spans="1:4" ht="64.5" customHeight="1">
      <c r="A44" s="337"/>
      <c r="B44" s="343" t="s">
        <v>2659</v>
      </c>
      <c r="C44" s="332"/>
      <c r="D44" s="333"/>
    </row>
    <row r="45" spans="1:4" ht="52.5" customHeight="1">
      <c r="A45" s="337"/>
      <c r="B45" s="343" t="s">
        <v>1335</v>
      </c>
      <c r="C45" s="332"/>
      <c r="D45" s="333"/>
    </row>
    <row r="46" spans="1:4" ht="41.25" customHeight="1">
      <c r="A46" s="337"/>
      <c r="B46" s="343" t="s">
        <v>1336</v>
      </c>
      <c r="C46" s="332"/>
      <c r="D46" s="333"/>
    </row>
    <row r="47" spans="1:4" ht="51.75" customHeight="1">
      <c r="A47" s="337"/>
      <c r="B47" s="343" t="s">
        <v>2661</v>
      </c>
      <c r="C47" s="332"/>
      <c r="D47" s="333"/>
    </row>
    <row r="48" spans="1:4" ht="15.75" customHeight="1">
      <c r="A48" s="337"/>
      <c r="B48" s="338"/>
      <c r="C48" s="332"/>
      <c r="D48" s="333"/>
    </row>
    <row r="49" spans="1:4" ht="27.75" customHeight="1">
      <c r="A49" s="337"/>
      <c r="B49" s="342" t="s">
        <v>2662</v>
      </c>
      <c r="C49" s="332"/>
      <c r="D49" s="333"/>
    </row>
    <row r="50" spans="1:4" ht="41.25" customHeight="1">
      <c r="A50" s="337"/>
      <c r="B50" s="342" t="s">
        <v>1337</v>
      </c>
      <c r="C50" s="332"/>
      <c r="D50" s="333"/>
    </row>
    <row r="51" spans="1:4" ht="15.75" customHeight="1">
      <c r="A51" s="337"/>
      <c r="B51" s="342" t="s">
        <v>1338</v>
      </c>
      <c r="C51" s="332"/>
      <c r="D51" s="333"/>
    </row>
    <row r="52" spans="1:4" ht="15.75" customHeight="1">
      <c r="A52" s="337"/>
      <c r="B52" s="342" t="s">
        <v>1339</v>
      </c>
      <c r="C52" s="332"/>
      <c r="D52" s="333"/>
    </row>
    <row r="53" spans="1:4" ht="15.75" customHeight="1">
      <c r="A53" s="337"/>
      <c r="B53" s="342" t="s">
        <v>1340</v>
      </c>
      <c r="C53" s="332"/>
      <c r="D53" s="333"/>
    </row>
    <row r="54" spans="1:4" ht="15.75" customHeight="1">
      <c r="A54" s="337"/>
      <c r="B54" s="342" t="s">
        <v>1341</v>
      </c>
      <c r="C54" s="332"/>
      <c r="D54" s="333"/>
    </row>
    <row r="55" spans="1:4" ht="15.75" customHeight="1">
      <c r="A55" s="337"/>
      <c r="B55" s="342" t="s">
        <v>1342</v>
      </c>
      <c r="C55" s="332"/>
      <c r="D55" s="333"/>
    </row>
    <row r="56" spans="1:4" ht="15.75" customHeight="1">
      <c r="A56" s="337"/>
      <c r="B56" s="342" t="s">
        <v>1343</v>
      </c>
      <c r="C56" s="332"/>
      <c r="D56" s="333"/>
    </row>
    <row r="57" spans="1:4" ht="15.75" customHeight="1">
      <c r="A57" s="337"/>
      <c r="B57" s="342" t="s">
        <v>1344</v>
      </c>
      <c r="C57" s="332"/>
      <c r="D57" s="333"/>
    </row>
    <row r="58" spans="1:4" ht="15.75" customHeight="1">
      <c r="A58" s="337"/>
      <c r="B58" s="342" t="s">
        <v>1345</v>
      </c>
      <c r="C58" s="332"/>
      <c r="D58" s="333"/>
    </row>
    <row r="59" spans="1:4" ht="15.75" customHeight="1">
      <c r="A59" s="337"/>
      <c r="B59" s="342" t="s">
        <v>1346</v>
      </c>
      <c r="C59" s="332"/>
      <c r="D59" s="333"/>
    </row>
    <row r="60" spans="1:4" ht="15.75" customHeight="1">
      <c r="A60" s="337"/>
      <c r="B60" s="342" t="s">
        <v>1347</v>
      </c>
      <c r="C60" s="332"/>
      <c r="D60" s="333"/>
    </row>
    <row r="61" spans="1:4" ht="15.75" customHeight="1">
      <c r="A61" s="337"/>
      <c r="B61" s="342" t="s">
        <v>1348</v>
      </c>
      <c r="C61" s="332"/>
      <c r="D61" s="333"/>
    </row>
    <row r="62" spans="1:4" ht="15.75" customHeight="1">
      <c r="A62" s="337"/>
      <c r="B62" s="342" t="s">
        <v>1349</v>
      </c>
      <c r="C62" s="332"/>
      <c r="D62" s="333"/>
    </row>
    <row r="63" spans="1:4" ht="15.75" customHeight="1">
      <c r="A63" s="337"/>
      <c r="B63" s="342" t="s">
        <v>1350</v>
      </c>
      <c r="C63" s="332"/>
      <c r="D63" s="333"/>
    </row>
    <row r="64" spans="1:4" ht="15.75" customHeight="1">
      <c r="A64" s="337"/>
      <c r="B64" s="342"/>
      <c r="C64" s="332"/>
      <c r="D64" s="333"/>
    </row>
    <row r="65" spans="1:6" ht="27" customHeight="1">
      <c r="A65" s="337"/>
      <c r="B65" s="342" t="s">
        <v>1351</v>
      </c>
      <c r="C65" s="332"/>
      <c r="D65" s="333"/>
    </row>
    <row r="66" spans="1:6" ht="62.25" customHeight="1">
      <c r="A66" s="337"/>
      <c r="B66" s="342" t="s">
        <v>1352</v>
      </c>
      <c r="C66" s="332"/>
      <c r="D66" s="333"/>
    </row>
    <row r="67" spans="1:6" ht="18" customHeight="1">
      <c r="A67" s="337"/>
      <c r="B67" s="342" t="s">
        <v>1353</v>
      </c>
      <c r="C67" s="332"/>
      <c r="D67" s="333"/>
    </row>
    <row r="68" spans="1:6" ht="15.75" customHeight="1">
      <c r="A68" s="337"/>
      <c r="B68" s="342" t="s">
        <v>1354</v>
      </c>
      <c r="C68" s="332"/>
      <c r="D68" s="333"/>
    </row>
    <row r="69" spans="1:6">
      <c r="A69" s="337"/>
      <c r="B69" s="342" t="s">
        <v>1355</v>
      </c>
      <c r="C69" s="332"/>
      <c r="D69" s="333"/>
    </row>
    <row r="70" spans="1:6" ht="14.25" customHeight="1">
      <c r="A70" s="337"/>
      <c r="B70" s="342" t="s">
        <v>1356</v>
      </c>
      <c r="C70" s="332"/>
      <c r="D70" s="333"/>
    </row>
    <row r="71" spans="1:6" ht="24" customHeight="1">
      <c r="A71" s="337"/>
      <c r="B71" s="344" t="s">
        <v>1357</v>
      </c>
      <c r="C71" s="332"/>
      <c r="D71" s="333"/>
    </row>
    <row r="72" spans="1:6" ht="12.75" customHeight="1">
      <c r="A72" s="337"/>
      <c r="B72" s="345" t="s">
        <v>1358</v>
      </c>
      <c r="C72" s="332"/>
      <c r="D72" s="333"/>
    </row>
    <row r="73" spans="1:6" ht="12.75" customHeight="1">
      <c r="A73" s="337"/>
      <c r="B73" s="345" t="s">
        <v>1359</v>
      </c>
      <c r="C73" s="332"/>
      <c r="D73" s="333"/>
    </row>
    <row r="74" spans="1:6" ht="12.75" customHeight="1">
      <c r="A74" s="337"/>
      <c r="B74" s="345" t="s">
        <v>1360</v>
      </c>
      <c r="C74" s="332"/>
      <c r="D74" s="333"/>
    </row>
    <row r="75" spans="1:6" ht="12.75" customHeight="1">
      <c r="A75" s="337"/>
      <c r="B75" s="345" t="s">
        <v>1361</v>
      </c>
      <c r="C75" s="332"/>
      <c r="D75" s="333"/>
    </row>
    <row r="76" spans="1:6" ht="12.75" customHeight="1">
      <c r="A76" s="337"/>
      <c r="B76" s="345" t="s">
        <v>1362</v>
      </c>
      <c r="C76" s="332"/>
      <c r="D76" s="333"/>
    </row>
    <row r="77" spans="1:6" ht="27.75" customHeight="1">
      <c r="A77" s="337"/>
      <c r="B77" s="342" t="s">
        <v>1363</v>
      </c>
      <c r="C77" s="332"/>
      <c r="D77" s="333"/>
    </row>
    <row r="78" spans="1:6" ht="15.75" customHeight="1">
      <c r="A78" s="346"/>
      <c r="B78" s="347"/>
      <c r="C78" s="332" t="s">
        <v>253</v>
      </c>
      <c r="D78" s="333">
        <v>1</v>
      </c>
      <c r="E78" s="334">
        <v>50000</v>
      </c>
      <c r="F78" s="334">
        <f>E78*D78</f>
        <v>50000</v>
      </c>
    </row>
    <row r="79" spans="1:6" ht="15" customHeight="1">
      <c r="A79" s="346"/>
      <c r="B79" s="347"/>
      <c r="C79" s="332"/>
      <c r="D79" s="333"/>
    </row>
    <row r="80" spans="1:6" ht="66" customHeight="1">
      <c r="A80" s="346" t="s">
        <v>4</v>
      </c>
      <c r="B80" s="347" t="s">
        <v>1364</v>
      </c>
      <c r="C80" s="332"/>
      <c r="D80" s="333"/>
    </row>
    <row r="81" spans="1:4" ht="18" customHeight="1">
      <c r="A81" s="346"/>
      <c r="B81" s="347" t="s">
        <v>1365</v>
      </c>
      <c r="C81" s="332"/>
      <c r="D81" s="333"/>
    </row>
    <row r="82" spans="1:4" ht="41.25" customHeight="1">
      <c r="A82" s="346"/>
      <c r="B82" s="347" t="s">
        <v>1366</v>
      </c>
      <c r="C82" s="332"/>
      <c r="D82" s="333"/>
    </row>
    <row r="83" spans="1:4" ht="16.5" customHeight="1">
      <c r="A83" s="346"/>
      <c r="B83" s="348" t="s">
        <v>1367</v>
      </c>
      <c r="C83" s="332"/>
      <c r="D83" s="333"/>
    </row>
    <row r="84" spans="1:4" ht="26.25" customHeight="1">
      <c r="A84" s="346"/>
      <c r="B84" s="347" t="s">
        <v>1368</v>
      </c>
      <c r="C84" s="332"/>
      <c r="D84" s="333"/>
    </row>
    <row r="85" spans="1:4" ht="16.5" customHeight="1">
      <c r="A85" s="346"/>
      <c r="B85" s="347" t="s">
        <v>1369</v>
      </c>
      <c r="C85" s="332"/>
      <c r="D85" s="333"/>
    </row>
    <row r="86" spans="1:4" ht="16.5" customHeight="1">
      <c r="A86" s="346"/>
      <c r="B86" s="347" t="s">
        <v>1370</v>
      </c>
      <c r="C86" s="332"/>
      <c r="D86" s="333"/>
    </row>
    <row r="87" spans="1:4" ht="92.4">
      <c r="A87" s="346"/>
      <c r="B87" s="349" t="s">
        <v>1371</v>
      </c>
      <c r="C87" s="332"/>
      <c r="D87" s="333"/>
    </row>
    <row r="88" spans="1:4" ht="13.5" customHeight="1">
      <c r="A88" s="346"/>
      <c r="B88" s="347"/>
      <c r="C88" s="332"/>
      <c r="D88" s="333"/>
    </row>
    <row r="89" spans="1:4" ht="15" customHeight="1">
      <c r="A89" s="346"/>
      <c r="B89" s="347" t="s">
        <v>1372</v>
      </c>
      <c r="C89" s="332"/>
      <c r="D89" s="333"/>
    </row>
    <row r="90" spans="1:4" ht="15" customHeight="1">
      <c r="A90" s="346"/>
      <c r="B90" s="350" t="s">
        <v>1373</v>
      </c>
      <c r="C90" s="332"/>
      <c r="D90" s="333"/>
    </row>
    <row r="91" spans="1:4" ht="42" customHeight="1">
      <c r="A91" s="346"/>
      <c r="B91" s="351" t="s">
        <v>1374</v>
      </c>
      <c r="C91" s="332"/>
      <c r="D91" s="333"/>
    </row>
    <row r="92" spans="1:4" ht="15" customHeight="1">
      <c r="A92" s="346"/>
      <c r="B92" s="352" t="s">
        <v>1375</v>
      </c>
      <c r="C92" s="332"/>
      <c r="D92" s="333"/>
    </row>
    <row r="93" spans="1:4" ht="15" customHeight="1">
      <c r="A93" s="346"/>
      <c r="B93" s="347"/>
      <c r="C93" s="332"/>
      <c r="D93" s="333"/>
    </row>
    <row r="94" spans="1:4" ht="15.75" customHeight="1">
      <c r="A94" s="346"/>
      <c r="B94" s="347" t="s">
        <v>1376</v>
      </c>
      <c r="C94" s="332"/>
      <c r="D94" s="333"/>
    </row>
    <row r="95" spans="1:4" ht="45" customHeight="1">
      <c r="A95" s="346"/>
      <c r="B95" s="347" t="s">
        <v>1377</v>
      </c>
      <c r="C95" s="332"/>
      <c r="D95" s="333"/>
    </row>
    <row r="96" spans="1:4" ht="30.75" customHeight="1">
      <c r="A96" s="346"/>
      <c r="B96" s="347" t="s">
        <v>1378</v>
      </c>
      <c r="C96" s="332"/>
      <c r="D96" s="333"/>
    </row>
    <row r="97" spans="1:4" ht="28.5" customHeight="1">
      <c r="A97" s="346"/>
      <c r="B97" s="347" t="s">
        <v>1379</v>
      </c>
      <c r="C97" s="332"/>
      <c r="D97" s="333"/>
    </row>
    <row r="98" spans="1:4" ht="15.75" customHeight="1">
      <c r="A98" s="346"/>
      <c r="B98" s="347"/>
      <c r="C98" s="332"/>
      <c r="D98" s="333"/>
    </row>
    <row r="99" spans="1:4" ht="15" customHeight="1">
      <c r="A99" s="346"/>
      <c r="B99" s="347" t="s">
        <v>1380</v>
      </c>
      <c r="C99" s="332"/>
      <c r="D99" s="333"/>
    </row>
    <row r="100" spans="1:4" ht="54.75" customHeight="1">
      <c r="A100" s="346"/>
      <c r="B100" s="347" t="s">
        <v>1381</v>
      </c>
      <c r="C100" s="332"/>
      <c r="D100" s="333"/>
    </row>
    <row r="101" spans="1:4" ht="14.25" customHeight="1">
      <c r="A101" s="346"/>
      <c r="B101" s="347"/>
      <c r="C101" s="332"/>
      <c r="D101" s="333"/>
    </row>
    <row r="102" spans="1:4" ht="69.75" customHeight="1">
      <c r="A102" s="346"/>
      <c r="B102" s="347" t="s">
        <v>2663</v>
      </c>
      <c r="C102" s="332"/>
      <c r="D102" s="333"/>
    </row>
    <row r="103" spans="1:4" ht="16.5" customHeight="1">
      <c r="A103" s="346"/>
      <c r="B103" s="347"/>
      <c r="C103" s="332"/>
      <c r="D103" s="333"/>
    </row>
    <row r="104" spans="1:4" ht="16.5" customHeight="1">
      <c r="A104" s="346"/>
      <c r="B104" s="347" t="s">
        <v>1382</v>
      </c>
      <c r="C104" s="332"/>
      <c r="D104" s="333"/>
    </row>
    <row r="105" spans="1:4" ht="16.5" customHeight="1">
      <c r="A105" s="346"/>
      <c r="B105" s="348" t="s">
        <v>1383</v>
      </c>
      <c r="C105" s="332"/>
      <c r="D105" s="333"/>
    </row>
    <row r="106" spans="1:4" ht="16.5" customHeight="1">
      <c r="A106" s="346"/>
      <c r="B106" s="348" t="s">
        <v>1384</v>
      </c>
      <c r="C106" s="332"/>
      <c r="D106" s="333"/>
    </row>
    <row r="107" spans="1:4" ht="16.5" customHeight="1">
      <c r="A107" s="346"/>
      <c r="B107" s="348" t="s">
        <v>1385</v>
      </c>
      <c r="C107" s="332"/>
      <c r="D107" s="333"/>
    </row>
    <row r="108" spans="1:4" ht="16.5" customHeight="1">
      <c r="A108" s="346"/>
      <c r="B108" s="348" t="s">
        <v>1386</v>
      </c>
      <c r="C108" s="332"/>
      <c r="D108" s="333"/>
    </row>
    <row r="109" spans="1:4" ht="15.75" customHeight="1">
      <c r="A109" s="346"/>
      <c r="B109" s="348" t="s">
        <v>1387</v>
      </c>
      <c r="C109" s="332"/>
      <c r="D109" s="333"/>
    </row>
    <row r="110" spans="1:4" ht="16.5" customHeight="1">
      <c r="A110" s="346"/>
      <c r="B110" s="349" t="s">
        <v>1388</v>
      </c>
      <c r="C110" s="332"/>
      <c r="D110" s="333"/>
    </row>
    <row r="111" spans="1:4" ht="15.75" customHeight="1">
      <c r="A111" s="346"/>
      <c r="B111" s="348" t="s">
        <v>1389</v>
      </c>
      <c r="C111" s="332"/>
      <c r="D111" s="333"/>
    </row>
    <row r="112" spans="1:4" ht="12.75" customHeight="1">
      <c r="A112" s="346"/>
      <c r="B112" s="349" t="s">
        <v>1390</v>
      </c>
      <c r="C112" s="332"/>
      <c r="D112" s="333"/>
    </row>
    <row r="113" spans="1:6" ht="15.75" customHeight="1">
      <c r="A113" s="346"/>
      <c r="B113" s="348" t="s">
        <v>1391</v>
      </c>
      <c r="C113" s="332"/>
      <c r="D113" s="333"/>
    </row>
    <row r="114" spans="1:6" ht="15.75" customHeight="1">
      <c r="A114" s="346"/>
      <c r="B114" s="347" t="s">
        <v>1392</v>
      </c>
      <c r="C114" s="332"/>
      <c r="D114" s="333"/>
    </row>
    <row r="115" spans="1:6" ht="15.75" customHeight="1">
      <c r="A115" s="346"/>
      <c r="B115" s="347" t="s">
        <v>1393</v>
      </c>
      <c r="C115" s="332"/>
      <c r="D115" s="333"/>
    </row>
    <row r="116" spans="1:6" ht="15.75" customHeight="1">
      <c r="A116" s="346"/>
      <c r="B116" s="347" t="s">
        <v>1394</v>
      </c>
      <c r="C116" s="332"/>
      <c r="D116" s="333"/>
    </row>
    <row r="117" spans="1:6" ht="15.75" customHeight="1">
      <c r="A117" s="346"/>
      <c r="B117" s="347" t="s">
        <v>1395</v>
      </c>
      <c r="C117" s="332"/>
      <c r="D117" s="333"/>
    </row>
    <row r="118" spans="1:6" ht="15.75" customHeight="1">
      <c r="A118" s="346"/>
      <c r="B118" s="347" t="s">
        <v>1396</v>
      </c>
      <c r="C118" s="332"/>
      <c r="D118" s="333"/>
    </row>
    <row r="119" spans="1:6" ht="15.75" customHeight="1">
      <c r="A119" s="346"/>
      <c r="B119" s="347" t="s">
        <v>1397</v>
      </c>
      <c r="C119" s="332"/>
      <c r="D119" s="333"/>
    </row>
    <row r="120" spans="1:6" ht="57.75" customHeight="1">
      <c r="A120" s="346"/>
      <c r="B120" s="349" t="s">
        <v>1398</v>
      </c>
      <c r="C120" s="332"/>
      <c r="D120" s="333"/>
    </row>
    <row r="121" spans="1:6" ht="15.75" customHeight="1">
      <c r="A121" s="346"/>
      <c r="B121" s="347"/>
      <c r="C121" s="332"/>
      <c r="D121" s="333"/>
    </row>
    <row r="122" spans="1:6" ht="57.75" customHeight="1">
      <c r="A122" s="346"/>
      <c r="B122" s="349" t="s">
        <v>1399</v>
      </c>
      <c r="C122" s="332"/>
      <c r="D122" s="333"/>
    </row>
    <row r="123" spans="1:6" ht="15.75" customHeight="1">
      <c r="A123" s="346"/>
      <c r="B123" s="347"/>
      <c r="C123" s="332" t="s">
        <v>253</v>
      </c>
      <c r="D123" s="333">
        <v>2</v>
      </c>
      <c r="E123" s="334">
        <v>20000</v>
      </c>
      <c r="F123" s="334">
        <f>E123*D123</f>
        <v>40000</v>
      </c>
    </row>
    <row r="124" spans="1:6" ht="15.75" customHeight="1">
      <c r="A124" s="346"/>
      <c r="B124" s="347"/>
      <c r="C124" s="332"/>
      <c r="D124" s="333"/>
    </row>
    <row r="125" spans="1:6" ht="66" customHeight="1">
      <c r="A125" s="346" t="s">
        <v>3</v>
      </c>
      <c r="B125" s="347" t="s">
        <v>1400</v>
      </c>
      <c r="C125" s="332"/>
      <c r="D125" s="333"/>
    </row>
    <row r="126" spans="1:6" ht="18" customHeight="1">
      <c r="A126" s="346"/>
      <c r="B126" s="347" t="s">
        <v>1365</v>
      </c>
      <c r="C126" s="332"/>
      <c r="D126" s="333"/>
    </row>
    <row r="127" spans="1:6" ht="16.5" customHeight="1">
      <c r="A127" s="346"/>
      <c r="B127" s="353" t="s">
        <v>1401</v>
      </c>
      <c r="C127" s="332"/>
      <c r="D127" s="333"/>
    </row>
    <row r="128" spans="1:6" ht="26.25" customHeight="1">
      <c r="A128" s="346"/>
      <c r="B128" s="352" t="s">
        <v>1402</v>
      </c>
      <c r="C128" s="332"/>
      <c r="D128" s="333"/>
    </row>
    <row r="129" spans="1:4" ht="15" customHeight="1">
      <c r="A129" s="346"/>
      <c r="B129" s="352" t="s">
        <v>1403</v>
      </c>
      <c r="C129" s="332"/>
      <c r="D129" s="333"/>
    </row>
    <row r="130" spans="1:4" ht="16.5" customHeight="1">
      <c r="A130" s="346"/>
      <c r="B130" s="352" t="s">
        <v>1404</v>
      </c>
      <c r="C130" s="332"/>
      <c r="D130" s="333"/>
    </row>
    <row r="131" spans="1:4" ht="16.5" customHeight="1">
      <c r="A131" s="346"/>
      <c r="B131" s="352" t="s">
        <v>1405</v>
      </c>
      <c r="C131" s="332"/>
      <c r="D131" s="333"/>
    </row>
    <row r="132" spans="1:4" ht="51.75" customHeight="1">
      <c r="A132" s="346"/>
      <c r="B132" s="354" t="s">
        <v>1406</v>
      </c>
      <c r="C132" s="332"/>
      <c r="D132" s="333"/>
    </row>
    <row r="133" spans="1:4" ht="15" customHeight="1">
      <c r="A133" s="346"/>
      <c r="B133" s="352" t="s">
        <v>1407</v>
      </c>
      <c r="C133" s="332"/>
      <c r="D133" s="333"/>
    </row>
    <row r="134" spans="1:4" ht="15" customHeight="1">
      <c r="A134" s="346"/>
      <c r="B134" s="347" t="s">
        <v>1408</v>
      </c>
      <c r="C134" s="332"/>
      <c r="D134" s="333"/>
    </row>
    <row r="135" spans="1:4" ht="15" customHeight="1">
      <c r="A135" s="346"/>
      <c r="B135" s="347" t="s">
        <v>1409</v>
      </c>
      <c r="C135" s="332"/>
      <c r="D135" s="333"/>
    </row>
    <row r="136" spans="1:4" ht="15" customHeight="1">
      <c r="A136" s="346"/>
      <c r="B136" s="347" t="s">
        <v>1410</v>
      </c>
      <c r="C136" s="332"/>
      <c r="D136" s="333"/>
    </row>
    <row r="137" spans="1:4" ht="15" customHeight="1">
      <c r="A137" s="346"/>
      <c r="B137" s="347" t="s">
        <v>1411</v>
      </c>
      <c r="C137" s="332"/>
      <c r="D137" s="333"/>
    </row>
    <row r="138" spans="1:4" ht="15" customHeight="1">
      <c r="A138" s="346"/>
      <c r="B138" s="347" t="s">
        <v>1412</v>
      </c>
      <c r="C138" s="332"/>
      <c r="D138" s="333"/>
    </row>
    <row r="139" spans="1:4" ht="15" customHeight="1">
      <c r="A139" s="346"/>
      <c r="B139" s="347"/>
      <c r="C139" s="332"/>
      <c r="D139" s="333"/>
    </row>
    <row r="140" spans="1:4" ht="27" customHeight="1">
      <c r="A140" s="346"/>
      <c r="B140" s="347" t="s">
        <v>1413</v>
      </c>
      <c r="C140" s="332"/>
      <c r="D140" s="333"/>
    </row>
    <row r="141" spans="1:4" ht="45" customHeight="1">
      <c r="A141" s="346"/>
      <c r="B141" s="352" t="s">
        <v>1414</v>
      </c>
      <c r="C141" s="332"/>
      <c r="D141" s="333"/>
    </row>
    <row r="142" spans="1:4" ht="15" customHeight="1">
      <c r="A142" s="346"/>
      <c r="B142" s="347"/>
      <c r="C142" s="332"/>
      <c r="D142" s="333"/>
    </row>
    <row r="143" spans="1:4" ht="69.75" customHeight="1">
      <c r="A143" s="346"/>
      <c r="B143" s="347" t="s">
        <v>2690</v>
      </c>
      <c r="C143" s="332"/>
      <c r="D143" s="333"/>
    </row>
    <row r="144" spans="1:4" ht="16.5" customHeight="1">
      <c r="A144" s="346"/>
      <c r="B144" s="347"/>
      <c r="C144" s="332"/>
      <c r="D144" s="333"/>
    </row>
    <row r="145" spans="1:4" ht="16.5" customHeight="1">
      <c r="A145" s="346"/>
      <c r="B145" s="347" t="s">
        <v>1382</v>
      </c>
      <c r="C145" s="332"/>
      <c r="D145" s="333"/>
    </row>
    <row r="146" spans="1:4" ht="16.5" customHeight="1">
      <c r="A146" s="346"/>
      <c r="B146" s="348" t="s">
        <v>1383</v>
      </c>
      <c r="C146" s="332"/>
      <c r="D146" s="333"/>
    </row>
    <row r="147" spans="1:4" ht="16.5" customHeight="1">
      <c r="A147" s="346"/>
      <c r="B147" s="348" t="s">
        <v>1384</v>
      </c>
      <c r="C147" s="332"/>
      <c r="D147" s="333"/>
    </row>
    <row r="148" spans="1:4" ht="16.5" customHeight="1">
      <c r="A148" s="346"/>
      <c r="B148" s="348" t="s">
        <v>1385</v>
      </c>
      <c r="C148" s="332"/>
      <c r="D148" s="333"/>
    </row>
    <row r="149" spans="1:4" ht="16.5" customHeight="1">
      <c r="A149" s="346"/>
      <c r="B149" s="348" t="s">
        <v>1415</v>
      </c>
      <c r="C149" s="332"/>
      <c r="D149" s="333"/>
    </row>
    <row r="150" spans="1:4" ht="15.75" customHeight="1">
      <c r="A150" s="346"/>
      <c r="B150" s="348" t="s">
        <v>1387</v>
      </c>
      <c r="C150" s="332"/>
      <c r="D150" s="333"/>
    </row>
    <row r="151" spans="1:4" ht="16.5" customHeight="1">
      <c r="A151" s="346"/>
      <c r="B151" s="349" t="s">
        <v>1388</v>
      </c>
      <c r="C151" s="332"/>
      <c r="D151" s="333"/>
    </row>
    <row r="152" spans="1:4" ht="15.75" customHeight="1">
      <c r="A152" s="346"/>
      <c r="B152" s="348" t="s">
        <v>1389</v>
      </c>
      <c r="C152" s="332"/>
      <c r="D152" s="333"/>
    </row>
    <row r="153" spans="1:4" ht="12.75" customHeight="1">
      <c r="A153" s="346"/>
      <c r="B153" s="349" t="s">
        <v>1390</v>
      </c>
      <c r="C153" s="332"/>
      <c r="D153" s="333"/>
    </row>
    <row r="154" spans="1:4" ht="15.75" customHeight="1">
      <c r="A154" s="346"/>
      <c r="B154" s="348" t="s">
        <v>1391</v>
      </c>
      <c r="C154" s="332"/>
      <c r="D154" s="333"/>
    </row>
    <row r="155" spans="1:4" ht="15.75" customHeight="1">
      <c r="A155" s="346"/>
      <c r="B155" s="347" t="s">
        <v>1416</v>
      </c>
      <c r="C155" s="332"/>
      <c r="D155" s="333"/>
    </row>
    <row r="156" spans="1:4" ht="15.75" customHeight="1">
      <c r="A156" s="346"/>
      <c r="B156" s="347" t="s">
        <v>1393</v>
      </c>
      <c r="C156" s="332"/>
      <c r="D156" s="333"/>
    </row>
    <row r="157" spans="1:4" ht="15.75" customHeight="1">
      <c r="A157" s="346"/>
      <c r="B157" s="347" t="s">
        <v>1394</v>
      </c>
      <c r="C157" s="332"/>
      <c r="D157" s="333"/>
    </row>
    <row r="158" spans="1:4" ht="15.75" customHeight="1">
      <c r="A158" s="346"/>
      <c r="B158" s="347" t="s">
        <v>1395</v>
      </c>
      <c r="C158" s="332"/>
      <c r="D158" s="333"/>
    </row>
    <row r="159" spans="1:4" ht="15.75" customHeight="1">
      <c r="A159" s="346"/>
      <c r="B159" s="347" t="s">
        <v>1396</v>
      </c>
      <c r="C159" s="332"/>
      <c r="D159" s="333"/>
    </row>
    <row r="160" spans="1:4" ht="15.75" customHeight="1">
      <c r="A160" s="346"/>
      <c r="B160" s="347" t="s">
        <v>1397</v>
      </c>
      <c r="C160" s="332"/>
      <c r="D160" s="333"/>
    </row>
    <row r="161" spans="1:6" ht="18.75" customHeight="1">
      <c r="A161" s="346"/>
      <c r="B161" s="347"/>
      <c r="C161" s="332"/>
      <c r="D161" s="333"/>
    </row>
    <row r="162" spans="1:6" ht="57.75" customHeight="1">
      <c r="A162" s="346"/>
      <c r="B162" s="349" t="s">
        <v>1417</v>
      </c>
      <c r="C162" s="332"/>
      <c r="D162" s="333"/>
    </row>
    <row r="163" spans="1:6" ht="15.75" customHeight="1">
      <c r="A163" s="346"/>
      <c r="B163" s="347"/>
      <c r="C163" s="332"/>
      <c r="D163" s="333"/>
    </row>
    <row r="164" spans="1:6" ht="57.75" customHeight="1">
      <c r="A164" s="346"/>
      <c r="B164" s="349" t="s">
        <v>1418</v>
      </c>
      <c r="C164" s="332"/>
      <c r="D164" s="333"/>
    </row>
    <row r="165" spans="1:6" ht="15.75" customHeight="1">
      <c r="A165" s="346"/>
      <c r="B165" s="347"/>
      <c r="C165" s="332" t="s">
        <v>253</v>
      </c>
      <c r="D165" s="333">
        <v>2</v>
      </c>
      <c r="E165" s="334">
        <v>20000</v>
      </c>
      <c r="F165" s="334">
        <f>E165*D165</f>
        <v>40000</v>
      </c>
    </row>
    <row r="166" spans="1:6" ht="15" customHeight="1">
      <c r="A166" s="346"/>
      <c r="B166" s="347"/>
      <c r="C166" s="332"/>
      <c r="D166" s="333"/>
    </row>
    <row r="167" spans="1:6" ht="219.75" customHeight="1">
      <c r="A167" s="346" t="s">
        <v>5</v>
      </c>
      <c r="B167" s="355" t="s">
        <v>1419</v>
      </c>
      <c r="C167" s="332"/>
      <c r="D167" s="333"/>
      <c r="E167" s="356"/>
    </row>
    <row r="168" spans="1:6" ht="16.5" customHeight="1">
      <c r="A168" s="346"/>
      <c r="B168" s="347" t="s">
        <v>1420</v>
      </c>
      <c r="C168" s="332"/>
      <c r="D168" s="333"/>
    </row>
    <row r="169" spans="1:6" ht="26.4">
      <c r="A169" s="346"/>
      <c r="B169" s="347" t="s">
        <v>1421</v>
      </c>
      <c r="C169" s="332"/>
      <c r="D169" s="333"/>
    </row>
    <row r="170" spans="1:6" ht="39.6">
      <c r="A170" s="346"/>
      <c r="B170" s="347" t="s">
        <v>1422</v>
      </c>
      <c r="C170" s="332"/>
      <c r="D170" s="333"/>
    </row>
    <row r="171" spans="1:6" ht="42.75" customHeight="1">
      <c r="A171" s="346"/>
      <c r="B171" s="347" t="s">
        <v>1423</v>
      </c>
      <c r="C171" s="332"/>
      <c r="D171" s="333"/>
    </row>
    <row r="172" spans="1:6">
      <c r="A172" s="346"/>
      <c r="B172" s="347"/>
      <c r="C172" s="332"/>
      <c r="D172" s="333"/>
    </row>
    <row r="173" spans="1:6" ht="70.5" customHeight="1">
      <c r="A173" s="346"/>
      <c r="B173" s="347" t="s">
        <v>2671</v>
      </c>
      <c r="C173" s="332"/>
      <c r="D173" s="333"/>
    </row>
    <row r="174" spans="1:6" ht="15.75" customHeight="1">
      <c r="A174" s="346"/>
      <c r="B174" s="347"/>
      <c r="C174" s="332" t="s">
        <v>1424</v>
      </c>
      <c r="D174" s="333">
        <v>1</v>
      </c>
      <c r="E174" s="334">
        <v>2500</v>
      </c>
      <c r="F174" s="334">
        <f>E174*D174</f>
        <v>2500</v>
      </c>
    </row>
    <row r="175" spans="1:6" ht="15" customHeight="1">
      <c r="A175" s="346"/>
      <c r="B175" s="347"/>
      <c r="C175" s="332"/>
      <c r="D175" s="333"/>
    </row>
    <row r="176" spans="1:6" s="307" customFormat="1" ht="130.5" customHeight="1">
      <c r="A176" s="357" t="s">
        <v>49</v>
      </c>
      <c r="B176" s="347" t="s">
        <v>2664</v>
      </c>
      <c r="C176" s="326"/>
      <c r="D176" s="327"/>
      <c r="E176" s="328"/>
      <c r="F176" s="358"/>
    </row>
    <row r="177" spans="1:6" s="307" customFormat="1" ht="39.6">
      <c r="A177" s="329"/>
      <c r="B177" s="347" t="s">
        <v>1425</v>
      </c>
      <c r="C177" s="326"/>
      <c r="D177" s="327"/>
      <c r="E177" s="328"/>
      <c r="F177" s="358"/>
    </row>
    <row r="178" spans="1:6" s="307" customFormat="1" ht="26.4">
      <c r="A178" s="329"/>
      <c r="B178" s="347" t="s">
        <v>1426</v>
      </c>
      <c r="C178" s="326"/>
      <c r="D178" s="327"/>
      <c r="E178" s="328"/>
      <c r="F178" s="358"/>
    </row>
    <row r="179" spans="1:6" s="307" customFormat="1" ht="26.4">
      <c r="A179" s="329"/>
      <c r="B179" s="347" t="s">
        <v>1427</v>
      </c>
      <c r="C179" s="326"/>
      <c r="D179" s="327"/>
      <c r="E179" s="328"/>
      <c r="F179" s="358"/>
    </row>
    <row r="180" spans="1:6" s="307" customFormat="1" ht="26.4">
      <c r="A180" s="329"/>
      <c r="B180" s="347" t="s">
        <v>1428</v>
      </c>
      <c r="C180" s="326"/>
      <c r="D180" s="327"/>
      <c r="E180" s="328"/>
      <c r="F180" s="358"/>
    </row>
    <row r="181" spans="1:6" s="307" customFormat="1">
      <c r="A181" s="329"/>
      <c r="B181" s="347" t="s">
        <v>1429</v>
      </c>
      <c r="C181" s="326"/>
      <c r="D181" s="327"/>
      <c r="E181" s="328"/>
      <c r="F181" s="358"/>
    </row>
    <row r="182" spans="1:6" s="307" customFormat="1">
      <c r="A182" s="329"/>
      <c r="B182" s="347" t="s">
        <v>1430</v>
      </c>
      <c r="C182" s="326"/>
      <c r="D182" s="327"/>
      <c r="E182" s="328"/>
      <c r="F182" s="358"/>
    </row>
    <row r="183" spans="1:6" s="307" customFormat="1">
      <c r="A183" s="329"/>
      <c r="B183" s="347" t="s">
        <v>1431</v>
      </c>
      <c r="C183" s="326"/>
      <c r="D183" s="327"/>
      <c r="E183" s="328"/>
      <c r="F183" s="358"/>
    </row>
    <row r="184" spans="1:6" s="307" customFormat="1">
      <c r="A184" s="329"/>
      <c r="B184" s="330"/>
      <c r="C184" s="359"/>
      <c r="D184" s="333"/>
      <c r="E184" s="334"/>
      <c r="F184" s="360"/>
    </row>
    <row r="185" spans="1:6" s="307" customFormat="1" ht="26.4">
      <c r="A185" s="361" t="s">
        <v>1432</v>
      </c>
      <c r="B185" s="347" t="s">
        <v>1433</v>
      </c>
      <c r="C185" s="326"/>
      <c r="D185" s="327"/>
      <c r="E185" s="328"/>
      <c r="F185" s="358"/>
    </row>
    <row r="186" spans="1:6" s="307" customFormat="1">
      <c r="A186" s="329"/>
      <c r="B186" s="347" t="s">
        <v>1434</v>
      </c>
      <c r="C186" s="326"/>
      <c r="D186" s="327"/>
      <c r="E186" s="328"/>
      <c r="F186" s="358"/>
    </row>
    <row r="187" spans="1:6" s="307" customFormat="1">
      <c r="A187" s="329"/>
      <c r="B187" s="347" t="s">
        <v>1435</v>
      </c>
      <c r="C187" s="326"/>
      <c r="D187" s="327"/>
      <c r="E187" s="328"/>
      <c r="F187" s="358"/>
    </row>
    <row r="188" spans="1:6" s="307" customFormat="1" ht="26.4">
      <c r="A188" s="329"/>
      <c r="B188" s="347" t="s">
        <v>1436</v>
      </c>
      <c r="C188" s="326"/>
      <c r="D188" s="327"/>
      <c r="E188" s="328"/>
      <c r="F188" s="358"/>
    </row>
    <row r="189" spans="1:6" s="307" customFormat="1">
      <c r="A189" s="329"/>
      <c r="B189" s="347" t="s">
        <v>1437</v>
      </c>
      <c r="C189" s="326"/>
      <c r="D189" s="327"/>
      <c r="E189" s="328"/>
      <c r="F189" s="358"/>
    </row>
    <row r="190" spans="1:6" s="307" customFormat="1">
      <c r="A190" s="329"/>
      <c r="B190" s="347" t="s">
        <v>1438</v>
      </c>
      <c r="C190" s="326"/>
      <c r="D190" s="327"/>
      <c r="E190" s="328"/>
      <c r="F190" s="358"/>
    </row>
    <row r="191" spans="1:6" s="307" customFormat="1" ht="34.5" customHeight="1">
      <c r="A191" s="329"/>
      <c r="B191" s="347" t="s">
        <v>1439</v>
      </c>
      <c r="C191" s="326"/>
      <c r="D191" s="327"/>
      <c r="E191" s="328"/>
      <c r="F191" s="358"/>
    </row>
    <row r="192" spans="1:6" s="307" customFormat="1" ht="12" customHeight="1">
      <c r="A192" s="329"/>
      <c r="B192" s="347" t="s">
        <v>1440</v>
      </c>
      <c r="C192" s="326"/>
      <c r="D192" s="327"/>
      <c r="E192" s="328"/>
      <c r="F192" s="358"/>
    </row>
    <row r="193" spans="1:6" s="307" customFormat="1">
      <c r="A193" s="329"/>
      <c r="B193" s="347" t="s">
        <v>1441</v>
      </c>
      <c r="C193" s="326"/>
      <c r="D193" s="327"/>
      <c r="E193" s="328"/>
      <c r="F193" s="358"/>
    </row>
    <row r="194" spans="1:6" s="307" customFormat="1" ht="12.75" customHeight="1">
      <c r="A194" s="329"/>
      <c r="B194" s="347" t="s">
        <v>1442</v>
      </c>
      <c r="C194" s="326"/>
      <c r="D194" s="327"/>
      <c r="E194" s="328"/>
      <c r="F194" s="358"/>
    </row>
    <row r="195" spans="1:6" s="307" customFormat="1">
      <c r="A195" s="329"/>
      <c r="B195" s="347" t="s">
        <v>1443</v>
      </c>
      <c r="C195" s="326"/>
      <c r="D195" s="327"/>
      <c r="E195" s="328"/>
      <c r="F195" s="358"/>
    </row>
    <row r="196" spans="1:6" s="307" customFormat="1">
      <c r="A196" s="329"/>
      <c r="B196" s="347" t="s">
        <v>1444</v>
      </c>
      <c r="C196" s="326"/>
      <c r="D196" s="327"/>
      <c r="E196" s="328"/>
      <c r="F196" s="358"/>
    </row>
    <row r="197" spans="1:6" s="307" customFormat="1">
      <c r="A197" s="329"/>
      <c r="B197" s="347" t="s">
        <v>1445</v>
      </c>
      <c r="C197" s="326"/>
      <c r="D197" s="327"/>
      <c r="E197" s="328"/>
      <c r="F197" s="358"/>
    </row>
    <row r="198" spans="1:6" s="307" customFormat="1">
      <c r="A198" s="329"/>
      <c r="B198" s="330"/>
      <c r="C198" s="359" t="s">
        <v>291</v>
      </c>
      <c r="D198" s="333">
        <v>2</v>
      </c>
      <c r="E198" s="334">
        <v>800</v>
      </c>
      <c r="F198" s="360">
        <f>E198*D198</f>
        <v>1600</v>
      </c>
    </row>
    <row r="199" spans="1:6" s="307" customFormat="1">
      <c r="A199" s="329"/>
      <c r="B199" s="330"/>
      <c r="C199" s="359"/>
      <c r="D199" s="333"/>
      <c r="E199" s="334"/>
      <c r="F199" s="360"/>
    </row>
    <row r="200" spans="1:6" s="307" customFormat="1" ht="18" customHeight="1">
      <c r="A200" s="361" t="s">
        <v>1446</v>
      </c>
      <c r="B200" s="347" t="s">
        <v>1447</v>
      </c>
      <c r="C200" s="326"/>
      <c r="D200" s="327"/>
      <c r="E200" s="328"/>
      <c r="F200" s="358"/>
    </row>
    <row r="201" spans="1:6" s="307" customFormat="1">
      <c r="A201" s="329"/>
      <c r="B201" s="347" t="s">
        <v>1448</v>
      </c>
      <c r="C201" s="326"/>
      <c r="D201" s="327"/>
      <c r="E201" s="328"/>
      <c r="F201" s="358"/>
    </row>
    <row r="202" spans="1:6" s="307" customFormat="1">
      <c r="A202" s="329"/>
      <c r="B202" s="347" t="s">
        <v>1449</v>
      </c>
      <c r="C202" s="326"/>
      <c r="D202" s="327"/>
      <c r="E202" s="328"/>
      <c r="F202" s="358"/>
    </row>
    <row r="203" spans="1:6" s="307" customFormat="1" ht="26.4">
      <c r="A203" s="329"/>
      <c r="B203" s="347" t="s">
        <v>1450</v>
      </c>
      <c r="C203" s="326"/>
      <c r="D203" s="327"/>
      <c r="E203" s="328"/>
      <c r="F203" s="358"/>
    </row>
    <row r="204" spans="1:6" s="307" customFormat="1">
      <c r="A204" s="329"/>
      <c r="B204" s="347" t="s">
        <v>1451</v>
      </c>
      <c r="C204" s="326"/>
      <c r="D204" s="327"/>
      <c r="E204" s="328"/>
      <c r="F204" s="358"/>
    </row>
    <row r="205" spans="1:6" s="307" customFormat="1">
      <c r="A205" s="329"/>
      <c r="B205" s="347" t="s">
        <v>1452</v>
      </c>
      <c r="C205" s="326"/>
      <c r="D205" s="327"/>
      <c r="E205" s="328"/>
      <c r="F205" s="358"/>
    </row>
    <row r="206" spans="1:6" s="307" customFormat="1" ht="27" customHeight="1">
      <c r="A206" s="329"/>
      <c r="B206" s="347" t="s">
        <v>1453</v>
      </c>
      <c r="C206" s="326"/>
      <c r="D206" s="327"/>
      <c r="E206" s="328"/>
      <c r="F206" s="358"/>
    </row>
    <row r="207" spans="1:6" s="307" customFormat="1" ht="12" customHeight="1">
      <c r="A207" s="329"/>
      <c r="B207" s="347" t="s">
        <v>1454</v>
      </c>
      <c r="C207" s="326"/>
      <c r="D207" s="327"/>
      <c r="E207" s="328"/>
      <c r="F207" s="358"/>
    </row>
    <row r="208" spans="1:6" s="307" customFormat="1">
      <c r="A208" s="329"/>
      <c r="B208" s="347" t="s">
        <v>1455</v>
      </c>
      <c r="C208" s="326"/>
      <c r="D208" s="327"/>
      <c r="E208" s="328"/>
      <c r="F208" s="358"/>
    </row>
    <row r="209" spans="1:6" s="307" customFormat="1" ht="12.75" customHeight="1">
      <c r="A209" s="329"/>
      <c r="B209" s="347" t="s">
        <v>1442</v>
      </c>
      <c r="C209" s="326"/>
      <c r="D209" s="327"/>
      <c r="E209" s="328"/>
      <c r="F209" s="358"/>
    </row>
    <row r="210" spans="1:6" s="307" customFormat="1">
      <c r="A210" s="329"/>
      <c r="B210" s="347" t="s">
        <v>1443</v>
      </c>
      <c r="C210" s="326"/>
      <c r="D210" s="327"/>
      <c r="E210" s="328"/>
      <c r="F210" s="358"/>
    </row>
    <row r="211" spans="1:6" s="307" customFormat="1">
      <c r="A211" s="329"/>
      <c r="B211" s="347" t="s">
        <v>1456</v>
      </c>
      <c r="C211" s="326"/>
      <c r="D211" s="327"/>
      <c r="E211" s="328"/>
      <c r="F211" s="358"/>
    </row>
    <row r="212" spans="1:6" s="307" customFormat="1">
      <c r="A212" s="329"/>
      <c r="B212" s="347" t="s">
        <v>1457</v>
      </c>
      <c r="C212" s="326"/>
      <c r="D212" s="327"/>
      <c r="E212" s="328"/>
      <c r="F212" s="358"/>
    </row>
    <row r="213" spans="1:6" s="307" customFormat="1">
      <c r="A213" s="329"/>
      <c r="B213" s="330"/>
      <c r="C213" s="359" t="s">
        <v>291</v>
      </c>
      <c r="D213" s="333">
        <v>4</v>
      </c>
      <c r="E213" s="334">
        <v>800</v>
      </c>
      <c r="F213" s="360">
        <f>E213*D213</f>
        <v>3200</v>
      </c>
    </row>
    <row r="214" spans="1:6" s="307" customFormat="1">
      <c r="A214" s="329"/>
      <c r="B214" s="347"/>
      <c r="C214" s="359"/>
      <c r="D214" s="333"/>
      <c r="E214" s="334"/>
      <c r="F214" s="362"/>
    </row>
    <row r="215" spans="1:6">
      <c r="A215" s="341" t="s">
        <v>58</v>
      </c>
      <c r="B215" s="347" t="s">
        <v>1458</v>
      </c>
      <c r="C215" s="332"/>
      <c r="D215" s="333"/>
      <c r="E215" s="363"/>
    </row>
    <row r="216" spans="1:6" ht="79.2">
      <c r="B216" s="347" t="s">
        <v>1459</v>
      </c>
      <c r="C216" s="332"/>
      <c r="D216" s="333"/>
      <c r="E216" s="363"/>
    </row>
    <row r="217" spans="1:6" ht="52.8">
      <c r="B217" s="347" t="s">
        <v>1460</v>
      </c>
      <c r="C217" s="332"/>
      <c r="D217" s="333"/>
    </row>
    <row r="218" spans="1:6">
      <c r="B218" s="347" t="s">
        <v>1461</v>
      </c>
      <c r="C218" s="332"/>
      <c r="D218" s="333"/>
    </row>
    <row r="219" spans="1:6">
      <c r="B219" s="347" t="s">
        <v>1462</v>
      </c>
      <c r="C219" s="332"/>
      <c r="D219" s="333"/>
    </row>
    <row r="220" spans="1:6">
      <c r="B220" s="347" t="s">
        <v>1463</v>
      </c>
      <c r="C220" s="332"/>
      <c r="D220" s="333"/>
    </row>
    <row r="221" spans="1:6">
      <c r="B221" s="347" t="s">
        <v>1464</v>
      </c>
      <c r="C221" s="332"/>
      <c r="D221" s="333"/>
    </row>
    <row r="222" spans="1:6">
      <c r="B222" s="347" t="s">
        <v>1465</v>
      </c>
      <c r="C222" s="332"/>
      <c r="D222" s="333"/>
    </row>
    <row r="223" spans="1:6">
      <c r="B223" s="347" t="s">
        <v>1466</v>
      </c>
      <c r="C223" s="359"/>
      <c r="D223" s="333"/>
    </row>
    <row r="224" spans="1:6" ht="26.4">
      <c r="B224" s="347" t="s">
        <v>1467</v>
      </c>
      <c r="C224" s="359"/>
      <c r="D224" s="333"/>
    </row>
    <row r="225" spans="1:6">
      <c r="A225" s="341"/>
      <c r="B225" s="364"/>
      <c r="C225" s="359" t="s">
        <v>291</v>
      </c>
      <c r="D225" s="333">
        <v>5</v>
      </c>
      <c r="E225" s="334">
        <v>250</v>
      </c>
      <c r="F225" s="363">
        <f>E225*D225</f>
        <v>1250</v>
      </c>
    </row>
    <row r="226" spans="1:6" ht="12" customHeight="1">
      <c r="A226" s="357"/>
      <c r="B226" s="364"/>
      <c r="C226" s="359"/>
      <c r="D226" s="333"/>
      <c r="F226" s="363"/>
    </row>
    <row r="227" spans="1:6" ht="26.4">
      <c r="A227" s="357" t="s">
        <v>141</v>
      </c>
      <c r="B227" s="347" t="s">
        <v>1468</v>
      </c>
      <c r="C227" s="359"/>
      <c r="D227" s="333"/>
      <c r="F227" s="363"/>
    </row>
    <row r="228" spans="1:6">
      <c r="A228" s="357"/>
      <c r="B228" s="347"/>
      <c r="C228" s="332" t="s">
        <v>291</v>
      </c>
      <c r="D228" s="333">
        <v>1</v>
      </c>
      <c r="E228" s="334">
        <v>250</v>
      </c>
      <c r="F228" s="363">
        <f>E228*D228</f>
        <v>250</v>
      </c>
    </row>
    <row r="229" spans="1:6">
      <c r="A229" s="357"/>
      <c r="B229" s="347"/>
      <c r="C229" s="332"/>
      <c r="D229" s="333"/>
      <c r="F229" s="363"/>
    </row>
    <row r="230" spans="1:6" ht="52.5" customHeight="1">
      <c r="A230" s="331" t="s">
        <v>1191</v>
      </c>
      <c r="B230" s="349" t="s">
        <v>1469</v>
      </c>
      <c r="C230" s="332"/>
      <c r="E230" s="328"/>
      <c r="F230" s="365">
        <f>E231:E231</f>
        <v>0</v>
      </c>
    </row>
    <row r="231" spans="1:6" ht="11.25" customHeight="1">
      <c r="B231" s="349" t="s">
        <v>1470</v>
      </c>
      <c r="C231" s="313"/>
      <c r="D231" s="366"/>
    </row>
    <row r="232" spans="1:6" ht="15" customHeight="1">
      <c r="B232" s="349" t="s">
        <v>1471</v>
      </c>
      <c r="C232" s="313" t="s">
        <v>291</v>
      </c>
      <c r="D232" s="366">
        <v>1</v>
      </c>
      <c r="E232" s="334">
        <v>250</v>
      </c>
      <c r="F232" s="360">
        <f t="shared" ref="F232:F238" si="0">E232*D232</f>
        <v>250</v>
      </c>
    </row>
    <row r="233" spans="1:6" ht="13.5" customHeight="1">
      <c r="B233" s="349" t="s">
        <v>1472</v>
      </c>
      <c r="C233" s="313" t="s">
        <v>291</v>
      </c>
      <c r="D233" s="366">
        <v>2</v>
      </c>
      <c r="E233" s="334">
        <v>240</v>
      </c>
      <c r="F233" s="360">
        <f>E233*D233</f>
        <v>480</v>
      </c>
    </row>
    <row r="234" spans="1:6" ht="13.5" customHeight="1">
      <c r="B234" s="349" t="s">
        <v>1473</v>
      </c>
      <c r="C234" s="313" t="s">
        <v>291</v>
      </c>
      <c r="D234" s="366">
        <v>1</v>
      </c>
      <c r="E234" s="334">
        <v>230</v>
      </c>
      <c r="F234" s="360">
        <f t="shared" si="0"/>
        <v>230</v>
      </c>
    </row>
    <row r="235" spans="1:6" ht="13.5" customHeight="1">
      <c r="B235" s="349" t="s">
        <v>1474</v>
      </c>
      <c r="C235" s="313" t="s">
        <v>291</v>
      </c>
      <c r="D235" s="366">
        <v>1</v>
      </c>
      <c r="E235" s="334">
        <v>220</v>
      </c>
      <c r="F235" s="360">
        <f t="shared" si="0"/>
        <v>220</v>
      </c>
    </row>
    <row r="236" spans="1:6" ht="13.5" customHeight="1">
      <c r="B236" s="349" t="s">
        <v>1475</v>
      </c>
      <c r="C236" s="313" t="s">
        <v>291</v>
      </c>
      <c r="D236" s="366">
        <v>4</v>
      </c>
      <c r="E236" s="334">
        <v>200</v>
      </c>
      <c r="F236" s="360">
        <f t="shared" si="0"/>
        <v>800</v>
      </c>
    </row>
    <row r="237" spans="1:6" ht="13.5" customHeight="1">
      <c r="B237" s="349" t="s">
        <v>1476</v>
      </c>
      <c r="C237" s="313" t="s">
        <v>291</v>
      </c>
      <c r="D237" s="366">
        <v>1</v>
      </c>
      <c r="E237" s="334">
        <v>190</v>
      </c>
      <c r="F237" s="360">
        <f t="shared" si="0"/>
        <v>190</v>
      </c>
    </row>
    <row r="238" spans="1:6" ht="13.5" customHeight="1">
      <c r="B238" s="349" t="s">
        <v>1477</v>
      </c>
      <c r="C238" s="313" t="s">
        <v>291</v>
      </c>
      <c r="D238" s="366">
        <v>3</v>
      </c>
      <c r="E238" s="334">
        <v>150</v>
      </c>
      <c r="F238" s="360">
        <f t="shared" si="0"/>
        <v>450</v>
      </c>
    </row>
    <row r="239" spans="1:6" ht="12" customHeight="1">
      <c r="A239" s="346"/>
      <c r="B239" s="347"/>
      <c r="C239" s="332"/>
      <c r="D239" s="333"/>
    </row>
    <row r="240" spans="1:6" ht="42.75" customHeight="1">
      <c r="A240" s="331" t="s">
        <v>180</v>
      </c>
      <c r="B240" s="351" t="s">
        <v>1478</v>
      </c>
      <c r="C240" s="332" t="s">
        <v>291</v>
      </c>
      <c r="D240" s="333">
        <v>13</v>
      </c>
      <c r="E240" s="334">
        <v>30</v>
      </c>
      <c r="F240" s="367">
        <f>E240*D240</f>
        <v>390</v>
      </c>
    </row>
    <row r="241" spans="1:6">
      <c r="B241" s="351"/>
      <c r="C241" s="332"/>
      <c r="D241" s="368"/>
    </row>
    <row r="242" spans="1:6" ht="17.25" customHeight="1">
      <c r="A242" s="331" t="s">
        <v>1198</v>
      </c>
      <c r="B242" s="351" t="s">
        <v>1479</v>
      </c>
      <c r="C242" s="332"/>
      <c r="D242" s="368"/>
    </row>
    <row r="243" spans="1:6">
      <c r="B243" s="349" t="s">
        <v>1480</v>
      </c>
      <c r="C243" s="332" t="s">
        <v>291</v>
      </c>
      <c r="D243" s="333">
        <v>5</v>
      </c>
      <c r="E243" s="334">
        <v>30</v>
      </c>
      <c r="F243" s="334">
        <f>E243*D243</f>
        <v>150</v>
      </c>
    </row>
    <row r="244" spans="1:6">
      <c r="B244" s="351"/>
      <c r="C244" s="332"/>
      <c r="D244" s="333"/>
    </row>
    <row r="245" spans="1:6">
      <c r="A245" s="331" t="s">
        <v>231</v>
      </c>
      <c r="B245" s="351" t="s">
        <v>1481</v>
      </c>
      <c r="C245" s="332"/>
      <c r="D245" s="333"/>
    </row>
    <row r="246" spans="1:6">
      <c r="B246" s="349" t="s">
        <v>1480</v>
      </c>
      <c r="C246" s="332" t="s">
        <v>291</v>
      </c>
      <c r="D246" s="333">
        <v>5</v>
      </c>
      <c r="E246" s="334">
        <v>20</v>
      </c>
      <c r="F246" s="334">
        <f>E246*D246</f>
        <v>100</v>
      </c>
    </row>
    <row r="247" spans="1:6">
      <c r="B247" s="349"/>
      <c r="C247" s="332"/>
      <c r="D247" s="333"/>
    </row>
    <row r="248" spans="1:6" ht="13.5" customHeight="1">
      <c r="A248" s="331" t="s">
        <v>1202</v>
      </c>
      <c r="B248" s="369" t="s">
        <v>1482</v>
      </c>
      <c r="C248" s="332"/>
      <c r="D248" s="333"/>
    </row>
    <row r="249" spans="1:6" ht="12.75" customHeight="1">
      <c r="B249" s="369" t="s">
        <v>1483</v>
      </c>
      <c r="C249" s="332" t="s">
        <v>1484</v>
      </c>
      <c r="D249" s="333">
        <v>150</v>
      </c>
      <c r="E249" s="334">
        <v>80</v>
      </c>
      <c r="F249" s="334">
        <f>E249*D249</f>
        <v>12000</v>
      </c>
    </row>
    <row r="250" spans="1:6" ht="12.75" customHeight="1">
      <c r="B250" s="369" t="s">
        <v>1485</v>
      </c>
      <c r="C250" s="332" t="s">
        <v>1484</v>
      </c>
      <c r="D250" s="333">
        <v>55</v>
      </c>
      <c r="E250" s="334">
        <v>40</v>
      </c>
      <c r="F250" s="334">
        <f>E250*D250</f>
        <v>2200</v>
      </c>
    </row>
    <row r="251" spans="1:6" ht="12.75" customHeight="1">
      <c r="B251" s="369" t="s">
        <v>1486</v>
      </c>
      <c r="C251" s="332" t="s">
        <v>1484</v>
      </c>
      <c r="D251" s="333">
        <v>150</v>
      </c>
      <c r="E251" s="334">
        <v>30</v>
      </c>
      <c r="F251" s="334">
        <f>E251*D251</f>
        <v>4500</v>
      </c>
    </row>
    <row r="252" spans="1:6" ht="12.75" customHeight="1">
      <c r="B252" s="369" t="s">
        <v>1487</v>
      </c>
      <c r="C252" s="332" t="s">
        <v>1484</v>
      </c>
      <c r="D252" s="333">
        <v>30</v>
      </c>
      <c r="E252" s="334">
        <v>25</v>
      </c>
      <c r="F252" s="334">
        <f>E252*D252</f>
        <v>750</v>
      </c>
    </row>
    <row r="253" spans="1:6" ht="12.75" customHeight="1">
      <c r="B253" s="369" t="s">
        <v>1488</v>
      </c>
      <c r="C253" s="332" t="s">
        <v>1484</v>
      </c>
      <c r="D253" s="333">
        <v>210</v>
      </c>
      <c r="E253" s="334">
        <v>22</v>
      </c>
      <c r="F253" s="334">
        <f>E253*D253</f>
        <v>4620</v>
      </c>
    </row>
    <row r="254" spans="1:6" ht="13.5" customHeight="1">
      <c r="A254" s="346"/>
      <c r="B254" s="347"/>
      <c r="C254" s="359"/>
    </row>
    <row r="255" spans="1:6" ht="15.75" customHeight="1">
      <c r="A255" s="346" t="s">
        <v>1203</v>
      </c>
      <c r="B255" s="370" t="s">
        <v>1489</v>
      </c>
      <c r="C255" s="332"/>
      <c r="D255" s="333"/>
    </row>
    <row r="256" spans="1:6" ht="13.5" customHeight="1">
      <c r="A256" s="346"/>
      <c r="B256" s="370" t="s">
        <v>1490</v>
      </c>
      <c r="C256" s="332"/>
      <c r="D256" s="333"/>
    </row>
    <row r="257" spans="1:6" ht="14.25" customHeight="1">
      <c r="A257" s="346"/>
      <c r="B257" s="370" t="s">
        <v>1491</v>
      </c>
      <c r="C257" s="332"/>
      <c r="D257" s="333"/>
    </row>
    <row r="258" spans="1:6" ht="15.75" customHeight="1">
      <c r="A258" s="346"/>
      <c r="B258" s="371" t="s">
        <v>1492</v>
      </c>
      <c r="C258" s="332" t="s">
        <v>1484</v>
      </c>
      <c r="D258" s="333">
        <v>40</v>
      </c>
      <c r="E258" s="334">
        <v>22</v>
      </c>
      <c r="F258" s="334">
        <f>E258*D258</f>
        <v>880</v>
      </c>
    </row>
    <row r="259" spans="1:6" ht="15.75" customHeight="1">
      <c r="A259" s="346"/>
      <c r="B259" s="370" t="s">
        <v>1493</v>
      </c>
      <c r="C259" s="332" t="s">
        <v>1484</v>
      </c>
      <c r="D259" s="333">
        <v>25</v>
      </c>
      <c r="E259" s="334">
        <v>20</v>
      </c>
      <c r="F259" s="334">
        <f>E259*D259</f>
        <v>500</v>
      </c>
    </row>
    <row r="260" spans="1:6" ht="15.75" customHeight="1">
      <c r="A260" s="346"/>
      <c r="B260" s="308"/>
      <c r="C260" s="332"/>
      <c r="D260" s="333"/>
    </row>
    <row r="261" spans="1:6" ht="69" customHeight="1">
      <c r="A261" s="331" t="s">
        <v>1205</v>
      </c>
      <c r="B261" s="347" t="s">
        <v>1494</v>
      </c>
      <c r="D261" s="333"/>
    </row>
    <row r="262" spans="1:6" ht="12.75" customHeight="1">
      <c r="B262" s="369" t="s">
        <v>1483</v>
      </c>
      <c r="C262" s="332" t="s">
        <v>1484</v>
      </c>
      <c r="D262" s="333">
        <v>150</v>
      </c>
      <c r="E262" s="334">
        <v>20</v>
      </c>
      <c r="F262" s="334">
        <f>E262*D262</f>
        <v>3000</v>
      </c>
    </row>
    <row r="263" spans="1:6" ht="12.75" customHeight="1">
      <c r="B263" s="369" t="s">
        <v>1485</v>
      </c>
      <c r="C263" s="332" t="s">
        <v>1484</v>
      </c>
      <c r="D263" s="333">
        <v>55</v>
      </c>
      <c r="E263" s="334">
        <v>11</v>
      </c>
      <c r="F263" s="334">
        <f>E263*D263</f>
        <v>605</v>
      </c>
    </row>
    <row r="264" spans="1:6" ht="12.75" customHeight="1">
      <c r="B264" s="369" t="s">
        <v>1486</v>
      </c>
      <c r="C264" s="332" t="s">
        <v>1484</v>
      </c>
      <c r="D264" s="333">
        <v>150</v>
      </c>
      <c r="E264" s="334">
        <v>9</v>
      </c>
      <c r="F264" s="334">
        <f>E264*D264</f>
        <v>1350</v>
      </c>
    </row>
    <row r="265" spans="1:6" ht="12.75" customHeight="1">
      <c r="B265" s="369" t="s">
        <v>1487</v>
      </c>
      <c r="C265" s="332" t="s">
        <v>1484</v>
      </c>
      <c r="D265" s="333">
        <v>30</v>
      </c>
      <c r="E265" s="334">
        <v>7</v>
      </c>
      <c r="F265" s="334">
        <f>E265*D265</f>
        <v>210</v>
      </c>
    </row>
    <row r="266" spans="1:6" ht="12.75" customHeight="1">
      <c r="B266" s="369" t="s">
        <v>1488</v>
      </c>
      <c r="C266" s="332" t="s">
        <v>1484</v>
      </c>
      <c r="D266" s="333">
        <v>210</v>
      </c>
      <c r="E266" s="334">
        <v>5</v>
      </c>
      <c r="F266" s="334">
        <f>E266*D266</f>
        <v>1050</v>
      </c>
    </row>
    <row r="267" spans="1:6" ht="12.75" customHeight="1">
      <c r="B267" s="369"/>
      <c r="C267" s="332"/>
      <c r="D267" s="333"/>
    </row>
    <row r="268" spans="1:6" ht="54" customHeight="1">
      <c r="A268" s="331" t="s">
        <v>1206</v>
      </c>
      <c r="B268" s="372" t="s">
        <v>1495</v>
      </c>
      <c r="C268" s="373"/>
      <c r="D268" s="374"/>
    </row>
    <row r="269" spans="1:6" ht="13.5" customHeight="1">
      <c r="B269" s="372"/>
      <c r="C269" s="373" t="s">
        <v>1424</v>
      </c>
      <c r="D269" s="374">
        <v>30</v>
      </c>
      <c r="E269" s="334">
        <v>30</v>
      </c>
      <c r="F269" s="367">
        <f>E269*D269</f>
        <v>900</v>
      </c>
    </row>
    <row r="270" spans="1:6" ht="15.75" customHeight="1" thickBot="1">
      <c r="A270" s="375"/>
      <c r="B270" s="376"/>
      <c r="C270" s="377"/>
      <c r="D270" s="378"/>
      <c r="E270" s="419"/>
      <c r="F270" s="379"/>
    </row>
    <row r="271" spans="1:6" ht="16.5" customHeight="1" thickTop="1">
      <c r="A271" s="337" t="s">
        <v>1324</v>
      </c>
      <c r="B271" s="338" t="s">
        <v>1496</v>
      </c>
      <c r="C271" s="332"/>
      <c r="D271" s="333"/>
      <c r="F271" s="322">
        <f>SUM(F78:F269)</f>
        <v>174625</v>
      </c>
    </row>
    <row r="272" spans="1:6" ht="16.5" customHeight="1">
      <c r="A272" s="337"/>
      <c r="B272" s="338"/>
      <c r="C272" s="332"/>
      <c r="D272" s="333"/>
      <c r="F272" s="322"/>
    </row>
    <row r="273" spans="1:7" ht="15" customHeight="1">
      <c r="A273" s="337"/>
      <c r="B273" s="338"/>
      <c r="C273" s="332"/>
      <c r="D273" s="333"/>
      <c r="F273" s="322"/>
    </row>
    <row r="274" spans="1:7" ht="16.5" customHeight="1">
      <c r="A274" s="337" t="s">
        <v>1497</v>
      </c>
      <c r="B274" s="338" t="s">
        <v>1498</v>
      </c>
      <c r="C274" s="332"/>
      <c r="D274" s="333"/>
      <c r="F274" s="322"/>
    </row>
    <row r="275" spans="1:7" ht="16.5" customHeight="1">
      <c r="A275" s="337"/>
      <c r="B275" s="338"/>
      <c r="C275" s="332"/>
      <c r="D275" s="333"/>
      <c r="F275" s="322"/>
    </row>
    <row r="276" spans="1:7" ht="122.25" customHeight="1">
      <c r="A276" s="331" t="s">
        <v>0</v>
      </c>
      <c r="B276" s="349" t="s">
        <v>2665</v>
      </c>
      <c r="D276" s="333"/>
      <c r="F276" s="360"/>
    </row>
    <row r="277" spans="1:7" ht="14.25" customHeight="1">
      <c r="C277" s="359" t="s">
        <v>291</v>
      </c>
      <c r="D277" s="333">
        <v>1</v>
      </c>
      <c r="E277" s="334">
        <v>700</v>
      </c>
      <c r="F277" s="360">
        <f>E277*D277</f>
        <v>700</v>
      </c>
    </row>
    <row r="278" spans="1:7" ht="13.5" customHeight="1">
      <c r="C278" s="359"/>
      <c r="D278" s="333"/>
      <c r="F278" s="360"/>
    </row>
    <row r="279" spans="1:7">
      <c r="A279" s="331" t="s">
        <v>4</v>
      </c>
      <c r="B279" s="373" t="s">
        <v>1499</v>
      </c>
      <c r="C279" s="381"/>
      <c r="D279" s="382"/>
      <c r="E279" s="921"/>
      <c r="G279" s="383"/>
    </row>
    <row r="280" spans="1:7" ht="271.5" customHeight="1">
      <c r="A280" s="357"/>
      <c r="B280" s="315" t="s">
        <v>1500</v>
      </c>
      <c r="C280" s="313"/>
      <c r="D280" s="363"/>
      <c r="E280" s="363"/>
      <c r="F280" s="363"/>
    </row>
    <row r="281" spans="1:7" ht="14.25" customHeight="1">
      <c r="B281" s="312"/>
      <c r="C281" s="332" t="s">
        <v>291</v>
      </c>
      <c r="D281" s="334">
        <v>1</v>
      </c>
      <c r="E281" s="334">
        <v>2000</v>
      </c>
      <c r="F281" s="334">
        <f>E281*D281</f>
        <v>2000</v>
      </c>
    </row>
    <row r="282" spans="1:7" ht="12.75" customHeight="1">
      <c r="A282" s="357"/>
      <c r="B282" s="315"/>
      <c r="C282" s="313"/>
      <c r="D282" s="363"/>
      <c r="E282" s="363"/>
      <c r="F282" s="363"/>
    </row>
    <row r="283" spans="1:7">
      <c r="A283" s="348" t="s">
        <v>1501</v>
      </c>
      <c r="B283" s="373" t="s">
        <v>1502</v>
      </c>
      <c r="C283" s="381" t="s">
        <v>291</v>
      </c>
      <c r="D283" s="334">
        <v>3</v>
      </c>
      <c r="E283" s="921">
        <v>25</v>
      </c>
      <c r="F283" s="334">
        <f>E283*D283</f>
        <v>75</v>
      </c>
      <c r="G283" s="383"/>
    </row>
    <row r="284" spans="1:7">
      <c r="A284" s="348"/>
      <c r="B284" s="373"/>
      <c r="C284" s="381"/>
      <c r="D284" s="382"/>
      <c r="E284" s="921"/>
      <c r="G284" s="383"/>
    </row>
    <row r="285" spans="1:7">
      <c r="A285" s="348" t="s">
        <v>1503</v>
      </c>
      <c r="B285" s="373" t="s">
        <v>1504</v>
      </c>
      <c r="C285" s="381"/>
      <c r="D285" s="382"/>
      <c r="E285" s="921"/>
      <c r="G285" s="383"/>
    </row>
    <row r="286" spans="1:7">
      <c r="A286" s="348"/>
      <c r="B286" s="373" t="s">
        <v>1505</v>
      </c>
      <c r="C286" s="381"/>
      <c r="D286" s="382"/>
      <c r="E286" s="921"/>
      <c r="G286" s="383"/>
    </row>
    <row r="287" spans="1:7" ht="26.4">
      <c r="A287" s="348"/>
      <c r="B287" s="373" t="s">
        <v>1506</v>
      </c>
      <c r="C287" s="381"/>
      <c r="D287" s="382"/>
      <c r="E287" s="921"/>
      <c r="G287" s="383"/>
    </row>
    <row r="288" spans="1:7">
      <c r="A288" s="348"/>
      <c r="B288" s="373"/>
      <c r="C288" s="381" t="s">
        <v>291</v>
      </c>
      <c r="D288" s="382">
        <v>1</v>
      </c>
      <c r="E288" s="921">
        <v>50</v>
      </c>
      <c r="F288" s="334">
        <f>E288*D288</f>
        <v>50</v>
      </c>
      <c r="G288" s="383"/>
    </row>
    <row r="289" spans="1:7" ht="21" customHeight="1">
      <c r="A289" s="348" t="s">
        <v>1507</v>
      </c>
      <c r="B289" s="369" t="s">
        <v>1508</v>
      </c>
      <c r="C289" s="381"/>
      <c r="D289" s="382"/>
      <c r="E289" s="921"/>
      <c r="G289" s="383"/>
    </row>
    <row r="290" spans="1:7" ht="14.25" customHeight="1">
      <c r="A290" s="348"/>
      <c r="B290" s="369"/>
      <c r="C290" s="381" t="s">
        <v>291</v>
      </c>
      <c r="D290" s="382">
        <v>1</v>
      </c>
      <c r="E290" s="921">
        <v>300</v>
      </c>
      <c r="F290" s="334">
        <f>E290*D290</f>
        <v>300</v>
      </c>
      <c r="G290" s="383"/>
    </row>
    <row r="291" spans="1:7" ht="15" customHeight="1">
      <c r="A291" s="348"/>
      <c r="B291" s="369"/>
      <c r="C291" s="381"/>
      <c r="D291" s="382"/>
      <c r="E291" s="921"/>
      <c r="G291" s="383"/>
    </row>
    <row r="292" spans="1:7" ht="68.25" customHeight="1">
      <c r="A292" s="331">
        <v>3</v>
      </c>
      <c r="B292" s="369" t="s">
        <v>1509</v>
      </c>
      <c r="C292" s="332" t="s">
        <v>291</v>
      </c>
      <c r="D292" s="333">
        <v>1</v>
      </c>
      <c r="E292" s="334">
        <v>50</v>
      </c>
      <c r="F292" s="334">
        <f>E292*D292</f>
        <v>50</v>
      </c>
    </row>
    <row r="293" spans="1:7" ht="18.75" customHeight="1">
      <c r="A293" s="384"/>
      <c r="B293" s="385"/>
      <c r="C293" s="386"/>
      <c r="D293" s="387"/>
      <c r="E293" s="387"/>
      <c r="F293" s="387"/>
    </row>
    <row r="294" spans="1:7" ht="52.5" customHeight="1">
      <c r="A294" s="357" t="s">
        <v>5</v>
      </c>
      <c r="B294" s="388" t="s">
        <v>1510</v>
      </c>
      <c r="C294" s="313" t="s">
        <v>291</v>
      </c>
      <c r="D294" s="389">
        <v>1</v>
      </c>
      <c r="E294" s="363">
        <v>1200</v>
      </c>
      <c r="F294" s="363">
        <f>E294*D294</f>
        <v>1200</v>
      </c>
    </row>
    <row r="295" spans="1:7" ht="14.25" customHeight="1">
      <c r="A295" s="357"/>
      <c r="B295" s="388"/>
      <c r="C295" s="313"/>
      <c r="D295" s="389"/>
      <c r="E295" s="390"/>
      <c r="F295" s="390"/>
    </row>
    <row r="296" spans="1:7" ht="41.25" customHeight="1">
      <c r="A296" s="357"/>
      <c r="B296" s="388" t="s">
        <v>1511</v>
      </c>
      <c r="C296" s="313" t="s">
        <v>291</v>
      </c>
      <c r="D296" s="389">
        <v>1</v>
      </c>
      <c r="E296" s="363">
        <v>1200</v>
      </c>
      <c r="F296" s="363">
        <f>E296*D296</f>
        <v>1200</v>
      </c>
    </row>
    <row r="297" spans="1:7" ht="13.5" customHeight="1">
      <c r="A297" s="357"/>
      <c r="B297" s="315"/>
      <c r="C297" s="313"/>
      <c r="D297" s="389"/>
      <c r="E297" s="390"/>
      <c r="F297" s="390"/>
    </row>
    <row r="298" spans="1:7" ht="41.25" customHeight="1">
      <c r="A298" s="357"/>
      <c r="B298" s="388" t="s">
        <v>1512</v>
      </c>
      <c r="C298" s="313" t="s">
        <v>291</v>
      </c>
      <c r="D298" s="389">
        <v>1</v>
      </c>
      <c r="E298" s="363">
        <v>800</v>
      </c>
      <c r="F298" s="363">
        <f>E298:E298</f>
        <v>800</v>
      </c>
    </row>
    <row r="299" spans="1:7" ht="12.75" customHeight="1">
      <c r="A299" s="357"/>
      <c r="B299" s="391"/>
      <c r="C299" s="313"/>
      <c r="D299" s="389"/>
      <c r="E299" s="392"/>
      <c r="F299" s="363"/>
    </row>
    <row r="300" spans="1:7" ht="39" customHeight="1">
      <c r="A300" s="357"/>
      <c r="B300" s="315" t="s">
        <v>1513</v>
      </c>
      <c r="C300" s="313" t="s">
        <v>291</v>
      </c>
      <c r="D300" s="389">
        <v>2</v>
      </c>
      <c r="E300" s="363">
        <v>700</v>
      </c>
      <c r="F300" s="363">
        <f>E300*D300</f>
        <v>1400</v>
      </c>
    </row>
    <row r="301" spans="1:7" ht="15.75" customHeight="1">
      <c r="A301" s="357"/>
      <c r="B301" s="315"/>
      <c r="C301" s="313"/>
      <c r="D301" s="389"/>
      <c r="E301" s="363"/>
      <c r="F301" s="363"/>
    </row>
    <row r="302" spans="1:7" ht="42.75" customHeight="1">
      <c r="A302" s="357"/>
      <c r="B302" s="388" t="s">
        <v>1514</v>
      </c>
      <c r="C302" s="313" t="s">
        <v>291</v>
      </c>
      <c r="D302" s="389">
        <v>1</v>
      </c>
      <c r="E302" s="363">
        <v>700</v>
      </c>
      <c r="F302" s="363">
        <f>E302*D302</f>
        <v>700</v>
      </c>
    </row>
    <row r="303" spans="1:7" ht="15.75" customHeight="1">
      <c r="A303" s="357"/>
      <c r="B303" s="388"/>
      <c r="C303" s="313"/>
      <c r="D303" s="389"/>
      <c r="E303" s="390"/>
      <c r="F303" s="390"/>
    </row>
    <row r="304" spans="1:7" ht="42.75" customHeight="1">
      <c r="A304" s="357"/>
      <c r="B304" s="315" t="s">
        <v>1515</v>
      </c>
      <c r="C304" s="313" t="s">
        <v>291</v>
      </c>
      <c r="D304" s="389">
        <v>1</v>
      </c>
      <c r="E304" s="363">
        <v>1200</v>
      </c>
      <c r="F304" s="363">
        <f>E304*D304</f>
        <v>1200</v>
      </c>
    </row>
    <row r="305" spans="1:6" ht="15" customHeight="1">
      <c r="A305" s="357"/>
      <c r="B305" s="391"/>
      <c r="C305" s="313"/>
      <c r="D305" s="392"/>
      <c r="E305" s="393"/>
      <c r="F305" s="390"/>
    </row>
    <row r="306" spans="1:6" ht="52.5" customHeight="1">
      <c r="A306" s="357"/>
      <c r="B306" s="388" t="s">
        <v>1516</v>
      </c>
      <c r="C306" s="313" t="s">
        <v>291</v>
      </c>
      <c r="D306" s="389">
        <v>1</v>
      </c>
      <c r="E306" s="363">
        <v>2500</v>
      </c>
      <c r="F306" s="363">
        <f>E306*D306</f>
        <v>2500</v>
      </c>
    </row>
    <row r="307" spans="1:6" ht="14.25" customHeight="1">
      <c r="A307" s="357"/>
      <c r="B307" s="388"/>
      <c r="C307" s="313"/>
      <c r="D307" s="389"/>
      <c r="E307" s="363"/>
      <c r="F307" s="363"/>
    </row>
    <row r="308" spans="1:6" ht="41.25" customHeight="1">
      <c r="A308" s="357"/>
      <c r="B308" s="388" t="s">
        <v>1517</v>
      </c>
      <c r="C308" s="313" t="s">
        <v>291</v>
      </c>
      <c r="D308" s="389">
        <v>1</v>
      </c>
      <c r="E308" s="363">
        <v>2500</v>
      </c>
      <c r="F308" s="363">
        <f>E308*D308</f>
        <v>2500</v>
      </c>
    </row>
    <row r="309" spans="1:6" ht="12.75" customHeight="1">
      <c r="A309" s="357"/>
      <c r="B309" s="391"/>
      <c r="C309" s="313"/>
      <c r="D309" s="389"/>
      <c r="E309" s="392"/>
      <c r="F309" s="363"/>
    </row>
    <row r="310" spans="1:6" ht="39" customHeight="1">
      <c r="A310" s="357"/>
      <c r="B310" s="315" t="s">
        <v>1518</v>
      </c>
      <c r="C310" s="313" t="s">
        <v>291</v>
      </c>
      <c r="D310" s="389">
        <v>2</v>
      </c>
      <c r="E310" s="363">
        <v>1200</v>
      </c>
      <c r="F310" s="363">
        <f>E310*D310</f>
        <v>2400</v>
      </c>
    </row>
    <row r="311" spans="1:6" ht="15.75" customHeight="1">
      <c r="A311" s="357"/>
      <c r="B311" s="315"/>
      <c r="C311" s="313"/>
      <c r="D311" s="389"/>
      <c r="E311" s="390"/>
      <c r="F311" s="390"/>
    </row>
    <row r="312" spans="1:6" ht="15.75" customHeight="1">
      <c r="A312" s="331" t="s">
        <v>49</v>
      </c>
      <c r="B312" s="394" t="s">
        <v>1519</v>
      </c>
      <c r="C312" s="332"/>
      <c r="D312" s="368"/>
    </row>
    <row r="313" spans="1:6" ht="15.75" customHeight="1">
      <c r="B313" s="348" t="s">
        <v>1520</v>
      </c>
      <c r="C313" s="332" t="s">
        <v>291</v>
      </c>
      <c r="D313" s="333">
        <v>1</v>
      </c>
    </row>
    <row r="314" spans="1:6" ht="15.75" customHeight="1">
      <c r="B314" s="348" t="s">
        <v>2789</v>
      </c>
      <c r="C314" s="917" t="s">
        <v>291</v>
      </c>
      <c r="D314" s="918">
        <v>1</v>
      </c>
    </row>
    <row r="315" spans="1:6" ht="16.5" customHeight="1">
      <c r="B315" s="396" t="s">
        <v>1521</v>
      </c>
      <c r="C315" s="332" t="s">
        <v>291</v>
      </c>
      <c r="D315" s="333">
        <v>1</v>
      </c>
    </row>
    <row r="316" spans="1:6" ht="26.25" customHeight="1">
      <c r="B316" s="396" t="s">
        <v>1522</v>
      </c>
      <c r="C316" s="332" t="s">
        <v>291</v>
      </c>
      <c r="D316" s="333">
        <v>7</v>
      </c>
    </row>
    <row r="317" spans="1:6" ht="28.5" customHeight="1">
      <c r="B317" s="396" t="s">
        <v>1523</v>
      </c>
      <c r="C317" s="332" t="s">
        <v>291</v>
      </c>
      <c r="D317" s="333">
        <v>7</v>
      </c>
    </row>
    <row r="318" spans="1:6" ht="27" customHeight="1">
      <c r="B318" s="397" t="s">
        <v>1524</v>
      </c>
      <c r="C318" s="332" t="s">
        <v>291</v>
      </c>
      <c r="D318" s="333">
        <v>1</v>
      </c>
    </row>
    <row r="319" spans="1:6" ht="27" customHeight="1">
      <c r="B319" s="397" t="s">
        <v>1525</v>
      </c>
      <c r="C319" s="332" t="s">
        <v>291</v>
      </c>
      <c r="D319" s="333">
        <v>1</v>
      </c>
    </row>
    <row r="320" spans="1:6" ht="27" customHeight="1">
      <c r="B320" s="397" t="s">
        <v>1526</v>
      </c>
      <c r="C320" s="332" t="s">
        <v>291</v>
      </c>
      <c r="D320" s="333">
        <v>4</v>
      </c>
    </row>
    <row r="321" spans="1:6" ht="27" customHeight="1">
      <c r="B321" s="397" t="s">
        <v>1527</v>
      </c>
      <c r="C321" s="332" t="s">
        <v>291</v>
      </c>
      <c r="D321" s="333">
        <v>1</v>
      </c>
    </row>
    <row r="322" spans="1:6" ht="15.75" customHeight="1">
      <c r="B322" s="397" t="s">
        <v>1528</v>
      </c>
      <c r="C322" s="332" t="s">
        <v>291</v>
      </c>
      <c r="D322" s="333">
        <v>3</v>
      </c>
    </row>
    <row r="323" spans="1:6" ht="15.75" customHeight="1">
      <c r="B323" s="397" t="s">
        <v>1529</v>
      </c>
      <c r="C323" s="332" t="s">
        <v>291</v>
      </c>
      <c r="D323" s="333">
        <v>12</v>
      </c>
    </row>
    <row r="324" spans="1:6" ht="15.75" customHeight="1">
      <c r="B324" s="397" t="s">
        <v>1530</v>
      </c>
      <c r="C324" s="332" t="s">
        <v>291</v>
      </c>
      <c r="D324" s="333">
        <v>12</v>
      </c>
    </row>
    <row r="325" spans="1:6" ht="15.75" customHeight="1">
      <c r="B325" s="397" t="s">
        <v>1531</v>
      </c>
      <c r="C325" s="332" t="s">
        <v>291</v>
      </c>
      <c r="D325" s="333">
        <v>3</v>
      </c>
    </row>
    <row r="326" spans="1:6" ht="18.75" customHeight="1">
      <c r="B326" s="369" t="s">
        <v>1532</v>
      </c>
      <c r="C326" s="332" t="s">
        <v>291</v>
      </c>
      <c r="D326" s="333">
        <v>7</v>
      </c>
    </row>
    <row r="327" spans="1:6" ht="14.25" customHeight="1">
      <c r="B327" s="308"/>
      <c r="C327" s="332" t="s">
        <v>253</v>
      </c>
      <c r="D327" s="333">
        <v>1</v>
      </c>
      <c r="E327" s="334">
        <v>5000</v>
      </c>
      <c r="F327" s="360">
        <f>E327*D327</f>
        <v>5000</v>
      </c>
    </row>
    <row r="328" spans="1:6" ht="14.25" customHeight="1">
      <c r="B328" s="348"/>
      <c r="C328" s="332"/>
      <c r="D328" s="398"/>
      <c r="F328" s="360"/>
    </row>
    <row r="329" spans="1:6" ht="185.25" customHeight="1">
      <c r="A329" s="331" t="s">
        <v>58</v>
      </c>
      <c r="B329" s="349" t="s">
        <v>1533</v>
      </c>
      <c r="C329" s="332"/>
      <c r="D329" s="398"/>
      <c r="F329" s="360"/>
    </row>
    <row r="330" spans="1:6" ht="14.25" customHeight="1">
      <c r="B330" s="312"/>
      <c r="C330" s="332" t="s">
        <v>253</v>
      </c>
      <c r="D330" s="333">
        <v>1</v>
      </c>
      <c r="E330" s="334">
        <v>3500</v>
      </c>
      <c r="F330" s="360">
        <f>E330*D330</f>
        <v>3500</v>
      </c>
    </row>
    <row r="331" spans="1:6" ht="14.25" customHeight="1">
      <c r="B331" s="348"/>
      <c r="C331" s="332"/>
      <c r="D331" s="398"/>
      <c r="F331" s="360"/>
    </row>
    <row r="332" spans="1:6" ht="63" customHeight="1">
      <c r="A332" s="331" t="s">
        <v>141</v>
      </c>
      <c r="B332" s="396" t="s">
        <v>1534</v>
      </c>
      <c r="C332" s="332"/>
      <c r="D332" s="398"/>
      <c r="F332" s="360"/>
    </row>
    <row r="333" spans="1:6" ht="14.25" customHeight="1">
      <c r="B333" s="312"/>
      <c r="C333" s="332" t="s">
        <v>291</v>
      </c>
      <c r="D333" s="333">
        <v>2</v>
      </c>
      <c r="E333" s="334">
        <v>1500</v>
      </c>
      <c r="F333" s="360">
        <f>E333*D333</f>
        <v>3000</v>
      </c>
    </row>
    <row r="334" spans="1:6" ht="14.25" customHeight="1">
      <c r="B334" s="348"/>
      <c r="C334" s="332"/>
      <c r="D334" s="333"/>
      <c r="F334" s="360"/>
    </row>
    <row r="335" spans="1:6" ht="89.25" customHeight="1">
      <c r="A335" s="331" t="s">
        <v>1191</v>
      </c>
      <c r="B335" s="369" t="s">
        <v>1535</v>
      </c>
      <c r="C335" s="332"/>
      <c r="D335" s="333"/>
      <c r="F335" s="360"/>
    </row>
    <row r="336" spans="1:6" ht="14.25" customHeight="1">
      <c r="B336" s="312"/>
      <c r="C336" s="332" t="s">
        <v>291</v>
      </c>
      <c r="D336" s="333">
        <v>1</v>
      </c>
      <c r="E336" s="334">
        <v>250</v>
      </c>
      <c r="F336" s="360">
        <f>E336*D336</f>
        <v>250</v>
      </c>
    </row>
    <row r="337" spans="1:7" ht="13.5" customHeight="1">
      <c r="B337" s="312"/>
      <c r="C337" s="332"/>
      <c r="D337" s="333"/>
      <c r="F337" s="360"/>
    </row>
    <row r="338" spans="1:7" ht="65.25" customHeight="1">
      <c r="A338" s="331" t="s">
        <v>180</v>
      </c>
      <c r="B338" s="369" t="s">
        <v>1536</v>
      </c>
      <c r="C338" s="332"/>
      <c r="D338" s="333"/>
      <c r="F338" s="360"/>
    </row>
    <row r="339" spans="1:7" ht="14.25" customHeight="1">
      <c r="B339" s="312"/>
      <c r="C339" s="332" t="s">
        <v>291</v>
      </c>
      <c r="D339" s="333">
        <v>1</v>
      </c>
      <c r="E339" s="334">
        <v>2500</v>
      </c>
      <c r="F339" s="360">
        <f>E339*D339</f>
        <v>2500</v>
      </c>
    </row>
    <row r="340" spans="1:7" ht="14.25" customHeight="1">
      <c r="B340" s="312"/>
      <c r="C340" s="332"/>
      <c r="D340" s="333"/>
      <c r="F340" s="360"/>
    </row>
    <row r="341" spans="1:7" ht="205.5" customHeight="1">
      <c r="A341" s="331" t="s">
        <v>1198</v>
      </c>
      <c r="B341" s="369" t="s">
        <v>1537</v>
      </c>
      <c r="C341" s="332"/>
      <c r="D341" s="398"/>
      <c r="F341" s="360"/>
      <c r="G341" s="399"/>
    </row>
    <row r="342" spans="1:7" ht="14.25" customHeight="1">
      <c r="B342" s="312"/>
      <c r="C342" s="332" t="s">
        <v>291</v>
      </c>
      <c r="D342" s="333">
        <v>2</v>
      </c>
      <c r="E342" s="334">
        <v>3000</v>
      </c>
      <c r="F342" s="367">
        <f>E342*D342</f>
        <v>6000</v>
      </c>
    </row>
    <row r="343" spans="1:7" s="307" customFormat="1">
      <c r="A343" s="329"/>
      <c r="B343" s="347"/>
      <c r="C343" s="326"/>
      <c r="D343" s="327"/>
      <c r="E343" s="334"/>
      <c r="F343" s="328"/>
    </row>
    <row r="344" spans="1:7" ht="26.25" customHeight="1">
      <c r="A344" s="331" t="s">
        <v>231</v>
      </c>
      <c r="B344" s="311" t="s">
        <v>1538</v>
      </c>
      <c r="C344" s="332"/>
      <c r="D344" s="333"/>
    </row>
    <row r="345" spans="1:7" ht="14.25" customHeight="1">
      <c r="B345" s="312"/>
      <c r="C345" s="332" t="s">
        <v>291</v>
      </c>
      <c r="D345" s="334">
        <v>1</v>
      </c>
      <c r="E345" s="334">
        <v>1000</v>
      </c>
      <c r="F345" s="334">
        <f>E345*D345</f>
        <v>1000</v>
      </c>
    </row>
    <row r="346" spans="1:7" ht="14.25" customHeight="1">
      <c r="B346" s="312"/>
      <c r="C346" s="332"/>
      <c r="D346" s="333"/>
    </row>
    <row r="347" spans="1:7" ht="26.25" customHeight="1">
      <c r="A347" s="331" t="s">
        <v>1202</v>
      </c>
      <c r="B347" s="311" t="s">
        <v>1539</v>
      </c>
      <c r="C347" s="332"/>
      <c r="D347" s="333"/>
    </row>
    <row r="348" spans="1:7">
      <c r="B348" s="312"/>
      <c r="C348" s="332" t="s">
        <v>291</v>
      </c>
      <c r="D348" s="334">
        <v>1</v>
      </c>
      <c r="E348" s="334">
        <v>1000</v>
      </c>
      <c r="F348" s="334">
        <f>E348*D348</f>
        <v>1000</v>
      </c>
    </row>
    <row r="349" spans="1:7">
      <c r="B349" s="312"/>
      <c r="C349" s="332"/>
    </row>
    <row r="350" spans="1:7" ht="26.25" customHeight="1">
      <c r="A350" s="331" t="s">
        <v>1203</v>
      </c>
      <c r="B350" s="311" t="s">
        <v>1540</v>
      </c>
      <c r="C350" s="332"/>
      <c r="D350" s="333"/>
    </row>
    <row r="351" spans="1:7" ht="14.25" customHeight="1">
      <c r="B351" s="312"/>
      <c r="C351" s="332" t="s">
        <v>291</v>
      </c>
      <c r="D351" s="334">
        <v>1</v>
      </c>
      <c r="E351" s="334">
        <v>1000</v>
      </c>
      <c r="F351" s="334">
        <f>E351*D351</f>
        <v>1000</v>
      </c>
    </row>
    <row r="352" spans="1:7" ht="14.25" customHeight="1">
      <c r="B352" s="312"/>
      <c r="C352" s="332"/>
      <c r="D352" s="333"/>
    </row>
    <row r="353" spans="1:7" ht="26.25" customHeight="1">
      <c r="A353" s="331" t="s">
        <v>1205</v>
      </c>
      <c r="B353" s="311" t="s">
        <v>1541</v>
      </c>
      <c r="C353" s="332"/>
      <c r="D353" s="333"/>
    </row>
    <row r="354" spans="1:7">
      <c r="B354" s="312"/>
      <c r="C354" s="332" t="s">
        <v>291</v>
      </c>
      <c r="D354" s="334">
        <v>1</v>
      </c>
      <c r="E354" s="334">
        <v>1000</v>
      </c>
      <c r="F354" s="334">
        <f>E354*D354</f>
        <v>1000</v>
      </c>
    </row>
    <row r="355" spans="1:7" s="307" customFormat="1" ht="12.75" customHeight="1">
      <c r="A355" s="331"/>
      <c r="B355" s="347"/>
      <c r="C355" s="326"/>
      <c r="D355" s="327"/>
      <c r="E355" s="328"/>
      <c r="F355" s="328"/>
    </row>
    <row r="356" spans="1:7" ht="27.75" customHeight="1">
      <c r="A356" s="331" t="s">
        <v>1206</v>
      </c>
      <c r="B356" s="351" t="s">
        <v>1542</v>
      </c>
      <c r="C356" s="332"/>
      <c r="D356" s="333"/>
    </row>
    <row r="357" spans="1:7">
      <c r="B357" s="308"/>
      <c r="C357" s="332" t="s">
        <v>1484</v>
      </c>
      <c r="D357" s="333">
        <v>18</v>
      </c>
      <c r="E357" s="334">
        <v>100</v>
      </c>
      <c r="F357" s="334">
        <f>E357*D357</f>
        <v>1800</v>
      </c>
    </row>
    <row r="358" spans="1:7">
      <c r="B358" s="349"/>
      <c r="C358" s="332"/>
      <c r="D358" s="333"/>
    </row>
    <row r="359" spans="1:7" ht="13.5" customHeight="1">
      <c r="A359" s="331" t="s">
        <v>1210</v>
      </c>
      <c r="B359" s="369" t="s">
        <v>1482</v>
      </c>
      <c r="C359" s="332"/>
      <c r="D359" s="333"/>
    </row>
    <row r="360" spans="1:7" ht="12.75" customHeight="1">
      <c r="B360" s="369" t="s">
        <v>1483</v>
      </c>
      <c r="C360" s="332" t="s">
        <v>1484</v>
      </c>
      <c r="D360" s="333">
        <v>25</v>
      </c>
      <c r="E360" s="334">
        <v>80</v>
      </c>
      <c r="F360" s="334">
        <f t="shared" ref="F360:F365" si="1">E360*D360</f>
        <v>2000</v>
      </c>
    </row>
    <row r="361" spans="1:7" ht="12.75" customHeight="1">
      <c r="B361" s="369" t="s">
        <v>1543</v>
      </c>
      <c r="C361" s="332" t="s">
        <v>1484</v>
      </c>
      <c r="D361" s="333">
        <v>25</v>
      </c>
      <c r="E361" s="334">
        <v>40</v>
      </c>
      <c r="F361" s="334">
        <f t="shared" si="1"/>
        <v>1000</v>
      </c>
    </row>
    <row r="362" spans="1:7" ht="12.75" customHeight="1">
      <c r="B362" s="369" t="s">
        <v>1544</v>
      </c>
      <c r="C362" s="332" t="s">
        <v>1484</v>
      </c>
      <c r="D362" s="333">
        <v>20</v>
      </c>
      <c r="E362" s="334">
        <v>30</v>
      </c>
      <c r="F362" s="334">
        <f t="shared" si="1"/>
        <v>600</v>
      </c>
    </row>
    <row r="363" spans="1:7" ht="12.75" customHeight="1">
      <c r="B363" s="369" t="s">
        <v>1486</v>
      </c>
      <c r="C363" s="332" t="s">
        <v>1484</v>
      </c>
      <c r="D363" s="333">
        <v>20</v>
      </c>
      <c r="E363" s="334">
        <v>25</v>
      </c>
      <c r="F363" s="334">
        <f t="shared" si="1"/>
        <v>500</v>
      </c>
    </row>
    <row r="364" spans="1:7" ht="12.75" customHeight="1">
      <c r="B364" s="369" t="s">
        <v>1487</v>
      </c>
      <c r="C364" s="332" t="s">
        <v>1484</v>
      </c>
      <c r="D364" s="333">
        <v>15</v>
      </c>
      <c r="E364" s="334">
        <v>22</v>
      </c>
      <c r="F364" s="334">
        <f t="shared" si="1"/>
        <v>330</v>
      </c>
    </row>
    <row r="365" spans="1:7" ht="12.75" customHeight="1">
      <c r="B365" s="369" t="s">
        <v>1488</v>
      </c>
      <c r="C365" s="332" t="s">
        <v>1484</v>
      </c>
      <c r="D365" s="333">
        <v>5</v>
      </c>
      <c r="E365" s="334">
        <v>20</v>
      </c>
      <c r="F365" s="334">
        <f t="shared" si="1"/>
        <v>100</v>
      </c>
    </row>
    <row r="366" spans="1:7">
      <c r="B366" s="349"/>
      <c r="C366" s="332"/>
      <c r="D366" s="333"/>
    </row>
    <row r="367" spans="1:7" ht="26.4">
      <c r="A367" s="331">
        <v>17</v>
      </c>
      <c r="B367" s="372" t="s">
        <v>1545</v>
      </c>
      <c r="C367" s="332"/>
      <c r="D367" s="333"/>
    </row>
    <row r="368" spans="1:7">
      <c r="B368" s="372" t="s">
        <v>1546</v>
      </c>
      <c r="C368" s="332" t="s">
        <v>1424</v>
      </c>
      <c r="D368" s="333">
        <v>2</v>
      </c>
      <c r="E368" s="334">
        <v>100</v>
      </c>
      <c r="F368" s="334">
        <f>E368*D368</f>
        <v>200</v>
      </c>
      <c r="G368" s="400"/>
    </row>
    <row r="369" spans="1:7">
      <c r="B369" s="372" t="s">
        <v>1547</v>
      </c>
      <c r="C369" s="332" t="s">
        <v>1424</v>
      </c>
      <c r="D369" s="333">
        <v>2</v>
      </c>
      <c r="E369" s="334">
        <v>50</v>
      </c>
      <c r="F369" s="334">
        <f>E369*D369</f>
        <v>100</v>
      </c>
      <c r="G369" s="400"/>
    </row>
    <row r="370" spans="1:7">
      <c r="B370" s="349"/>
      <c r="C370" s="332"/>
      <c r="D370" s="333"/>
      <c r="E370" s="387"/>
      <c r="F370" s="387"/>
      <c r="G370" s="400"/>
    </row>
    <row r="371" spans="1:7">
      <c r="A371" s="331" t="s">
        <v>1212</v>
      </c>
      <c r="B371" s="349" t="s">
        <v>1548</v>
      </c>
      <c r="C371" s="332"/>
      <c r="D371" s="333"/>
      <c r="E371" s="387"/>
      <c r="F371" s="387"/>
      <c r="G371" s="400"/>
    </row>
    <row r="372" spans="1:7">
      <c r="B372" s="308" t="s">
        <v>1549</v>
      </c>
      <c r="C372" s="332" t="s">
        <v>291</v>
      </c>
      <c r="D372" s="333">
        <v>2</v>
      </c>
      <c r="E372" s="334">
        <v>50</v>
      </c>
      <c r="F372" s="334">
        <f>E372*D372</f>
        <v>100</v>
      </c>
      <c r="G372" s="400"/>
    </row>
    <row r="373" spans="1:7">
      <c r="B373" s="308" t="s">
        <v>1550</v>
      </c>
      <c r="C373" s="332" t="s">
        <v>291</v>
      </c>
      <c r="D373" s="333">
        <v>2</v>
      </c>
      <c r="E373" s="334">
        <v>40</v>
      </c>
      <c r="F373" s="334">
        <f>E373*D373</f>
        <v>80</v>
      </c>
      <c r="G373" s="400"/>
    </row>
    <row r="374" spans="1:7">
      <c r="B374" s="308" t="s">
        <v>1551</v>
      </c>
      <c r="C374" s="332" t="s">
        <v>291</v>
      </c>
      <c r="D374" s="333">
        <v>1</v>
      </c>
      <c r="E374" s="334">
        <v>30</v>
      </c>
      <c r="F374" s="334">
        <f>E374*D374</f>
        <v>30</v>
      </c>
      <c r="G374" s="400"/>
    </row>
    <row r="375" spans="1:7">
      <c r="B375" s="349"/>
      <c r="C375" s="332"/>
      <c r="D375" s="333"/>
      <c r="E375" s="387"/>
      <c r="F375" s="387"/>
      <c r="G375" s="400"/>
    </row>
    <row r="376" spans="1:7" ht="26.4">
      <c r="A376" s="331" t="s">
        <v>1213</v>
      </c>
      <c r="B376" s="372" t="s">
        <v>1552</v>
      </c>
      <c r="C376" s="332"/>
      <c r="D376" s="333"/>
      <c r="E376" s="387"/>
      <c r="F376" s="387"/>
      <c r="G376" s="400"/>
    </row>
    <row r="377" spans="1:7">
      <c r="B377" s="372" t="s">
        <v>1546</v>
      </c>
      <c r="C377" s="332" t="s">
        <v>1424</v>
      </c>
      <c r="D377" s="333">
        <v>4</v>
      </c>
      <c r="E377" s="334">
        <v>100</v>
      </c>
      <c r="F377" s="334">
        <f>E377*D377</f>
        <v>400</v>
      </c>
      <c r="G377" s="400"/>
    </row>
    <row r="378" spans="1:7">
      <c r="B378" s="349" t="s">
        <v>1553</v>
      </c>
      <c r="C378" s="332" t="s">
        <v>1424</v>
      </c>
      <c r="D378" s="333">
        <v>8</v>
      </c>
      <c r="E378" s="334">
        <v>50</v>
      </c>
      <c r="F378" s="334">
        <f>E378*D378</f>
        <v>400</v>
      </c>
      <c r="G378" s="400"/>
    </row>
    <row r="379" spans="1:7">
      <c r="B379" s="349"/>
      <c r="C379" s="332"/>
      <c r="D379" s="333"/>
      <c r="E379" s="387"/>
      <c r="F379" s="387"/>
      <c r="G379" s="400"/>
    </row>
    <row r="380" spans="1:7" ht="12" customHeight="1">
      <c r="A380" s="331" t="s">
        <v>1214</v>
      </c>
      <c r="B380" s="349" t="s">
        <v>1554</v>
      </c>
      <c r="C380" s="332"/>
      <c r="D380" s="333"/>
      <c r="E380" s="387"/>
      <c r="F380" s="387"/>
      <c r="G380" s="400"/>
    </row>
    <row r="381" spans="1:7">
      <c r="B381" s="308" t="s">
        <v>1549</v>
      </c>
      <c r="C381" s="332" t="s">
        <v>291</v>
      </c>
      <c r="D381" s="333">
        <v>10</v>
      </c>
      <c r="E381" s="334">
        <v>50</v>
      </c>
      <c r="F381" s="334">
        <f>E381*D381</f>
        <v>500</v>
      </c>
      <c r="G381" s="400"/>
    </row>
    <row r="382" spans="1:7">
      <c r="B382" s="308" t="s">
        <v>1555</v>
      </c>
      <c r="C382" s="332" t="s">
        <v>291</v>
      </c>
      <c r="D382" s="333">
        <v>8</v>
      </c>
      <c r="E382" s="334">
        <v>40</v>
      </c>
      <c r="F382" s="334">
        <f>E382*D382</f>
        <v>320</v>
      </c>
      <c r="G382" s="400"/>
    </row>
    <row r="383" spans="1:7">
      <c r="B383" s="308" t="s">
        <v>1551</v>
      </c>
      <c r="C383" s="332" t="s">
        <v>291</v>
      </c>
      <c r="D383" s="333">
        <v>8</v>
      </c>
      <c r="E383" s="334">
        <v>30</v>
      </c>
      <c r="F383" s="334">
        <f>E383*D383</f>
        <v>240</v>
      </c>
      <c r="G383" s="400"/>
    </row>
    <row r="384" spans="1:7">
      <c r="B384" s="308" t="s">
        <v>1556</v>
      </c>
      <c r="C384" s="332" t="s">
        <v>291</v>
      </c>
      <c r="D384" s="333">
        <v>7</v>
      </c>
      <c r="E384" s="334">
        <v>20</v>
      </c>
      <c r="F384" s="334">
        <f>E384*D384</f>
        <v>140</v>
      </c>
      <c r="G384" s="400"/>
    </row>
    <row r="385" spans="1:7">
      <c r="B385" s="308"/>
      <c r="C385" s="332"/>
      <c r="D385" s="333"/>
      <c r="E385" s="387"/>
      <c r="F385" s="387"/>
      <c r="G385" s="400"/>
    </row>
    <row r="386" spans="1:7" ht="26.4">
      <c r="A386" s="331" t="s">
        <v>1215</v>
      </c>
      <c r="B386" s="372" t="s">
        <v>1557</v>
      </c>
      <c r="C386" s="332"/>
      <c r="D386" s="333"/>
      <c r="E386" s="387"/>
      <c r="F386" s="387"/>
      <c r="G386" s="400"/>
    </row>
    <row r="387" spans="1:7">
      <c r="B387" s="372" t="s">
        <v>1546</v>
      </c>
      <c r="C387" s="332" t="s">
        <v>1424</v>
      </c>
      <c r="D387" s="333">
        <v>1</v>
      </c>
      <c r="E387" s="334">
        <v>100</v>
      </c>
      <c r="F387" s="334">
        <f>E387*D387</f>
        <v>100</v>
      </c>
      <c r="G387" s="400"/>
    </row>
    <row r="388" spans="1:7">
      <c r="B388" s="349" t="s">
        <v>1553</v>
      </c>
      <c r="C388" s="332" t="s">
        <v>1424</v>
      </c>
      <c r="D388" s="333">
        <v>2</v>
      </c>
      <c r="E388" s="334">
        <v>50</v>
      </c>
      <c r="F388" s="334">
        <f>E388*D388</f>
        <v>100</v>
      </c>
      <c r="G388" s="400"/>
    </row>
    <row r="389" spans="1:7">
      <c r="B389" s="349"/>
      <c r="C389" s="332"/>
      <c r="D389" s="333"/>
      <c r="G389" s="400"/>
    </row>
    <row r="390" spans="1:7">
      <c r="A390" s="331" t="s">
        <v>1263</v>
      </c>
      <c r="B390" s="349" t="s">
        <v>1558</v>
      </c>
      <c r="C390" s="332"/>
      <c r="D390" s="333"/>
      <c r="G390" s="400"/>
    </row>
    <row r="391" spans="1:7">
      <c r="B391" s="349" t="s">
        <v>1559</v>
      </c>
      <c r="C391" s="332" t="s">
        <v>291</v>
      </c>
      <c r="D391" s="333">
        <v>3</v>
      </c>
      <c r="E391" s="334">
        <v>50</v>
      </c>
      <c r="F391" s="334">
        <f>E391*D391</f>
        <v>150</v>
      </c>
      <c r="G391" s="400"/>
    </row>
    <row r="392" spans="1:7" ht="12" customHeight="1">
      <c r="B392" s="349" t="s">
        <v>1560</v>
      </c>
      <c r="C392" s="332" t="s">
        <v>291</v>
      </c>
      <c r="D392" s="333">
        <v>2</v>
      </c>
      <c r="E392" s="334">
        <v>40</v>
      </c>
      <c r="F392" s="334">
        <f>E392*D392</f>
        <v>80</v>
      </c>
      <c r="G392" s="400"/>
    </row>
    <row r="393" spans="1:7" ht="12" customHeight="1">
      <c r="B393" s="349" t="s">
        <v>1561</v>
      </c>
      <c r="C393" s="332" t="s">
        <v>291</v>
      </c>
      <c r="D393" s="333">
        <v>1</v>
      </c>
      <c r="E393" s="334">
        <v>30</v>
      </c>
      <c r="F393" s="334">
        <f>E393*D393</f>
        <v>30</v>
      </c>
      <c r="G393" s="400"/>
    </row>
    <row r="394" spans="1:7" ht="12" customHeight="1">
      <c r="B394" s="349" t="s">
        <v>1480</v>
      </c>
      <c r="C394" s="332" t="s">
        <v>291</v>
      </c>
      <c r="D394" s="333">
        <v>2</v>
      </c>
      <c r="E394" s="334">
        <v>20</v>
      </c>
      <c r="F394" s="334">
        <f>E394*D394</f>
        <v>40</v>
      </c>
      <c r="G394" s="400"/>
    </row>
    <row r="395" spans="1:7" ht="12" customHeight="1">
      <c r="B395" s="349"/>
      <c r="C395" s="332"/>
      <c r="D395" s="333"/>
      <c r="E395" s="387"/>
      <c r="F395" s="387"/>
      <c r="G395" s="400"/>
    </row>
    <row r="396" spans="1:7" ht="26.4">
      <c r="A396" s="331" t="s">
        <v>1264</v>
      </c>
      <c r="B396" s="372" t="s">
        <v>1562</v>
      </c>
      <c r="C396" s="332"/>
      <c r="D396" s="333"/>
      <c r="E396" s="387"/>
      <c r="F396" s="387"/>
      <c r="G396" s="400"/>
    </row>
    <row r="397" spans="1:7">
      <c r="B397" s="372" t="s">
        <v>1546</v>
      </c>
      <c r="C397" s="332" t="s">
        <v>1424</v>
      </c>
      <c r="D397" s="333">
        <v>1</v>
      </c>
      <c r="E397" s="334">
        <v>100</v>
      </c>
      <c r="F397" s="334">
        <f>E397*D397</f>
        <v>100</v>
      </c>
      <c r="G397" s="400"/>
    </row>
    <row r="398" spans="1:7">
      <c r="B398" s="349" t="s">
        <v>1553</v>
      </c>
      <c r="C398" s="332" t="s">
        <v>1424</v>
      </c>
      <c r="D398" s="333">
        <v>2</v>
      </c>
      <c r="E398" s="334">
        <v>50</v>
      </c>
      <c r="F398" s="334">
        <f>E398*D398</f>
        <v>100</v>
      </c>
      <c r="G398" s="400"/>
    </row>
    <row r="399" spans="1:7">
      <c r="B399" s="349"/>
      <c r="C399" s="332"/>
      <c r="D399" s="333"/>
      <c r="E399" s="387"/>
      <c r="F399" s="387"/>
      <c r="G399" s="400"/>
    </row>
    <row r="400" spans="1:7">
      <c r="A400" s="331" t="s">
        <v>1563</v>
      </c>
      <c r="B400" s="372" t="s">
        <v>1564</v>
      </c>
      <c r="C400" s="332"/>
      <c r="D400" s="333"/>
      <c r="E400" s="387"/>
      <c r="F400" s="387"/>
      <c r="G400" s="400"/>
    </row>
    <row r="401" spans="1:7">
      <c r="B401" s="308" t="s">
        <v>1549</v>
      </c>
      <c r="C401" s="332" t="s">
        <v>291</v>
      </c>
      <c r="D401" s="333">
        <v>2</v>
      </c>
      <c r="E401" s="334">
        <v>50</v>
      </c>
      <c r="F401" s="334">
        <f>E401*D401</f>
        <v>100</v>
      </c>
      <c r="G401" s="400"/>
    </row>
    <row r="402" spans="1:7">
      <c r="B402" s="308" t="s">
        <v>1550</v>
      </c>
      <c r="C402" s="332" t="s">
        <v>291</v>
      </c>
      <c r="D402" s="333">
        <v>2</v>
      </c>
      <c r="E402" s="334">
        <v>40</v>
      </c>
      <c r="F402" s="334">
        <f>E402*D402</f>
        <v>80</v>
      </c>
      <c r="G402" s="400"/>
    </row>
    <row r="403" spans="1:7">
      <c r="B403" s="308" t="s">
        <v>1551</v>
      </c>
      <c r="C403" s="332" t="s">
        <v>291</v>
      </c>
      <c r="D403" s="333">
        <v>1</v>
      </c>
      <c r="E403" s="334">
        <v>30</v>
      </c>
      <c r="F403" s="334">
        <f>E403*D403</f>
        <v>30</v>
      </c>
      <c r="G403" s="400"/>
    </row>
    <row r="404" spans="1:7">
      <c r="B404" s="308"/>
      <c r="C404" s="332"/>
      <c r="D404" s="333"/>
      <c r="E404" s="387"/>
      <c r="F404" s="387"/>
      <c r="G404" s="400"/>
    </row>
    <row r="405" spans="1:7" ht="26.4">
      <c r="A405" s="331" t="s">
        <v>1565</v>
      </c>
      <c r="B405" s="372" t="s">
        <v>1566</v>
      </c>
      <c r="C405" s="332"/>
      <c r="D405" s="333"/>
      <c r="E405" s="387"/>
      <c r="F405" s="387"/>
      <c r="G405" s="400"/>
    </row>
    <row r="406" spans="1:7">
      <c r="B406" s="372" t="s">
        <v>1553</v>
      </c>
      <c r="C406" s="332" t="s">
        <v>1424</v>
      </c>
      <c r="D406" s="333">
        <v>2</v>
      </c>
      <c r="E406" s="334">
        <v>50</v>
      </c>
      <c r="F406" s="334">
        <f>E406*D406</f>
        <v>100</v>
      </c>
      <c r="G406" s="400"/>
    </row>
    <row r="407" spans="1:7">
      <c r="B407" s="349"/>
      <c r="C407" s="332"/>
      <c r="D407" s="333"/>
      <c r="G407" s="400"/>
    </row>
    <row r="408" spans="1:7">
      <c r="A408" s="331" t="s">
        <v>1567</v>
      </c>
      <c r="B408" s="349" t="s">
        <v>1568</v>
      </c>
      <c r="C408" s="332"/>
      <c r="D408" s="368"/>
      <c r="G408" s="400"/>
    </row>
    <row r="409" spans="1:7">
      <c r="B409" s="349" t="s">
        <v>1559</v>
      </c>
      <c r="C409" s="332" t="s">
        <v>291</v>
      </c>
      <c r="D409" s="333">
        <v>2</v>
      </c>
      <c r="E409" s="334">
        <v>50</v>
      </c>
      <c r="F409" s="334">
        <f>E409*D409</f>
        <v>100</v>
      </c>
      <c r="G409" s="400"/>
    </row>
    <row r="410" spans="1:7" ht="12" customHeight="1">
      <c r="B410" s="349" t="s">
        <v>1560</v>
      </c>
      <c r="C410" s="332" t="s">
        <v>291</v>
      </c>
      <c r="D410" s="333">
        <v>2</v>
      </c>
      <c r="E410" s="334">
        <v>40</v>
      </c>
      <c r="F410" s="334">
        <f>E410*D410</f>
        <v>80</v>
      </c>
      <c r="G410" s="400"/>
    </row>
    <row r="411" spans="1:7" ht="12" customHeight="1">
      <c r="B411" s="349" t="s">
        <v>1561</v>
      </c>
      <c r="C411" s="332" t="s">
        <v>291</v>
      </c>
      <c r="D411" s="333">
        <v>1</v>
      </c>
      <c r="E411" s="334">
        <v>30</v>
      </c>
      <c r="F411" s="334">
        <f>E411*D411</f>
        <v>30</v>
      </c>
      <c r="G411" s="400"/>
    </row>
    <row r="412" spans="1:7">
      <c r="B412" s="349"/>
      <c r="C412" s="332"/>
      <c r="D412" s="368"/>
    </row>
    <row r="413" spans="1:7" ht="118.8">
      <c r="A413" s="331" t="s">
        <v>1569</v>
      </c>
      <c r="B413" s="351" t="s">
        <v>1570</v>
      </c>
      <c r="C413" s="401"/>
      <c r="D413" s="333"/>
      <c r="E413" s="363"/>
      <c r="F413" s="402"/>
    </row>
    <row r="414" spans="1:7">
      <c r="B414" s="351" t="s">
        <v>1571</v>
      </c>
      <c r="C414" s="401" t="s">
        <v>291</v>
      </c>
      <c r="D414" s="333">
        <v>1</v>
      </c>
      <c r="E414" s="334">
        <v>150</v>
      </c>
      <c r="F414" s="363">
        <f>E414*D414</f>
        <v>150</v>
      </c>
    </row>
    <row r="415" spans="1:7" s="400" customFormat="1">
      <c r="A415" s="384"/>
      <c r="B415" s="385"/>
      <c r="C415" s="386"/>
      <c r="D415" s="368"/>
      <c r="E415" s="334"/>
      <c r="F415" s="387"/>
    </row>
    <row r="416" spans="1:7" s="400" customFormat="1" ht="39.6">
      <c r="A416" s="331" t="s">
        <v>1572</v>
      </c>
      <c r="B416" s="372" t="s">
        <v>1573</v>
      </c>
      <c r="C416" s="386"/>
      <c r="D416" s="368"/>
      <c r="E416" s="334"/>
      <c r="F416" s="387"/>
    </row>
    <row r="417" spans="1:6" s="400" customFormat="1">
      <c r="A417" s="384"/>
      <c r="B417" s="372" t="s">
        <v>1574</v>
      </c>
      <c r="C417" s="401" t="s">
        <v>291</v>
      </c>
      <c r="D417" s="333">
        <v>1</v>
      </c>
      <c r="E417" s="334"/>
      <c r="F417" s="387"/>
    </row>
    <row r="418" spans="1:6" s="400" customFormat="1">
      <c r="A418" s="384"/>
      <c r="B418" s="372" t="s">
        <v>1575</v>
      </c>
      <c r="C418" s="401" t="s">
        <v>291</v>
      </c>
      <c r="D418" s="333">
        <v>1</v>
      </c>
      <c r="E418" s="334"/>
      <c r="F418" s="387"/>
    </row>
    <row r="419" spans="1:6" s="400" customFormat="1">
      <c r="A419" s="384"/>
      <c r="B419" s="372" t="s">
        <v>1576</v>
      </c>
      <c r="C419" s="401" t="s">
        <v>291</v>
      </c>
      <c r="D419" s="333">
        <v>1</v>
      </c>
      <c r="E419" s="334"/>
      <c r="F419" s="387"/>
    </row>
    <row r="420" spans="1:6" s="400" customFormat="1">
      <c r="A420" s="384"/>
      <c r="B420" s="372"/>
      <c r="C420" s="401" t="s">
        <v>253</v>
      </c>
      <c r="D420" s="333">
        <v>20</v>
      </c>
      <c r="E420" s="334">
        <v>100</v>
      </c>
      <c r="F420" s="363">
        <f>E420*D420</f>
        <v>2000</v>
      </c>
    </row>
    <row r="421" spans="1:6" s="400" customFormat="1">
      <c r="A421" s="384"/>
      <c r="B421" s="385"/>
      <c r="C421" s="386"/>
      <c r="D421" s="368"/>
      <c r="E421" s="334"/>
      <c r="F421" s="387"/>
    </row>
    <row r="422" spans="1:6">
      <c r="A422" s="336" t="s">
        <v>1577</v>
      </c>
      <c r="B422" s="350" t="s">
        <v>1578</v>
      </c>
      <c r="C422" s="332" t="s">
        <v>291</v>
      </c>
      <c r="D422" s="333">
        <v>4</v>
      </c>
      <c r="E422" s="334">
        <v>50</v>
      </c>
      <c r="F422" s="363">
        <f>E422*D422</f>
        <v>200</v>
      </c>
    </row>
    <row r="423" spans="1:6">
      <c r="B423" s="308"/>
      <c r="C423" s="332"/>
      <c r="D423" s="333"/>
    </row>
    <row r="424" spans="1:6">
      <c r="A424" s="331" t="s">
        <v>1579</v>
      </c>
      <c r="B424" s="308" t="s">
        <v>1580</v>
      </c>
      <c r="C424" s="332" t="s">
        <v>291</v>
      </c>
      <c r="D424" s="333">
        <v>12</v>
      </c>
      <c r="E424" s="334">
        <v>50</v>
      </c>
      <c r="F424" s="334">
        <f>E424*D424</f>
        <v>600</v>
      </c>
    </row>
    <row r="425" spans="1:6">
      <c r="B425" s="308"/>
      <c r="C425" s="332"/>
      <c r="D425" s="333"/>
    </row>
    <row r="426" spans="1:6" ht="16.5" customHeight="1">
      <c r="A426" s="331" t="s">
        <v>1581</v>
      </c>
      <c r="B426" s="349" t="s">
        <v>1582</v>
      </c>
      <c r="C426" s="332" t="s">
        <v>291</v>
      </c>
      <c r="D426" s="333">
        <v>12</v>
      </c>
      <c r="E426" s="334">
        <v>50</v>
      </c>
      <c r="F426" s="334">
        <f>E426*D426</f>
        <v>600</v>
      </c>
    </row>
    <row r="427" spans="1:6">
      <c r="B427" s="332"/>
      <c r="C427" s="332"/>
      <c r="D427" s="333"/>
    </row>
    <row r="428" spans="1:6" ht="78" customHeight="1">
      <c r="A428" s="331" t="s">
        <v>1583</v>
      </c>
      <c r="B428" s="347" t="s">
        <v>2687</v>
      </c>
      <c r="D428" s="333"/>
    </row>
    <row r="429" spans="1:6" ht="12" customHeight="1">
      <c r="B429" s="347" t="s">
        <v>1584</v>
      </c>
      <c r="D429" s="333"/>
    </row>
    <row r="430" spans="1:6">
      <c r="B430" s="308" t="s">
        <v>1585</v>
      </c>
      <c r="C430" s="332" t="s">
        <v>1484</v>
      </c>
      <c r="D430" s="333">
        <v>18</v>
      </c>
      <c r="E430" s="334">
        <v>30</v>
      </c>
      <c r="F430" s="334">
        <f>E430*D430</f>
        <v>540</v>
      </c>
    </row>
    <row r="431" spans="1:6" ht="13.5" customHeight="1">
      <c r="A431" s="346"/>
      <c r="B431" s="347" t="s">
        <v>1586</v>
      </c>
      <c r="D431" s="333"/>
    </row>
    <row r="432" spans="1:6" ht="12.75" customHeight="1">
      <c r="B432" s="369" t="s">
        <v>1483</v>
      </c>
      <c r="C432" s="332" t="s">
        <v>1484</v>
      </c>
      <c r="D432" s="333">
        <v>25</v>
      </c>
      <c r="E432" s="334">
        <v>25</v>
      </c>
      <c r="F432" s="334">
        <f t="shared" ref="F432:F437" si="2">E432*D432</f>
        <v>625</v>
      </c>
    </row>
    <row r="433" spans="1:6" ht="12.75" customHeight="1">
      <c r="B433" s="369" t="s">
        <v>1543</v>
      </c>
      <c r="C433" s="332" t="s">
        <v>1484</v>
      </c>
      <c r="D433" s="333">
        <v>25</v>
      </c>
      <c r="E433" s="334">
        <v>13</v>
      </c>
      <c r="F433" s="334">
        <f t="shared" si="2"/>
        <v>325</v>
      </c>
    </row>
    <row r="434" spans="1:6" ht="12.75" customHeight="1">
      <c r="B434" s="369" t="s">
        <v>1544</v>
      </c>
      <c r="C434" s="332" t="s">
        <v>1484</v>
      </c>
      <c r="D434" s="333">
        <v>20</v>
      </c>
      <c r="E434" s="334">
        <v>11</v>
      </c>
      <c r="F434" s="334">
        <f t="shared" si="2"/>
        <v>220</v>
      </c>
    </row>
    <row r="435" spans="1:6" ht="12.75" customHeight="1">
      <c r="B435" s="369" t="s">
        <v>1486</v>
      </c>
      <c r="C435" s="332" t="s">
        <v>1484</v>
      </c>
      <c r="D435" s="333">
        <v>20</v>
      </c>
      <c r="E435" s="334">
        <v>9</v>
      </c>
      <c r="F435" s="334">
        <f t="shared" si="2"/>
        <v>180</v>
      </c>
    </row>
    <row r="436" spans="1:6" ht="12.75" customHeight="1">
      <c r="B436" s="369" t="s">
        <v>1487</v>
      </c>
      <c r="C436" s="332" t="s">
        <v>1484</v>
      </c>
      <c r="D436" s="333">
        <v>15</v>
      </c>
      <c r="E436" s="334">
        <v>7</v>
      </c>
      <c r="F436" s="334">
        <f t="shared" si="2"/>
        <v>105</v>
      </c>
    </row>
    <row r="437" spans="1:6" ht="12.75" customHeight="1">
      <c r="B437" s="369" t="s">
        <v>1488</v>
      </c>
      <c r="C437" s="332" t="s">
        <v>1484</v>
      </c>
      <c r="D437" s="333">
        <v>5</v>
      </c>
      <c r="E437" s="334">
        <v>5</v>
      </c>
      <c r="F437" s="334">
        <f t="shared" si="2"/>
        <v>25</v>
      </c>
    </row>
    <row r="438" spans="1:6" ht="14.25" customHeight="1">
      <c r="B438" s="372"/>
      <c r="C438" s="373"/>
      <c r="D438" s="374"/>
      <c r="F438" s="362"/>
    </row>
    <row r="439" spans="1:6" s="400" customFormat="1" ht="80.25" customHeight="1">
      <c r="A439" s="357" t="s">
        <v>1587</v>
      </c>
      <c r="B439" s="388" t="s">
        <v>1588</v>
      </c>
      <c r="C439" s="315"/>
      <c r="D439" s="404"/>
      <c r="E439" s="405"/>
      <c r="F439" s="405"/>
    </row>
    <row r="440" spans="1:6" ht="15.75" customHeight="1">
      <c r="B440" s="372"/>
      <c r="C440" s="336" t="s">
        <v>253</v>
      </c>
      <c r="D440" s="363">
        <v>1</v>
      </c>
      <c r="E440" s="363">
        <v>700</v>
      </c>
      <c r="F440" s="363">
        <f>E440*D440</f>
        <v>700</v>
      </c>
    </row>
    <row r="441" spans="1:6" s="400" customFormat="1" ht="14.25" customHeight="1" thickBot="1">
      <c r="A441" s="406"/>
      <c r="B441" s="407"/>
      <c r="C441" s="408"/>
      <c r="D441" s="409"/>
      <c r="E441" s="409"/>
      <c r="F441" s="409"/>
    </row>
    <row r="442" spans="1:6" ht="16.5" customHeight="1" thickTop="1">
      <c r="A442" s="329" t="s">
        <v>1497</v>
      </c>
      <c r="B442" s="410" t="s">
        <v>1589</v>
      </c>
      <c r="C442" s="373"/>
      <c r="D442" s="374"/>
      <c r="F442" s="363">
        <f>SUM(F277:F440)</f>
        <v>57655</v>
      </c>
    </row>
    <row r="443" spans="1:6" s="312" customFormat="1">
      <c r="A443" s="329"/>
      <c r="B443" s="318"/>
      <c r="C443" s="411"/>
      <c r="D443" s="322"/>
      <c r="E443" s="922"/>
    </row>
    <row r="444" spans="1:6" ht="15" customHeight="1">
      <c r="B444" s="410"/>
      <c r="C444" s="373"/>
      <c r="D444" s="374"/>
      <c r="F444" s="362"/>
    </row>
    <row r="445" spans="1:6" ht="16.5" customHeight="1">
      <c r="A445" s="337" t="s">
        <v>1590</v>
      </c>
      <c r="B445" s="338" t="s">
        <v>1591</v>
      </c>
      <c r="C445" s="332"/>
      <c r="D445" s="333"/>
      <c r="F445" s="322"/>
    </row>
    <row r="446" spans="1:6" s="312" customFormat="1">
      <c r="A446" s="329" t="s">
        <v>1592</v>
      </c>
      <c r="B446" s="318" t="s">
        <v>1593</v>
      </c>
      <c r="C446" s="411"/>
      <c r="D446" s="322"/>
      <c r="E446" s="922"/>
    </row>
    <row r="447" spans="1:6" s="312" customFormat="1">
      <c r="A447" s="329"/>
      <c r="B447" s="318"/>
      <c r="C447" s="411"/>
      <c r="D447" s="322"/>
      <c r="E447" s="922"/>
    </row>
    <row r="448" spans="1:6" ht="171" customHeight="1">
      <c r="A448" s="331" t="s">
        <v>0</v>
      </c>
      <c r="B448" s="369" t="s">
        <v>2666</v>
      </c>
      <c r="C448" s="332"/>
      <c r="F448" s="333">
        <f>E448*D448</f>
        <v>0</v>
      </c>
    </row>
    <row r="449" spans="1:6" ht="13.5" customHeight="1">
      <c r="B449" s="369"/>
      <c r="C449" s="332"/>
      <c r="F449" s="333"/>
    </row>
    <row r="450" spans="1:6" ht="43.5" customHeight="1">
      <c r="B450" s="369" t="s">
        <v>1594</v>
      </c>
      <c r="C450" s="332" t="s">
        <v>291</v>
      </c>
      <c r="D450" s="334">
        <v>8</v>
      </c>
      <c r="E450" s="334">
        <v>800</v>
      </c>
      <c r="F450" s="334">
        <f>D450*E450</f>
        <v>6400</v>
      </c>
    </row>
    <row r="451" spans="1:6" ht="15" customHeight="1">
      <c r="B451" s="369"/>
      <c r="C451" s="332"/>
    </row>
    <row r="452" spans="1:6" ht="43.5" customHeight="1">
      <c r="B452" s="369" t="s">
        <v>1595</v>
      </c>
      <c r="C452" s="332" t="s">
        <v>291</v>
      </c>
      <c r="D452" s="334">
        <v>1</v>
      </c>
      <c r="E452" s="334">
        <v>800</v>
      </c>
      <c r="F452" s="334">
        <f>D452*E452</f>
        <v>800</v>
      </c>
    </row>
    <row r="453" spans="1:6" ht="12.75" customHeight="1">
      <c r="B453" s="369"/>
      <c r="C453" s="332"/>
      <c r="F453" s="333">
        <f>D453*E453</f>
        <v>0</v>
      </c>
    </row>
    <row r="454" spans="1:6" ht="30.75" customHeight="1">
      <c r="A454" s="331" t="s">
        <v>4</v>
      </c>
      <c r="B454" s="369" t="s">
        <v>1596</v>
      </c>
      <c r="C454" s="332"/>
      <c r="F454" s="333"/>
    </row>
    <row r="455" spans="1:6" ht="13.5" customHeight="1">
      <c r="B455" s="369" t="s">
        <v>1597</v>
      </c>
      <c r="C455" s="332" t="s">
        <v>291</v>
      </c>
      <c r="D455" s="334">
        <v>8</v>
      </c>
      <c r="E455" s="334">
        <v>100</v>
      </c>
      <c r="F455" s="334">
        <f>D455*E455</f>
        <v>800</v>
      </c>
    </row>
    <row r="456" spans="1:6" ht="13.5" customHeight="1">
      <c r="B456" s="369"/>
      <c r="C456" s="332"/>
    </row>
    <row r="457" spans="1:6" ht="13.5" customHeight="1">
      <c r="A457" s="331" t="s">
        <v>3</v>
      </c>
      <c r="B457" s="369" t="s">
        <v>1598</v>
      </c>
      <c r="C457" s="332"/>
    </row>
    <row r="458" spans="1:6" ht="13.5" customHeight="1">
      <c r="B458" s="308" t="s">
        <v>1599</v>
      </c>
      <c r="C458" s="332" t="s">
        <v>291</v>
      </c>
      <c r="D458" s="334">
        <v>4</v>
      </c>
      <c r="E458" s="334">
        <v>100</v>
      </c>
      <c r="F458" s="334">
        <f>D458*E458</f>
        <v>400</v>
      </c>
    </row>
    <row r="459" spans="1:6" ht="13.5" customHeight="1">
      <c r="B459" s="369"/>
      <c r="C459" s="332"/>
    </row>
    <row r="460" spans="1:6" ht="27.75" customHeight="1">
      <c r="A460" s="331" t="s">
        <v>5</v>
      </c>
      <c r="B460" s="369" t="s">
        <v>1600</v>
      </c>
      <c r="C460" s="332"/>
    </row>
    <row r="461" spans="1:6" ht="30" customHeight="1">
      <c r="B461" s="369" t="s">
        <v>1601</v>
      </c>
      <c r="C461" s="332" t="s">
        <v>291</v>
      </c>
      <c r="D461" s="334">
        <v>4</v>
      </c>
      <c r="E461" s="334">
        <v>350</v>
      </c>
      <c r="F461" s="334">
        <f>D461*E461</f>
        <v>1400</v>
      </c>
    </row>
    <row r="462" spans="1:6" ht="12" customHeight="1">
      <c r="B462" s="369"/>
      <c r="C462" s="332"/>
    </row>
    <row r="463" spans="1:6" ht="13.5" customHeight="1">
      <c r="B463" s="369"/>
      <c r="C463" s="332"/>
    </row>
    <row r="464" spans="1:6" ht="15.75" customHeight="1">
      <c r="A464" s="331" t="s">
        <v>49</v>
      </c>
      <c r="B464" s="369" t="s">
        <v>1602</v>
      </c>
      <c r="C464" s="332"/>
    </row>
    <row r="465" spans="1:6" s="416" customFormat="1" ht="13.5" customHeight="1">
      <c r="A465" s="412"/>
      <c r="B465" s="413" t="s">
        <v>1603</v>
      </c>
      <c r="C465" s="414" t="s">
        <v>291</v>
      </c>
      <c r="D465" s="415">
        <v>14</v>
      </c>
      <c r="E465" s="415">
        <v>350</v>
      </c>
      <c r="F465" s="415">
        <f>D465*E465</f>
        <v>4900</v>
      </c>
    </row>
    <row r="466" spans="1:6" ht="13.5" customHeight="1">
      <c r="B466" s="369"/>
      <c r="C466" s="332"/>
    </row>
    <row r="467" spans="1:6" ht="41.25" customHeight="1">
      <c r="A467" s="331" t="s">
        <v>58</v>
      </c>
      <c r="B467" s="369" t="s">
        <v>2667</v>
      </c>
      <c r="C467" s="332"/>
    </row>
    <row r="468" spans="1:6" ht="13.5" customHeight="1">
      <c r="B468" s="308" t="s">
        <v>1604</v>
      </c>
      <c r="C468" s="332" t="s">
        <v>309</v>
      </c>
      <c r="D468" s="334">
        <v>3</v>
      </c>
      <c r="E468" s="334">
        <v>100</v>
      </c>
      <c r="F468" s="334">
        <f>D468*E468</f>
        <v>300</v>
      </c>
    </row>
    <row r="469" spans="1:6" ht="13.5" customHeight="1">
      <c r="B469" s="369" t="s">
        <v>1605</v>
      </c>
      <c r="C469" s="332" t="s">
        <v>309</v>
      </c>
      <c r="D469" s="334">
        <v>4</v>
      </c>
      <c r="E469" s="334">
        <v>200</v>
      </c>
      <c r="F469" s="334">
        <f>D469*E469</f>
        <v>800</v>
      </c>
    </row>
    <row r="470" spans="1:6" ht="13.5" customHeight="1">
      <c r="B470" s="369"/>
      <c r="C470" s="332"/>
    </row>
    <row r="471" spans="1:6" ht="29.25" customHeight="1">
      <c r="A471" s="331" t="s">
        <v>141</v>
      </c>
      <c r="B471" s="369" t="s">
        <v>1606</v>
      </c>
      <c r="C471" s="332"/>
    </row>
    <row r="472" spans="1:6" ht="13.5" customHeight="1">
      <c r="B472" s="369"/>
      <c r="C472" s="332" t="s">
        <v>291</v>
      </c>
      <c r="D472" s="415">
        <v>8</v>
      </c>
      <c r="E472" s="334">
        <v>100</v>
      </c>
      <c r="F472" s="334">
        <f>D472*E472</f>
        <v>800</v>
      </c>
    </row>
    <row r="473" spans="1:6" ht="13.5" customHeight="1">
      <c r="B473" s="369"/>
      <c r="C473" s="332"/>
    </row>
    <row r="474" spans="1:6" ht="17.25" customHeight="1">
      <c r="A474" s="331" t="s">
        <v>1191</v>
      </c>
      <c r="B474" s="369" t="s">
        <v>1607</v>
      </c>
      <c r="C474" s="332"/>
    </row>
    <row r="475" spans="1:6" s="416" customFormat="1" ht="13.5" customHeight="1">
      <c r="A475" s="412"/>
      <c r="B475" s="413"/>
      <c r="C475" s="414" t="s">
        <v>291</v>
      </c>
      <c r="D475" s="415">
        <v>25</v>
      </c>
      <c r="E475" s="415">
        <v>100</v>
      </c>
      <c r="F475" s="415">
        <f>D475*E475</f>
        <v>2500</v>
      </c>
    </row>
    <row r="476" spans="1:6" ht="13.5" customHeight="1">
      <c r="B476" s="369"/>
      <c r="C476" s="332"/>
    </row>
    <row r="477" spans="1:6" ht="15.75" customHeight="1">
      <c r="A477" s="331" t="s">
        <v>180</v>
      </c>
      <c r="B477" s="369" t="s">
        <v>1608</v>
      </c>
      <c r="C477" s="332"/>
    </row>
    <row r="478" spans="1:6" s="416" customFormat="1" ht="13.5" customHeight="1">
      <c r="A478" s="412"/>
      <c r="B478" s="413"/>
      <c r="C478" s="414" t="s">
        <v>1484</v>
      </c>
      <c r="D478" s="415">
        <v>50</v>
      </c>
      <c r="E478" s="415">
        <v>1</v>
      </c>
      <c r="F478" s="415">
        <f>D478*E478</f>
        <v>50</v>
      </c>
    </row>
    <row r="479" spans="1:6" ht="13.5" customHeight="1">
      <c r="B479" s="369"/>
      <c r="C479" s="332"/>
    </row>
    <row r="480" spans="1:6" ht="26.25" customHeight="1">
      <c r="A480" s="331" t="s">
        <v>1198</v>
      </c>
      <c r="B480" s="369" t="s">
        <v>1609</v>
      </c>
      <c r="C480" s="332"/>
    </row>
    <row r="481" spans="1:6" s="416" customFormat="1" ht="13.5" customHeight="1">
      <c r="A481" s="412"/>
      <c r="B481" s="413"/>
      <c r="C481" s="414" t="s">
        <v>291</v>
      </c>
      <c r="D481" s="415">
        <v>1</v>
      </c>
      <c r="E481" s="415">
        <v>150</v>
      </c>
      <c r="F481" s="415">
        <f>D481*E481</f>
        <v>150</v>
      </c>
    </row>
    <row r="482" spans="1:6" ht="13.5" customHeight="1">
      <c r="B482" s="369"/>
      <c r="C482" s="332"/>
    </row>
    <row r="483" spans="1:6" ht="42" customHeight="1">
      <c r="A483" s="331" t="s">
        <v>231</v>
      </c>
      <c r="B483" s="369" t="s">
        <v>1610</v>
      </c>
      <c r="C483" s="332"/>
    </row>
    <row r="484" spans="1:6" s="416" customFormat="1" ht="13.5" customHeight="1">
      <c r="A484" s="412"/>
      <c r="B484" s="413"/>
      <c r="C484" s="414" t="s">
        <v>1484</v>
      </c>
      <c r="D484" s="415">
        <v>10</v>
      </c>
      <c r="E484" s="415">
        <v>50</v>
      </c>
      <c r="F484" s="415">
        <f>D484*E484</f>
        <v>500</v>
      </c>
    </row>
    <row r="485" spans="1:6" s="400" customFormat="1" ht="13.5" customHeight="1">
      <c r="A485" s="384"/>
      <c r="B485" s="385"/>
      <c r="C485" s="386"/>
      <c r="D485" s="387"/>
      <c r="E485" s="387"/>
      <c r="F485" s="387"/>
    </row>
    <row r="486" spans="1:6" ht="54.75" customHeight="1">
      <c r="A486" s="331" t="s">
        <v>1202</v>
      </c>
      <c r="B486" s="369" t="s">
        <v>2668</v>
      </c>
      <c r="C486" s="332"/>
    </row>
    <row r="487" spans="1:6" s="416" customFormat="1" ht="13.5" customHeight="1">
      <c r="A487" s="412"/>
      <c r="B487" s="413"/>
      <c r="C487" s="414" t="s">
        <v>291</v>
      </c>
      <c r="D487" s="415">
        <v>18</v>
      </c>
      <c r="E487" s="415">
        <v>100</v>
      </c>
      <c r="F487" s="415">
        <f>D487*E487</f>
        <v>1800</v>
      </c>
    </row>
    <row r="488" spans="1:6" ht="13.5" customHeight="1">
      <c r="B488" s="369"/>
      <c r="C488" s="332"/>
    </row>
    <row r="489" spans="1:6" ht="29.25" customHeight="1">
      <c r="A489" s="331" t="s">
        <v>1203</v>
      </c>
      <c r="B489" s="369" t="s">
        <v>1611</v>
      </c>
      <c r="C489" s="332"/>
    </row>
    <row r="490" spans="1:6" ht="13.5" customHeight="1">
      <c r="B490" s="369"/>
      <c r="C490" s="332" t="s">
        <v>253</v>
      </c>
      <c r="D490" s="334">
        <v>1</v>
      </c>
      <c r="E490" s="334">
        <v>150</v>
      </c>
      <c r="F490" s="334">
        <f>D490*E490</f>
        <v>150</v>
      </c>
    </row>
    <row r="491" spans="1:6">
      <c r="B491" s="369"/>
      <c r="C491" s="332"/>
    </row>
    <row r="492" spans="1:6" ht="57" customHeight="1">
      <c r="A492" s="331" t="s">
        <v>1205</v>
      </c>
      <c r="B492" s="369" t="s">
        <v>1612</v>
      </c>
      <c r="C492" s="332"/>
    </row>
    <row r="493" spans="1:6" ht="15" customHeight="1">
      <c r="B493" s="369"/>
      <c r="C493" s="332" t="s">
        <v>253</v>
      </c>
      <c r="D493" s="334">
        <v>1</v>
      </c>
      <c r="E493" s="334">
        <v>150</v>
      </c>
      <c r="F493" s="334">
        <f>D493*E493</f>
        <v>150</v>
      </c>
    </row>
    <row r="494" spans="1:6">
      <c r="B494" s="369"/>
      <c r="C494" s="332"/>
    </row>
    <row r="495" spans="1:6" ht="15.75" customHeight="1">
      <c r="A495" s="331" t="s">
        <v>1206</v>
      </c>
      <c r="B495" s="369" t="s">
        <v>1613</v>
      </c>
      <c r="C495" s="332"/>
    </row>
    <row r="496" spans="1:6" ht="15.75" customHeight="1">
      <c r="B496" s="369"/>
      <c r="C496" s="332" t="s">
        <v>253</v>
      </c>
      <c r="D496" s="334">
        <v>1</v>
      </c>
      <c r="E496" s="334">
        <v>500</v>
      </c>
      <c r="F496" s="334">
        <f>D496*E496</f>
        <v>500</v>
      </c>
    </row>
    <row r="497" spans="1:6" ht="13.8" thickBot="1">
      <c r="A497" s="375"/>
      <c r="B497" s="417"/>
      <c r="C497" s="418"/>
      <c r="D497" s="419"/>
      <c r="E497" s="419"/>
      <c r="F497" s="420"/>
    </row>
    <row r="498" spans="1:6" ht="13.8" thickTop="1">
      <c r="A498" s="329" t="s">
        <v>1592</v>
      </c>
      <c r="B498" s="312" t="s">
        <v>1614</v>
      </c>
      <c r="C498" s="332"/>
      <c r="F498" s="322">
        <f>SUM(F450:F496)</f>
        <v>22400</v>
      </c>
    </row>
    <row r="499" spans="1:6">
      <c r="A499" s="329"/>
      <c r="B499" s="318"/>
      <c r="E499" s="398"/>
      <c r="F499" s="308"/>
    </row>
    <row r="500" spans="1:6">
      <c r="A500" s="329" t="s">
        <v>1615</v>
      </c>
      <c r="B500" s="318" t="s">
        <v>1616</v>
      </c>
      <c r="E500" s="398"/>
      <c r="F500" s="308"/>
    </row>
    <row r="501" spans="1:6" s="312" customFormat="1">
      <c r="A501" s="329"/>
      <c r="B501" s="318"/>
      <c r="C501" s="411"/>
      <c r="D501" s="322"/>
      <c r="E501" s="922"/>
    </row>
    <row r="502" spans="1:6" ht="55.5" customHeight="1">
      <c r="A502" s="331" t="s">
        <v>0</v>
      </c>
      <c r="B502" s="369" t="s">
        <v>2675</v>
      </c>
      <c r="C502" s="332" t="s">
        <v>1484</v>
      </c>
      <c r="D502" s="334">
        <v>50</v>
      </c>
      <c r="E502" s="334">
        <v>20</v>
      </c>
      <c r="F502" s="334">
        <f>E502*D502</f>
        <v>1000</v>
      </c>
    </row>
    <row r="503" spans="1:6" ht="13.5" customHeight="1">
      <c r="B503" s="369"/>
      <c r="C503" s="332"/>
    </row>
    <row r="504" spans="1:6" ht="95.25" customHeight="1">
      <c r="A504" s="331">
        <v>2</v>
      </c>
      <c r="B504" s="369" t="s">
        <v>1617</v>
      </c>
      <c r="C504" s="332" t="s">
        <v>1484</v>
      </c>
      <c r="D504" s="334">
        <v>50</v>
      </c>
      <c r="E504" s="334">
        <v>20</v>
      </c>
      <c r="F504" s="334">
        <f>E504*D504</f>
        <v>1000</v>
      </c>
    </row>
    <row r="505" spans="1:6" ht="13.5" customHeight="1">
      <c r="B505" s="369"/>
      <c r="C505" s="332"/>
      <c r="F505" s="333"/>
    </row>
    <row r="506" spans="1:6" ht="121.5" customHeight="1">
      <c r="A506" s="331" t="s">
        <v>3</v>
      </c>
      <c r="B506" s="369" t="s">
        <v>2676</v>
      </c>
      <c r="C506" s="332" t="s">
        <v>273</v>
      </c>
      <c r="D506" s="334">
        <v>80</v>
      </c>
      <c r="E506" s="334">
        <v>20</v>
      </c>
      <c r="F506" s="334">
        <f>E506*D506</f>
        <v>1600</v>
      </c>
    </row>
    <row r="507" spans="1:6" ht="16.5" customHeight="1">
      <c r="B507" s="369"/>
      <c r="C507" s="332"/>
    </row>
    <row r="508" spans="1:6" ht="53.4">
      <c r="A508" s="331" t="s">
        <v>5</v>
      </c>
      <c r="B508" s="369" t="s">
        <v>2677</v>
      </c>
      <c r="C508" s="332" t="s">
        <v>256</v>
      </c>
      <c r="D508" s="334">
        <v>50</v>
      </c>
      <c r="E508" s="334">
        <v>5</v>
      </c>
      <c r="F508" s="334">
        <f>E508*D508</f>
        <v>250</v>
      </c>
    </row>
    <row r="509" spans="1:6">
      <c r="B509" s="308"/>
      <c r="C509" s="332"/>
      <c r="F509" s="365"/>
    </row>
    <row r="510" spans="1:6" ht="60.75" customHeight="1">
      <c r="A510" s="331" t="s">
        <v>49</v>
      </c>
      <c r="B510" s="369" t="s">
        <v>2674</v>
      </c>
      <c r="C510" s="332" t="s">
        <v>256</v>
      </c>
      <c r="D510" s="334">
        <v>60</v>
      </c>
      <c r="E510" s="334">
        <v>30</v>
      </c>
      <c r="F510" s="334">
        <f>E510*D510</f>
        <v>1800</v>
      </c>
    </row>
    <row r="511" spans="1:6">
      <c r="B511" s="369"/>
      <c r="C511" s="332"/>
      <c r="F511" s="333"/>
    </row>
    <row r="512" spans="1:6" ht="55.5" customHeight="1">
      <c r="A512" s="331" t="s">
        <v>58</v>
      </c>
      <c r="B512" s="369" t="s">
        <v>2673</v>
      </c>
      <c r="C512" s="332" t="s">
        <v>256</v>
      </c>
      <c r="D512" s="334">
        <v>5</v>
      </c>
      <c r="E512" s="334">
        <v>100</v>
      </c>
      <c r="F512" s="334">
        <f>E512*D512</f>
        <v>500</v>
      </c>
    </row>
    <row r="513" spans="1:6">
      <c r="B513" s="369"/>
      <c r="C513" s="332"/>
    </row>
    <row r="514" spans="1:6" ht="96" customHeight="1">
      <c r="A514" s="331" t="s">
        <v>141</v>
      </c>
      <c r="B514" s="369" t="s">
        <v>2672</v>
      </c>
      <c r="C514" s="332" t="s">
        <v>273</v>
      </c>
      <c r="D514" s="334">
        <v>60</v>
      </c>
      <c r="E514" s="334">
        <v>50</v>
      </c>
      <c r="F514" s="334">
        <f>E514*D514</f>
        <v>3000</v>
      </c>
    </row>
    <row r="515" spans="1:6" ht="14.25" customHeight="1">
      <c r="B515" s="369"/>
      <c r="C515" s="332"/>
    </row>
    <row r="516" spans="1:6" ht="152.25" customHeight="1">
      <c r="A516" s="331" t="s">
        <v>1191</v>
      </c>
      <c r="B516" s="369" t="s">
        <v>2678</v>
      </c>
      <c r="C516" s="332" t="s">
        <v>273</v>
      </c>
      <c r="D516" s="334">
        <v>50</v>
      </c>
      <c r="E516" s="334">
        <v>20</v>
      </c>
      <c r="F516" s="334">
        <f>E516*D516</f>
        <v>1000</v>
      </c>
    </row>
    <row r="517" spans="1:6">
      <c r="B517" s="308"/>
      <c r="C517" s="332"/>
      <c r="F517" s="365"/>
    </row>
    <row r="518" spans="1:6" ht="144.75" customHeight="1">
      <c r="A518" s="331" t="s">
        <v>180</v>
      </c>
      <c r="B518" s="369" t="s">
        <v>2679</v>
      </c>
      <c r="C518" s="332" t="s">
        <v>273</v>
      </c>
      <c r="D518" s="334">
        <v>50</v>
      </c>
      <c r="E518" s="334">
        <v>50</v>
      </c>
      <c r="F518" s="333">
        <f>E518*D518</f>
        <v>2500</v>
      </c>
    </row>
    <row r="519" spans="1:6">
      <c r="B519" s="308"/>
      <c r="C519" s="332"/>
      <c r="F519" s="365"/>
    </row>
    <row r="520" spans="1:6" ht="92.25" customHeight="1">
      <c r="A520" s="331" t="s">
        <v>1198</v>
      </c>
      <c r="B520" s="369" t="s">
        <v>2680</v>
      </c>
      <c r="C520" s="332" t="s">
        <v>1484</v>
      </c>
      <c r="D520" s="334">
        <v>90</v>
      </c>
      <c r="E520" s="334">
        <v>10</v>
      </c>
      <c r="F520" s="333">
        <f>E520*D520</f>
        <v>900</v>
      </c>
    </row>
    <row r="521" spans="1:6">
      <c r="B521" s="308"/>
      <c r="C521" s="332"/>
      <c r="F521" s="365"/>
    </row>
    <row r="522" spans="1:6" ht="68.25" customHeight="1">
      <c r="A522" s="331" t="s">
        <v>231</v>
      </c>
      <c r="B522" s="369" t="s">
        <v>2681</v>
      </c>
      <c r="C522" s="332" t="s">
        <v>273</v>
      </c>
      <c r="D522" s="334">
        <v>5</v>
      </c>
      <c r="E522" s="334">
        <v>100</v>
      </c>
      <c r="F522" s="334">
        <f>E522*D522</f>
        <v>500</v>
      </c>
    </row>
    <row r="523" spans="1:6">
      <c r="B523" s="308"/>
      <c r="C523" s="332"/>
      <c r="F523" s="365"/>
    </row>
    <row r="524" spans="1:6" ht="68.25" customHeight="1">
      <c r="A524" s="331" t="s">
        <v>1202</v>
      </c>
      <c r="B524" s="369" t="s">
        <v>2682</v>
      </c>
      <c r="C524" s="332" t="s">
        <v>256</v>
      </c>
      <c r="D524" s="334">
        <v>60</v>
      </c>
      <c r="E524" s="334">
        <v>50</v>
      </c>
      <c r="F524" s="334">
        <f>E524*D524</f>
        <v>3000</v>
      </c>
    </row>
    <row r="525" spans="1:6">
      <c r="B525" s="308"/>
      <c r="C525" s="332"/>
      <c r="F525" s="365"/>
    </row>
    <row r="526" spans="1:6" ht="57.75" customHeight="1">
      <c r="A526" s="331" t="s">
        <v>1203</v>
      </c>
      <c r="B526" s="369" t="s">
        <v>2683</v>
      </c>
      <c r="C526" s="332" t="s">
        <v>256</v>
      </c>
      <c r="D526" s="334">
        <v>5</v>
      </c>
      <c r="E526" s="334">
        <v>50</v>
      </c>
      <c r="F526" s="334">
        <f>E526*D526</f>
        <v>250</v>
      </c>
    </row>
    <row r="527" spans="1:6">
      <c r="B527" s="308"/>
      <c r="C527" s="332"/>
      <c r="F527" s="365"/>
    </row>
    <row r="528" spans="1:6" ht="81" customHeight="1">
      <c r="A528" s="331" t="s">
        <v>1203</v>
      </c>
      <c r="B528" s="369" t="s">
        <v>1618</v>
      </c>
      <c r="C528" s="332" t="s">
        <v>291</v>
      </c>
      <c r="D528" s="334">
        <v>5</v>
      </c>
      <c r="E528" s="334">
        <v>100</v>
      </c>
      <c r="F528" s="334">
        <f>E528*D528</f>
        <v>500</v>
      </c>
    </row>
    <row r="529" spans="1:6" ht="13.5" customHeight="1">
      <c r="B529" s="308"/>
      <c r="C529" s="332"/>
      <c r="F529" s="365"/>
    </row>
    <row r="530" spans="1:6" ht="39.75" customHeight="1">
      <c r="A530" s="331" t="s">
        <v>1205</v>
      </c>
      <c r="B530" s="369" t="s">
        <v>1619</v>
      </c>
      <c r="C530" s="332" t="s">
        <v>291</v>
      </c>
      <c r="D530" s="334">
        <v>2</v>
      </c>
      <c r="E530" s="334">
        <v>1000</v>
      </c>
      <c r="F530" s="334">
        <f>E530*D530</f>
        <v>2000</v>
      </c>
    </row>
    <row r="531" spans="1:6" s="400" customFormat="1" ht="12.75" customHeight="1">
      <c r="A531" s="384"/>
      <c r="B531" s="385"/>
      <c r="C531" s="386"/>
      <c r="D531" s="387"/>
      <c r="E531" s="387"/>
      <c r="F531" s="387"/>
    </row>
    <row r="532" spans="1:6" ht="17.25" customHeight="1">
      <c r="A532" s="331" t="s">
        <v>1206</v>
      </c>
      <c r="B532" s="369" t="s">
        <v>2684</v>
      </c>
      <c r="C532" s="332" t="s">
        <v>291</v>
      </c>
      <c r="D532" s="334">
        <v>2</v>
      </c>
      <c r="E532" s="334">
        <v>800</v>
      </c>
      <c r="F532" s="334">
        <f>E532*D532</f>
        <v>1600</v>
      </c>
    </row>
    <row r="533" spans="1:6" ht="13.5" customHeight="1">
      <c r="B533" s="308"/>
      <c r="C533" s="332"/>
      <c r="F533" s="365"/>
    </row>
    <row r="534" spans="1:6" ht="57.75" customHeight="1">
      <c r="A534" s="331" t="s">
        <v>1210</v>
      </c>
      <c r="B534" s="369" t="s">
        <v>1620</v>
      </c>
      <c r="C534" s="332" t="s">
        <v>256</v>
      </c>
      <c r="D534" s="334">
        <v>20</v>
      </c>
      <c r="E534" s="334">
        <v>20</v>
      </c>
      <c r="F534" s="334">
        <f>E534*D534</f>
        <v>400</v>
      </c>
    </row>
    <row r="535" spans="1:6">
      <c r="B535" s="308"/>
      <c r="C535" s="332"/>
      <c r="F535" s="365"/>
    </row>
    <row r="536" spans="1:6" ht="30.75" customHeight="1">
      <c r="A536" s="331" t="s">
        <v>1211</v>
      </c>
      <c r="B536" s="369" t="s">
        <v>2685</v>
      </c>
      <c r="C536" s="332" t="s">
        <v>256</v>
      </c>
      <c r="D536" s="334">
        <v>150</v>
      </c>
      <c r="E536" s="334">
        <v>5</v>
      </c>
      <c r="F536" s="334">
        <f>E536*D536</f>
        <v>750</v>
      </c>
    </row>
    <row r="537" spans="1:6">
      <c r="B537" s="308"/>
      <c r="C537" s="332"/>
      <c r="F537" s="365"/>
    </row>
    <row r="538" spans="1:6" ht="104.25" customHeight="1">
      <c r="A538" s="331" t="s">
        <v>1212</v>
      </c>
      <c r="B538" s="369" t="s">
        <v>2686</v>
      </c>
      <c r="C538" s="332" t="s">
        <v>1484</v>
      </c>
      <c r="D538" s="334">
        <v>50</v>
      </c>
      <c r="E538" s="334">
        <v>20</v>
      </c>
      <c r="F538" s="334">
        <f>E538*D538</f>
        <v>1000</v>
      </c>
    </row>
    <row r="539" spans="1:6" ht="13.8" thickBot="1">
      <c r="A539" s="375"/>
      <c r="B539" s="417"/>
      <c r="C539" s="418"/>
      <c r="D539" s="419"/>
      <c r="E539" s="419"/>
      <c r="F539" s="420"/>
    </row>
    <row r="540" spans="1:6" s="312" customFormat="1" ht="13.8" thickTop="1">
      <c r="A540" s="329" t="s">
        <v>1615</v>
      </c>
      <c r="B540" s="312" t="s">
        <v>1621</v>
      </c>
      <c r="C540" s="323"/>
      <c r="D540" s="322"/>
      <c r="E540" s="322"/>
      <c r="F540" s="322">
        <f>SUM(F502:F538)</f>
        <v>23550</v>
      </c>
    </row>
    <row r="541" spans="1:6" s="312" customFormat="1">
      <c r="A541" s="329"/>
      <c r="B541" s="311"/>
      <c r="C541" s="323"/>
      <c r="D541" s="322"/>
      <c r="E541" s="322"/>
      <c r="F541" s="322"/>
    </row>
    <row r="542" spans="1:6">
      <c r="B542" s="421" t="s">
        <v>1622</v>
      </c>
      <c r="C542" s="332"/>
    </row>
    <row r="543" spans="1:6" s="312" customFormat="1">
      <c r="A543" s="329" t="s">
        <v>1592</v>
      </c>
      <c r="B543" s="422" t="s">
        <v>1623</v>
      </c>
      <c r="C543" s="411"/>
      <c r="D543" s="322"/>
      <c r="F543" s="322">
        <f>F498</f>
        <v>22400</v>
      </c>
    </row>
    <row r="544" spans="1:6" ht="13.8" thickBot="1">
      <c r="A544" s="423" t="s">
        <v>1615</v>
      </c>
      <c r="B544" s="424" t="s">
        <v>1616</v>
      </c>
      <c r="C544" s="408"/>
      <c r="D544" s="419"/>
      <c r="E544" s="417"/>
      <c r="F544" s="425">
        <f>F540</f>
        <v>23550</v>
      </c>
    </row>
    <row r="545" spans="1:6" ht="16.5" customHeight="1" thickTop="1">
      <c r="A545" s="329" t="s">
        <v>1590</v>
      </c>
      <c r="B545" s="422" t="s">
        <v>1624</v>
      </c>
      <c r="E545" s="308"/>
      <c r="F545" s="322">
        <f>SUM(F543:F544)</f>
        <v>45950</v>
      </c>
    </row>
    <row r="546" spans="1:6">
      <c r="A546" s="341"/>
      <c r="B546" s="349"/>
      <c r="E546" s="308"/>
      <c r="F546" s="308"/>
    </row>
    <row r="547" spans="1:6" s="312" customFormat="1">
      <c r="A547" s="329"/>
      <c r="B547" s="318"/>
      <c r="C547" s="411"/>
      <c r="D547" s="322"/>
    </row>
    <row r="548" spans="1:6">
      <c r="A548" s="329" t="s">
        <v>1625</v>
      </c>
      <c r="B548" s="318" t="s">
        <v>1626</v>
      </c>
      <c r="E548" s="308"/>
      <c r="F548" s="308"/>
    </row>
    <row r="549" spans="1:6">
      <c r="A549" s="341"/>
      <c r="B549" s="349"/>
      <c r="E549" s="308"/>
      <c r="F549" s="308"/>
    </row>
    <row r="550" spans="1:6" ht="224.4">
      <c r="A550" s="341" t="s">
        <v>0</v>
      </c>
      <c r="B550" s="426" t="s">
        <v>1627</v>
      </c>
      <c r="E550" s="308"/>
      <c r="F550" s="308"/>
    </row>
    <row r="551" spans="1:6">
      <c r="A551" s="341"/>
      <c r="B551" s="426"/>
      <c r="E551" s="308"/>
      <c r="F551" s="308"/>
    </row>
    <row r="552" spans="1:6" ht="13.5" customHeight="1">
      <c r="A552" s="329"/>
      <c r="B552" s="426" t="s">
        <v>1628</v>
      </c>
      <c r="E552" s="308"/>
      <c r="F552" s="308"/>
    </row>
    <row r="553" spans="1:6">
      <c r="A553" s="341" t="s">
        <v>1629</v>
      </c>
      <c r="B553" s="397" t="s">
        <v>1630</v>
      </c>
      <c r="C553" s="349"/>
      <c r="D553" s="427"/>
      <c r="E553" s="428"/>
      <c r="F553" s="383"/>
    </row>
    <row r="554" spans="1:6">
      <c r="A554" s="341"/>
      <c r="B554" s="959" t="s">
        <v>1631</v>
      </c>
      <c r="C554" s="959"/>
      <c r="D554" s="959"/>
      <c r="E554" s="959"/>
      <c r="F554" s="308"/>
    </row>
    <row r="555" spans="1:6">
      <c r="B555" s="959" t="s">
        <v>1316</v>
      </c>
      <c r="C555" s="959"/>
      <c r="D555" s="959"/>
      <c r="E555" s="959"/>
      <c r="F555" s="308"/>
    </row>
    <row r="556" spans="1:6">
      <c r="A556" s="341"/>
      <c r="B556" s="429" t="s">
        <v>1632</v>
      </c>
      <c r="E556" s="308"/>
      <c r="F556" s="308"/>
    </row>
    <row r="557" spans="1:6">
      <c r="B557" s="349" t="s">
        <v>1633</v>
      </c>
      <c r="C557" s="349"/>
      <c r="D557" s="349"/>
      <c r="E557" s="349"/>
      <c r="F557" s="308"/>
    </row>
    <row r="558" spans="1:6" ht="15.6">
      <c r="A558" s="341"/>
      <c r="B558" s="430" t="s">
        <v>1634</v>
      </c>
      <c r="E558" s="308"/>
      <c r="F558" s="308"/>
    </row>
    <row r="559" spans="1:6" ht="15.6">
      <c r="A559" s="341"/>
      <c r="B559" s="430" t="s">
        <v>1635</v>
      </c>
      <c r="E559" s="308"/>
      <c r="F559" s="308"/>
    </row>
    <row r="560" spans="1:6">
      <c r="A560" s="341"/>
      <c r="B560" s="430" t="s">
        <v>1636</v>
      </c>
      <c r="E560" s="308"/>
      <c r="F560" s="308"/>
    </row>
    <row r="561" spans="1:6" ht="12.75" customHeight="1">
      <c r="A561" s="341"/>
      <c r="B561" s="430" t="s">
        <v>1637</v>
      </c>
      <c r="E561" s="308"/>
      <c r="F561" s="308"/>
    </row>
    <row r="562" spans="1:6">
      <c r="A562" s="341"/>
      <c r="B562" s="430" t="s">
        <v>1638</v>
      </c>
      <c r="E562" s="308"/>
      <c r="F562" s="308"/>
    </row>
    <row r="563" spans="1:6">
      <c r="A563" s="341"/>
      <c r="B563" s="430" t="s">
        <v>1639</v>
      </c>
      <c r="E563" s="308"/>
      <c r="F563" s="308"/>
    </row>
    <row r="564" spans="1:6">
      <c r="A564" s="341"/>
      <c r="B564" s="308"/>
      <c r="E564" s="308"/>
      <c r="F564" s="308"/>
    </row>
    <row r="565" spans="1:6">
      <c r="A565" s="341"/>
      <c r="B565" s="430" t="s">
        <v>1640</v>
      </c>
      <c r="E565" s="308"/>
      <c r="F565" s="308"/>
    </row>
    <row r="566" spans="1:6">
      <c r="A566" s="341"/>
      <c r="B566" s="430" t="s">
        <v>1641</v>
      </c>
      <c r="E566" s="308"/>
      <c r="F566" s="308"/>
    </row>
    <row r="567" spans="1:6">
      <c r="A567" s="341"/>
      <c r="B567" s="430" t="s">
        <v>1642</v>
      </c>
      <c r="E567" s="308"/>
      <c r="F567" s="308"/>
    </row>
    <row r="568" spans="1:6">
      <c r="A568" s="341"/>
      <c r="B568" s="430" t="s">
        <v>1643</v>
      </c>
      <c r="E568" s="308"/>
      <c r="F568" s="308"/>
    </row>
    <row r="569" spans="1:6">
      <c r="A569" s="341"/>
      <c r="B569" s="430"/>
      <c r="E569" s="308"/>
      <c r="F569" s="308"/>
    </row>
    <row r="570" spans="1:6">
      <c r="A570" s="341"/>
      <c r="B570" s="430" t="s">
        <v>1644</v>
      </c>
      <c r="E570" s="308"/>
      <c r="F570" s="308"/>
    </row>
    <row r="571" spans="1:6">
      <c r="A571" s="341"/>
      <c r="B571" s="430" t="s">
        <v>1645</v>
      </c>
      <c r="E571" s="308"/>
      <c r="F571" s="308"/>
    </row>
    <row r="572" spans="1:6">
      <c r="A572" s="341"/>
      <c r="B572" s="430" t="s">
        <v>1646</v>
      </c>
      <c r="E572" s="308"/>
      <c r="F572" s="308"/>
    </row>
    <row r="573" spans="1:6">
      <c r="A573" s="341"/>
      <c r="B573" s="430" t="s">
        <v>1647</v>
      </c>
      <c r="C573" s="349" t="s">
        <v>291</v>
      </c>
      <c r="D573" s="427">
        <v>1</v>
      </c>
      <c r="E573" s="383">
        <v>10000</v>
      </c>
      <c r="F573" s="383">
        <f>E573*D573</f>
        <v>10000</v>
      </c>
    </row>
    <row r="574" spans="1:6">
      <c r="A574" s="341"/>
      <c r="B574" s="349"/>
      <c r="C574" s="349"/>
      <c r="D574" s="427"/>
      <c r="E574" s="383"/>
      <c r="F574" s="383"/>
    </row>
    <row r="575" spans="1:6">
      <c r="A575" s="341" t="s">
        <v>1648</v>
      </c>
      <c r="B575" s="397" t="s">
        <v>1649</v>
      </c>
      <c r="C575" s="349"/>
      <c r="D575" s="427"/>
      <c r="E575" s="428"/>
      <c r="F575" s="383"/>
    </row>
    <row r="576" spans="1:6">
      <c r="A576" s="341"/>
      <c r="B576" s="959" t="s">
        <v>1631</v>
      </c>
      <c r="C576" s="959"/>
      <c r="D576" s="959"/>
      <c r="E576" s="959"/>
      <c r="F576" s="308"/>
    </row>
    <row r="577" spans="1:6">
      <c r="B577" s="959" t="s">
        <v>1316</v>
      </c>
      <c r="C577" s="959"/>
      <c r="D577" s="959"/>
      <c r="E577" s="959"/>
      <c r="F577" s="308"/>
    </row>
    <row r="578" spans="1:6">
      <c r="A578" s="341"/>
      <c r="B578" s="429" t="s">
        <v>1632</v>
      </c>
      <c r="E578" s="308"/>
      <c r="F578" s="308"/>
    </row>
    <row r="579" spans="1:6">
      <c r="B579" s="349" t="s">
        <v>1633</v>
      </c>
      <c r="C579" s="349"/>
      <c r="D579" s="349"/>
      <c r="E579" s="349"/>
      <c r="F579" s="308"/>
    </row>
    <row r="580" spans="1:6" ht="15.6">
      <c r="B580" s="430" t="s">
        <v>1650</v>
      </c>
      <c r="F580" s="312"/>
    </row>
    <row r="581" spans="1:6" ht="15.6">
      <c r="B581" s="430" t="s">
        <v>1651</v>
      </c>
      <c r="F581" s="312"/>
    </row>
    <row r="582" spans="1:6">
      <c r="B582" s="430" t="s">
        <v>1652</v>
      </c>
      <c r="F582" s="312"/>
    </row>
    <row r="583" spans="1:6" ht="15.6">
      <c r="B583" s="430" t="s">
        <v>1653</v>
      </c>
      <c r="F583" s="312"/>
    </row>
    <row r="584" spans="1:6">
      <c r="B584" s="430" t="s">
        <v>1638</v>
      </c>
      <c r="F584" s="312"/>
    </row>
    <row r="585" spans="1:6">
      <c r="B585" s="430" t="s">
        <v>1654</v>
      </c>
      <c r="F585" s="312"/>
    </row>
    <row r="586" spans="1:6">
      <c r="B586" s="308"/>
      <c r="F586" s="312"/>
    </row>
    <row r="587" spans="1:6">
      <c r="B587" s="430" t="s">
        <v>1640</v>
      </c>
      <c r="F587" s="312"/>
    </row>
    <row r="588" spans="1:6">
      <c r="B588" s="430" t="s">
        <v>1655</v>
      </c>
      <c r="F588" s="312"/>
    </row>
    <row r="589" spans="1:6">
      <c r="B589" s="430" t="s">
        <v>1656</v>
      </c>
      <c r="F589" s="312"/>
    </row>
    <row r="590" spans="1:6">
      <c r="B590" s="430" t="s">
        <v>1657</v>
      </c>
      <c r="F590" s="312"/>
    </row>
    <row r="591" spans="1:6">
      <c r="B591" s="430"/>
      <c r="F591" s="312"/>
    </row>
    <row r="592" spans="1:6">
      <c r="B592" s="430" t="s">
        <v>1644</v>
      </c>
      <c r="F592" s="312"/>
    </row>
    <row r="593" spans="1:6">
      <c r="B593" s="430" t="s">
        <v>1645</v>
      </c>
      <c r="F593" s="312"/>
    </row>
    <row r="594" spans="1:6">
      <c r="B594" s="430" t="s">
        <v>1646</v>
      </c>
      <c r="F594" s="312"/>
    </row>
    <row r="595" spans="1:6">
      <c r="B595" s="430" t="s">
        <v>1658</v>
      </c>
      <c r="C595" s="349" t="s">
        <v>291</v>
      </c>
      <c r="D595" s="427">
        <v>1</v>
      </c>
      <c r="E595" s="383">
        <v>7000</v>
      </c>
      <c r="F595" s="383">
        <f>E595*D595</f>
        <v>7000</v>
      </c>
    </row>
    <row r="596" spans="1:6">
      <c r="A596" s="341"/>
      <c r="B596" s="349"/>
      <c r="E596" s="308"/>
      <c r="F596" s="308"/>
    </row>
    <row r="597" spans="1:6" ht="219.75" customHeight="1">
      <c r="A597" s="331" t="s">
        <v>4</v>
      </c>
      <c r="B597" s="426" t="s">
        <v>1659</v>
      </c>
      <c r="E597" s="308"/>
      <c r="F597" s="308"/>
    </row>
    <row r="598" spans="1:6" ht="12" customHeight="1">
      <c r="B598" s="426"/>
      <c r="E598" s="308"/>
      <c r="F598" s="308"/>
    </row>
    <row r="599" spans="1:6" ht="13.5" customHeight="1">
      <c r="A599" s="329"/>
      <c r="B599" s="426" t="s">
        <v>1660</v>
      </c>
      <c r="E599" s="308"/>
      <c r="F599" s="308"/>
    </row>
    <row r="600" spans="1:6">
      <c r="A600" s="341" t="s">
        <v>1661</v>
      </c>
      <c r="B600" s="351" t="s">
        <v>1662</v>
      </c>
      <c r="C600" s="331"/>
      <c r="D600" s="365"/>
      <c r="E600" s="350"/>
      <c r="F600" s="308"/>
    </row>
    <row r="601" spans="1:6">
      <c r="A601" s="341"/>
      <c r="B601" s="959" t="s">
        <v>1631</v>
      </c>
      <c r="C601" s="959"/>
      <c r="D601" s="959"/>
      <c r="E601" s="959"/>
      <c r="F601" s="308"/>
    </row>
    <row r="602" spans="1:6">
      <c r="B602" s="959" t="s">
        <v>1316</v>
      </c>
      <c r="C602" s="959"/>
      <c r="D602" s="959"/>
      <c r="E602" s="959"/>
      <c r="F602" s="308"/>
    </row>
    <row r="603" spans="1:6">
      <c r="A603" s="341"/>
      <c r="B603" s="429" t="s">
        <v>1632</v>
      </c>
      <c r="C603" s="331"/>
      <c r="D603" s="365"/>
      <c r="E603" s="350"/>
      <c r="F603" s="308"/>
    </row>
    <row r="604" spans="1:6">
      <c r="B604" s="349" t="s">
        <v>1663</v>
      </c>
      <c r="C604" s="349"/>
      <c r="D604" s="349"/>
      <c r="E604" s="349"/>
      <c r="F604" s="308"/>
    </row>
    <row r="605" spans="1:6" ht="15.6">
      <c r="B605" s="431" t="s">
        <v>1664</v>
      </c>
      <c r="C605" s="331"/>
      <c r="D605" s="365"/>
      <c r="E605" s="365"/>
      <c r="F605" s="312"/>
    </row>
    <row r="606" spans="1:6" ht="15.6">
      <c r="B606" s="431" t="s">
        <v>1665</v>
      </c>
      <c r="C606" s="331"/>
      <c r="D606" s="365"/>
      <c r="E606" s="365"/>
      <c r="F606" s="312"/>
    </row>
    <row r="607" spans="1:6">
      <c r="B607" s="431" t="s">
        <v>1666</v>
      </c>
      <c r="C607" s="331"/>
      <c r="D607" s="365"/>
      <c r="E607" s="365"/>
      <c r="F607" s="312"/>
    </row>
    <row r="608" spans="1:6" ht="15.6">
      <c r="B608" s="431" t="s">
        <v>1667</v>
      </c>
      <c r="C608" s="331"/>
      <c r="D608" s="365"/>
      <c r="E608" s="365"/>
      <c r="F608" s="312"/>
    </row>
    <row r="609" spans="1:6">
      <c r="B609" s="431" t="s">
        <v>1668</v>
      </c>
      <c r="C609" s="331"/>
      <c r="D609" s="365"/>
      <c r="E609" s="365"/>
      <c r="F609" s="312"/>
    </row>
    <row r="610" spans="1:6">
      <c r="B610" s="431" t="s">
        <v>1669</v>
      </c>
      <c r="C610" s="331"/>
      <c r="D610" s="365"/>
      <c r="E610" s="365"/>
      <c r="F610" s="312"/>
    </row>
    <row r="611" spans="1:6">
      <c r="B611" s="350"/>
      <c r="C611" s="331"/>
      <c r="D611" s="365"/>
      <c r="E611" s="365"/>
      <c r="F611" s="312"/>
    </row>
    <row r="612" spans="1:6">
      <c r="B612" s="431" t="s">
        <v>1640</v>
      </c>
      <c r="C612" s="331"/>
      <c r="D612" s="365"/>
      <c r="E612" s="365"/>
      <c r="F612" s="312"/>
    </row>
    <row r="613" spans="1:6">
      <c r="B613" s="431" t="s">
        <v>1670</v>
      </c>
      <c r="C613" s="331"/>
      <c r="D613" s="365"/>
      <c r="E613" s="365"/>
      <c r="F613" s="312"/>
    </row>
    <row r="614" spans="1:6">
      <c r="B614" s="431" t="s">
        <v>1671</v>
      </c>
      <c r="C614" s="331"/>
      <c r="D614" s="365"/>
      <c r="E614" s="365"/>
      <c r="F614" s="312"/>
    </row>
    <row r="615" spans="1:6">
      <c r="B615" s="431" t="s">
        <v>1672</v>
      </c>
      <c r="C615" s="331"/>
      <c r="D615" s="365"/>
      <c r="E615" s="365"/>
      <c r="F615" s="312"/>
    </row>
    <row r="616" spans="1:6">
      <c r="B616" s="431"/>
      <c r="F616" s="312"/>
    </row>
    <row r="617" spans="1:6">
      <c r="B617" s="431" t="s">
        <v>1644</v>
      </c>
      <c r="F617" s="312"/>
    </row>
    <row r="618" spans="1:6">
      <c r="B618" s="431" t="s">
        <v>1645</v>
      </c>
      <c r="C618" s="349"/>
      <c r="D618" s="427"/>
      <c r="E618" s="428"/>
      <c r="F618" s="428">
        <f>E618*D618</f>
        <v>0</v>
      </c>
    </row>
    <row r="619" spans="1:6">
      <c r="B619" s="431" t="s">
        <v>1646</v>
      </c>
      <c r="E619" s="308"/>
      <c r="F619" s="308"/>
    </row>
    <row r="620" spans="1:6">
      <c r="B620" s="431" t="s">
        <v>1646</v>
      </c>
      <c r="E620" s="308"/>
      <c r="F620" s="308"/>
    </row>
    <row r="621" spans="1:6">
      <c r="A621" s="341"/>
      <c r="B621" s="349"/>
      <c r="C621" s="349" t="s">
        <v>291</v>
      </c>
      <c r="D621" s="427">
        <v>1</v>
      </c>
      <c r="E621" s="383">
        <v>3500</v>
      </c>
      <c r="F621" s="383">
        <f>E621*D621</f>
        <v>3500</v>
      </c>
    </row>
    <row r="622" spans="1:6">
      <c r="A622" s="341"/>
      <c r="B622" s="349"/>
      <c r="C622" s="349"/>
      <c r="D622" s="427"/>
      <c r="E622" s="383"/>
      <c r="F622" s="383"/>
    </row>
    <row r="623" spans="1:6" ht="16.5" customHeight="1">
      <c r="A623" s="337" t="s">
        <v>3</v>
      </c>
      <c r="B623" s="350" t="s">
        <v>1673</v>
      </c>
      <c r="C623" s="308"/>
      <c r="D623" s="308"/>
      <c r="E623" s="308"/>
      <c r="F623" s="308"/>
    </row>
    <row r="624" spans="1:6" ht="16.5" customHeight="1">
      <c r="A624" s="337"/>
      <c r="B624" s="350" t="s">
        <v>1674</v>
      </c>
      <c r="C624" s="308"/>
      <c r="D624" s="308"/>
      <c r="E624" s="308"/>
      <c r="F624" s="308"/>
    </row>
    <row r="625" spans="1:6" ht="16.5" customHeight="1">
      <c r="A625" s="337"/>
      <c r="B625" s="350" t="s">
        <v>1675</v>
      </c>
      <c r="C625" s="308"/>
      <c r="D625" s="308"/>
      <c r="E625" s="308"/>
      <c r="F625" s="308"/>
    </row>
    <row r="626" spans="1:6" ht="16.5" customHeight="1">
      <c r="A626" s="337"/>
      <c r="B626" s="350" t="s">
        <v>1676</v>
      </c>
      <c r="C626" s="308"/>
      <c r="D626" s="308"/>
      <c r="E626" s="308"/>
      <c r="F626" s="308"/>
    </row>
    <row r="627" spans="1:6" ht="16.5" customHeight="1">
      <c r="A627" s="337"/>
      <c r="B627" s="350" t="s">
        <v>1677</v>
      </c>
      <c r="C627" s="308"/>
      <c r="D627" s="308"/>
      <c r="E627" s="308"/>
      <c r="F627" s="308"/>
    </row>
    <row r="628" spans="1:6" ht="16.5" customHeight="1">
      <c r="A628" s="337"/>
      <c r="B628" s="350" t="s">
        <v>1678</v>
      </c>
      <c r="C628" s="308"/>
      <c r="D628" s="308"/>
      <c r="E628" s="308"/>
      <c r="F628" s="308"/>
    </row>
    <row r="629" spans="1:6" ht="16.5" customHeight="1">
      <c r="A629" s="337"/>
      <c r="B629" s="350" t="s">
        <v>1679</v>
      </c>
      <c r="C629" s="308"/>
      <c r="D629" s="308"/>
      <c r="E629" s="308"/>
      <c r="F629" s="308"/>
    </row>
    <row r="630" spans="1:6" ht="16.5" customHeight="1">
      <c r="A630" s="337"/>
      <c r="B630" s="350" t="s">
        <v>1680</v>
      </c>
      <c r="C630" s="308"/>
      <c r="D630" s="308"/>
      <c r="E630" s="308"/>
      <c r="F630" s="308"/>
    </row>
    <row r="631" spans="1:6" ht="16.5" customHeight="1">
      <c r="A631" s="337"/>
      <c r="B631" s="350" t="s">
        <v>1681</v>
      </c>
      <c r="C631" s="308"/>
      <c r="D631" s="308"/>
      <c r="E631" s="308"/>
      <c r="F631" s="308"/>
    </row>
    <row r="632" spans="1:6" ht="16.5" customHeight="1">
      <c r="A632" s="337"/>
      <c r="B632" s="350" t="s">
        <v>1682</v>
      </c>
      <c r="C632" s="308"/>
      <c r="D632" s="308"/>
      <c r="E632" s="308"/>
      <c r="F632" s="308"/>
    </row>
    <row r="633" spans="1:6" ht="16.5" customHeight="1">
      <c r="A633" s="337"/>
      <c r="B633" s="350" t="s">
        <v>1683</v>
      </c>
      <c r="C633" s="308"/>
      <c r="D633" s="308"/>
      <c r="E633" s="308"/>
      <c r="F633" s="308"/>
    </row>
    <row r="634" spans="1:6" ht="16.5" customHeight="1">
      <c r="A634" s="337"/>
      <c r="B634" s="350" t="s">
        <v>1684</v>
      </c>
      <c r="C634" s="308"/>
      <c r="D634" s="308"/>
      <c r="E634" s="308"/>
      <c r="F634" s="308"/>
    </row>
    <row r="635" spans="1:6" ht="16.5" customHeight="1">
      <c r="A635" s="337"/>
      <c r="B635" s="350" t="s">
        <v>1685</v>
      </c>
      <c r="C635" s="308"/>
      <c r="D635" s="308"/>
      <c r="E635" s="308"/>
      <c r="F635" s="308"/>
    </row>
    <row r="636" spans="1:6" ht="16.5" customHeight="1">
      <c r="A636" s="337"/>
      <c r="B636" s="350" t="s">
        <v>1686</v>
      </c>
      <c r="C636" s="308"/>
      <c r="D636" s="308"/>
      <c r="E636" s="308"/>
      <c r="F636" s="308"/>
    </row>
    <row r="637" spans="1:6" ht="16.5" customHeight="1">
      <c r="A637" s="337"/>
      <c r="B637" s="350" t="s">
        <v>1687</v>
      </c>
      <c r="C637" s="308"/>
      <c r="D637" s="308"/>
      <c r="E637" s="308"/>
      <c r="F637" s="308"/>
    </row>
    <row r="638" spans="1:6" ht="16.5" customHeight="1">
      <c r="A638" s="337"/>
      <c r="B638" s="350" t="s">
        <v>1688</v>
      </c>
      <c r="C638" s="308"/>
      <c r="D638" s="308"/>
      <c r="E638" s="308"/>
      <c r="F638" s="308"/>
    </row>
    <row r="639" spans="1:6" ht="16.5" customHeight="1">
      <c r="A639" s="337"/>
      <c r="B639" s="350" t="s">
        <v>1689</v>
      </c>
      <c r="C639" s="308"/>
      <c r="D639" s="308"/>
      <c r="E639" s="308"/>
      <c r="F639" s="308"/>
    </row>
    <row r="640" spans="1:6" ht="16.5" customHeight="1">
      <c r="A640" s="337"/>
      <c r="B640" s="350" t="s">
        <v>1690</v>
      </c>
      <c r="C640" s="308"/>
      <c r="D640" s="308"/>
      <c r="E640" s="308"/>
      <c r="F640" s="308"/>
    </row>
    <row r="641" spans="1:6" ht="16.5" customHeight="1">
      <c r="A641" s="337"/>
      <c r="B641" s="350" t="s">
        <v>1691</v>
      </c>
      <c r="C641" s="308"/>
      <c r="D641" s="308"/>
      <c r="E641" s="308"/>
      <c r="F641" s="308"/>
    </row>
    <row r="642" spans="1:6" ht="16.5" customHeight="1">
      <c r="A642" s="337"/>
      <c r="B642" s="350" t="s">
        <v>1692</v>
      </c>
      <c r="C642" s="308"/>
      <c r="D642" s="308"/>
      <c r="E642" s="308"/>
      <c r="F642" s="308"/>
    </row>
    <row r="643" spans="1:6" ht="16.5" customHeight="1">
      <c r="A643" s="337"/>
      <c r="B643" s="350" t="s">
        <v>1693</v>
      </c>
      <c r="C643" s="308"/>
      <c r="D643" s="308"/>
      <c r="E643" s="308"/>
      <c r="F643" s="308"/>
    </row>
    <row r="644" spans="1:6" ht="15.75" customHeight="1">
      <c r="A644" s="337"/>
      <c r="B644" s="350" t="s">
        <v>1694</v>
      </c>
      <c r="C644" s="308"/>
      <c r="D644" s="308"/>
      <c r="E644" s="308"/>
      <c r="F644" s="308"/>
    </row>
    <row r="645" spans="1:6" ht="16.5" customHeight="1">
      <c r="A645" s="337"/>
      <c r="B645" s="350" t="s">
        <v>1695</v>
      </c>
      <c r="C645" s="308"/>
      <c r="D645" s="308"/>
      <c r="E645" s="308"/>
      <c r="F645" s="308"/>
    </row>
    <row r="646" spans="1:6" ht="16.5" customHeight="1">
      <c r="A646" s="337"/>
      <c r="B646" s="350" t="s">
        <v>1696</v>
      </c>
      <c r="C646" s="308"/>
      <c r="D646" s="308"/>
      <c r="E646" s="308"/>
      <c r="F646" s="308"/>
    </row>
    <row r="647" spans="1:6" ht="16.5" customHeight="1">
      <c r="A647" s="337"/>
      <c r="B647" s="350" t="s">
        <v>1697</v>
      </c>
      <c r="C647" s="308"/>
      <c r="D647" s="308"/>
      <c r="E647" s="308"/>
      <c r="F647" s="308"/>
    </row>
    <row r="648" spans="1:6" ht="16.5" customHeight="1">
      <c r="A648" s="337"/>
      <c r="B648" s="350" t="s">
        <v>2688</v>
      </c>
      <c r="C648" s="308"/>
      <c r="D648" s="308"/>
      <c r="E648" s="308"/>
      <c r="F648" s="308"/>
    </row>
    <row r="649" spans="1:6" ht="16.5" customHeight="1">
      <c r="A649" s="337"/>
      <c r="B649" s="350" t="s">
        <v>2689</v>
      </c>
      <c r="C649" s="308"/>
      <c r="D649" s="308"/>
      <c r="E649" s="308"/>
      <c r="F649" s="308"/>
    </row>
    <row r="650" spans="1:6" ht="16.5" customHeight="1">
      <c r="A650" s="337"/>
      <c r="B650" s="432" t="s">
        <v>1698</v>
      </c>
      <c r="C650" s="332"/>
      <c r="D650" s="333"/>
      <c r="F650" s="322"/>
    </row>
    <row r="651" spans="1:6" ht="16.5" customHeight="1">
      <c r="A651" s="337"/>
      <c r="B651" s="432"/>
      <c r="C651" s="332"/>
      <c r="D651" s="333"/>
      <c r="F651" s="322"/>
    </row>
    <row r="652" spans="1:6" ht="26.4">
      <c r="A652" s="341" t="s">
        <v>1699</v>
      </c>
      <c r="B652" s="349" t="s">
        <v>1700</v>
      </c>
      <c r="C652" s="349"/>
      <c r="D652" s="427"/>
      <c r="E652" s="383"/>
      <c r="F652" s="383"/>
    </row>
    <row r="653" spans="1:6">
      <c r="A653" s="341"/>
      <c r="B653" s="350" t="s">
        <v>1701</v>
      </c>
      <c r="C653" s="403"/>
      <c r="D653" s="308"/>
      <c r="E653" s="308"/>
      <c r="F653" s="308"/>
    </row>
    <row r="654" spans="1:6">
      <c r="A654" s="341"/>
      <c r="B654" s="350" t="s">
        <v>1702</v>
      </c>
      <c r="C654" s="403"/>
      <c r="D654" s="308"/>
      <c r="E654" s="308"/>
      <c r="F654" s="308"/>
    </row>
    <row r="655" spans="1:6">
      <c r="A655" s="341"/>
      <c r="B655" s="350" t="s">
        <v>1703</v>
      </c>
      <c r="C655" s="403"/>
      <c r="D655" s="308"/>
      <c r="E655" s="308"/>
      <c r="F655" s="308"/>
    </row>
    <row r="656" spans="1:6">
      <c r="A656" s="341"/>
      <c r="B656" s="350" t="s">
        <v>1704</v>
      </c>
      <c r="C656" s="308"/>
      <c r="D656" s="308"/>
      <c r="E656" s="308"/>
      <c r="F656" s="308"/>
    </row>
    <row r="657" spans="1:6">
      <c r="A657" s="341"/>
      <c r="B657" s="350" t="s">
        <v>1705</v>
      </c>
      <c r="C657" s="308"/>
      <c r="D657" s="308"/>
      <c r="E657" s="308"/>
      <c r="F657" s="308"/>
    </row>
    <row r="658" spans="1:6">
      <c r="A658" s="341"/>
      <c r="B658" s="350" t="s">
        <v>1706</v>
      </c>
      <c r="C658" s="403"/>
      <c r="D658" s="308"/>
      <c r="E658" s="308"/>
      <c r="F658" s="308"/>
    </row>
    <row r="659" spans="1:6">
      <c r="A659" s="341"/>
      <c r="B659" s="350" t="s">
        <v>1707</v>
      </c>
      <c r="C659" s="308"/>
      <c r="D659" s="308"/>
      <c r="E659" s="308"/>
      <c r="F659" s="308"/>
    </row>
    <row r="660" spans="1:6">
      <c r="A660" s="341"/>
      <c r="B660" s="350" t="s">
        <v>1708</v>
      </c>
      <c r="C660" s="403"/>
      <c r="D660" s="308"/>
      <c r="E660" s="308"/>
      <c r="F660" s="308"/>
    </row>
    <row r="661" spans="1:6">
      <c r="A661" s="341"/>
      <c r="B661" s="350" t="s">
        <v>1709</v>
      </c>
      <c r="C661" s="403"/>
      <c r="D661" s="308"/>
      <c r="E661" s="308"/>
      <c r="F661" s="308"/>
    </row>
    <row r="662" spans="1:6">
      <c r="A662" s="341"/>
      <c r="B662" s="350" t="s">
        <v>1710</v>
      </c>
      <c r="C662" s="403"/>
      <c r="D662" s="308"/>
      <c r="E662" s="308"/>
      <c r="F662" s="308"/>
    </row>
    <row r="663" spans="1:6">
      <c r="A663" s="341"/>
      <c r="B663" s="350" t="s">
        <v>1711</v>
      </c>
      <c r="C663" s="403"/>
      <c r="D663" s="308"/>
      <c r="E663" s="308"/>
      <c r="F663" s="308"/>
    </row>
    <row r="664" spans="1:6">
      <c r="A664" s="341"/>
      <c r="B664" s="350" t="s">
        <v>1712</v>
      </c>
      <c r="C664" s="308"/>
      <c r="D664" s="308"/>
      <c r="E664" s="308"/>
      <c r="F664" s="308"/>
    </row>
    <row r="665" spans="1:6">
      <c r="A665" s="341"/>
      <c r="B665" s="350" t="s">
        <v>1713</v>
      </c>
      <c r="C665" s="308"/>
      <c r="D665" s="308"/>
      <c r="E665" s="308"/>
      <c r="F665" s="308"/>
    </row>
    <row r="666" spans="1:6">
      <c r="A666" s="341"/>
      <c r="B666" s="350" t="s">
        <v>1714</v>
      </c>
      <c r="C666" s="308"/>
      <c r="D666" s="308"/>
      <c r="E666" s="308"/>
      <c r="F666" s="308"/>
    </row>
    <row r="667" spans="1:6">
      <c r="A667" s="341"/>
      <c r="B667" s="350" t="s">
        <v>1715</v>
      </c>
      <c r="C667" s="308"/>
      <c r="D667" s="308"/>
      <c r="E667" s="308"/>
      <c r="F667" s="308"/>
    </row>
    <row r="668" spans="1:6">
      <c r="A668" s="341"/>
      <c r="B668" s="350" t="s">
        <v>1716</v>
      </c>
      <c r="C668" s="403"/>
      <c r="D668" s="308"/>
      <c r="E668" s="308"/>
      <c r="F668" s="308"/>
    </row>
    <row r="669" spans="1:6">
      <c r="A669" s="341"/>
      <c r="B669" s="350" t="s">
        <v>1717</v>
      </c>
      <c r="C669" s="359"/>
      <c r="D669" s="308"/>
      <c r="E669" s="308"/>
      <c r="F669" s="308"/>
    </row>
    <row r="670" spans="1:6">
      <c r="A670" s="341"/>
      <c r="B670" s="350" t="s">
        <v>1718</v>
      </c>
      <c r="C670" s="359"/>
      <c r="D670" s="308"/>
      <c r="E670" s="308"/>
      <c r="F670" s="308"/>
    </row>
    <row r="671" spans="1:6">
      <c r="A671" s="341"/>
      <c r="B671" s="349"/>
      <c r="C671" s="349"/>
      <c r="D671" s="427"/>
      <c r="E671" s="383"/>
      <c r="F671" s="383"/>
    </row>
    <row r="672" spans="1:6">
      <c r="A672" s="341"/>
      <c r="B672" s="350" t="s">
        <v>1719</v>
      </c>
      <c r="C672" s="308"/>
      <c r="D672" s="308"/>
      <c r="E672" s="383"/>
      <c r="F672" s="383"/>
    </row>
    <row r="673" spans="1:6">
      <c r="A673" s="341"/>
      <c r="B673" s="433" t="s">
        <v>1720</v>
      </c>
      <c r="C673" s="308"/>
      <c r="D673" s="308"/>
      <c r="E673" s="383"/>
      <c r="F673" s="383"/>
    </row>
    <row r="674" spans="1:6">
      <c r="A674" s="341"/>
      <c r="B674" s="433" t="s">
        <v>1721</v>
      </c>
      <c r="C674" s="308"/>
      <c r="D674" s="308"/>
      <c r="E674" s="383"/>
      <c r="F674" s="383"/>
    </row>
    <row r="675" spans="1:6">
      <c r="A675" s="341"/>
      <c r="B675" s="433" t="s">
        <v>1722</v>
      </c>
      <c r="C675" s="308"/>
      <c r="D675" s="308"/>
      <c r="E675" s="383"/>
      <c r="F675" s="383"/>
    </row>
    <row r="676" spans="1:6">
      <c r="A676" s="341"/>
      <c r="B676" s="433" t="s">
        <v>1723</v>
      </c>
      <c r="C676" s="308"/>
      <c r="D676" s="308"/>
      <c r="E676" s="383"/>
      <c r="F676" s="383"/>
    </row>
    <row r="677" spans="1:6">
      <c r="A677" s="341"/>
      <c r="B677" s="434" t="s">
        <v>1724</v>
      </c>
      <c r="C677" s="308"/>
      <c r="D677" s="308"/>
      <c r="E677" s="383"/>
      <c r="F677" s="383"/>
    </row>
    <row r="678" spans="1:6">
      <c r="A678" s="341"/>
      <c r="B678" s="349"/>
      <c r="C678" s="349" t="s">
        <v>253</v>
      </c>
      <c r="D678" s="427">
        <v>1</v>
      </c>
      <c r="E678" s="383">
        <v>1000</v>
      </c>
      <c r="F678" s="383">
        <f>E678</f>
        <v>1000</v>
      </c>
    </row>
    <row r="679" spans="1:6">
      <c r="A679" s="341"/>
      <c r="B679" s="349"/>
      <c r="C679" s="349"/>
      <c r="D679" s="427"/>
      <c r="E679" s="383"/>
      <c r="F679" s="383"/>
    </row>
    <row r="680" spans="1:6">
      <c r="A680" s="341" t="s">
        <v>1725</v>
      </c>
      <c r="B680" s="349" t="s">
        <v>1726</v>
      </c>
      <c r="C680" s="349"/>
      <c r="D680" s="427"/>
      <c r="E680" s="383"/>
      <c r="F680" s="383"/>
    </row>
    <row r="681" spans="1:6">
      <c r="A681" s="341"/>
      <c r="B681" s="350" t="s">
        <v>1727</v>
      </c>
      <c r="C681" s="403"/>
      <c r="D681" s="308"/>
      <c r="E681" s="308"/>
      <c r="F681" s="308"/>
    </row>
    <row r="682" spans="1:6">
      <c r="A682" s="341"/>
      <c r="B682" s="350" t="s">
        <v>1702</v>
      </c>
      <c r="C682" s="403"/>
      <c r="D682" s="308"/>
      <c r="E682" s="308"/>
      <c r="F682" s="308"/>
    </row>
    <row r="683" spans="1:6">
      <c r="A683" s="341"/>
      <c r="B683" s="350" t="s">
        <v>1728</v>
      </c>
      <c r="C683" s="403"/>
      <c r="D683" s="308"/>
      <c r="E683" s="308"/>
      <c r="F683" s="308"/>
    </row>
    <row r="684" spans="1:6">
      <c r="A684" s="341"/>
      <c r="B684" s="350" t="s">
        <v>1704</v>
      </c>
      <c r="C684" s="308"/>
      <c r="D684" s="308"/>
      <c r="E684" s="308"/>
      <c r="F684" s="308"/>
    </row>
    <row r="685" spans="1:6">
      <c r="A685" s="341"/>
      <c r="B685" s="350" t="s">
        <v>1705</v>
      </c>
      <c r="C685" s="308"/>
      <c r="D685" s="308"/>
      <c r="E685" s="308"/>
      <c r="F685" s="308"/>
    </row>
    <row r="686" spans="1:6">
      <c r="A686" s="341"/>
      <c r="B686" s="350" t="s">
        <v>1706</v>
      </c>
      <c r="C686" s="403"/>
      <c r="D686" s="308"/>
      <c r="E686" s="308"/>
      <c r="F686" s="308"/>
    </row>
    <row r="687" spans="1:6">
      <c r="A687" s="341"/>
      <c r="B687" s="350" t="s">
        <v>1707</v>
      </c>
      <c r="C687" s="308"/>
      <c r="D687" s="308"/>
      <c r="E687" s="308"/>
      <c r="F687" s="308"/>
    </row>
    <row r="688" spans="1:6">
      <c r="A688" s="341"/>
      <c r="B688" s="350" t="s">
        <v>1708</v>
      </c>
      <c r="C688" s="403"/>
      <c r="D688" s="308"/>
      <c r="E688" s="308"/>
      <c r="F688" s="308"/>
    </row>
    <row r="689" spans="1:6">
      <c r="A689" s="341"/>
      <c r="B689" s="350" t="s">
        <v>1709</v>
      </c>
      <c r="C689" s="403"/>
      <c r="D689" s="308"/>
      <c r="E689" s="308"/>
      <c r="F689" s="308"/>
    </row>
    <row r="690" spans="1:6">
      <c r="A690" s="341"/>
      <c r="B690" s="350" t="s">
        <v>1710</v>
      </c>
      <c r="C690" s="403"/>
      <c r="D690" s="308"/>
      <c r="E690" s="308"/>
      <c r="F690" s="308"/>
    </row>
    <row r="691" spans="1:6">
      <c r="A691" s="341"/>
      <c r="B691" s="350" t="s">
        <v>1711</v>
      </c>
      <c r="C691" s="403"/>
      <c r="D691" s="308"/>
      <c r="E691" s="308"/>
      <c r="F691" s="308"/>
    </row>
    <row r="692" spans="1:6">
      <c r="A692" s="341"/>
      <c r="B692" s="350" t="s">
        <v>1712</v>
      </c>
      <c r="C692" s="308"/>
      <c r="D692" s="308"/>
      <c r="E692" s="308"/>
      <c r="F692" s="308"/>
    </row>
    <row r="693" spans="1:6">
      <c r="A693" s="341"/>
      <c r="B693" s="350" t="s">
        <v>1713</v>
      </c>
      <c r="C693" s="308"/>
      <c r="D693" s="308"/>
      <c r="E693" s="308"/>
      <c r="F693" s="308"/>
    </row>
    <row r="694" spans="1:6">
      <c r="A694" s="341"/>
      <c r="B694" s="350" t="s">
        <v>1714</v>
      </c>
      <c r="C694" s="308"/>
      <c r="D694" s="308"/>
      <c r="E694" s="308"/>
      <c r="F694" s="308"/>
    </row>
    <row r="695" spans="1:6">
      <c r="A695" s="341"/>
      <c r="B695" s="350" t="s">
        <v>1715</v>
      </c>
      <c r="C695" s="308"/>
      <c r="D695" s="308"/>
      <c r="E695" s="308"/>
      <c r="F695" s="308"/>
    </row>
    <row r="696" spans="1:6">
      <c r="A696" s="341"/>
      <c r="B696" s="350" t="s">
        <v>1716</v>
      </c>
      <c r="C696" s="403"/>
      <c r="D696" s="308"/>
      <c r="E696" s="308"/>
      <c r="F696" s="308"/>
    </row>
    <row r="697" spans="1:6">
      <c r="A697" s="341"/>
      <c r="B697" s="350" t="s">
        <v>1717</v>
      </c>
      <c r="C697" s="359"/>
      <c r="D697" s="308"/>
      <c r="E697" s="308"/>
      <c r="F697" s="308"/>
    </row>
    <row r="698" spans="1:6">
      <c r="A698" s="341"/>
      <c r="B698" s="350" t="s">
        <v>1718</v>
      </c>
      <c r="C698" s="359"/>
      <c r="D698" s="308"/>
      <c r="E698" s="308"/>
      <c r="F698" s="308"/>
    </row>
    <row r="699" spans="1:6">
      <c r="A699" s="341"/>
      <c r="B699" s="349"/>
      <c r="C699" s="349"/>
      <c r="D699" s="427"/>
      <c r="E699" s="383"/>
      <c r="F699" s="383"/>
    </row>
    <row r="700" spans="1:6">
      <c r="A700" s="341"/>
      <c r="B700" s="350" t="s">
        <v>1719</v>
      </c>
      <c r="C700" s="308"/>
      <c r="D700" s="308"/>
      <c r="E700" s="383"/>
      <c r="F700" s="383"/>
    </row>
    <row r="701" spans="1:6">
      <c r="A701" s="341"/>
      <c r="B701" s="433" t="s">
        <v>1720</v>
      </c>
      <c r="C701" s="308"/>
      <c r="D701" s="308"/>
      <c r="E701" s="383"/>
      <c r="F701" s="383"/>
    </row>
    <row r="702" spans="1:6">
      <c r="A702" s="341"/>
      <c r="B702" s="433" t="s">
        <v>1721</v>
      </c>
      <c r="C702" s="308"/>
      <c r="D702" s="308"/>
      <c r="E702" s="383"/>
      <c r="F702" s="383"/>
    </row>
    <row r="703" spans="1:6">
      <c r="A703" s="341"/>
      <c r="B703" s="433" t="s">
        <v>1722</v>
      </c>
      <c r="C703" s="308"/>
      <c r="D703" s="308"/>
      <c r="E703" s="383"/>
      <c r="F703" s="383"/>
    </row>
    <row r="704" spans="1:6">
      <c r="A704" s="341"/>
      <c r="B704" s="433" t="s">
        <v>1723</v>
      </c>
      <c r="C704" s="308"/>
      <c r="D704" s="308"/>
      <c r="E704" s="383"/>
      <c r="F704" s="383"/>
    </row>
    <row r="705" spans="1:6">
      <c r="A705" s="341"/>
      <c r="B705" s="434" t="s">
        <v>1724</v>
      </c>
      <c r="C705" s="308"/>
      <c r="D705" s="308"/>
      <c r="E705" s="383"/>
      <c r="F705" s="383"/>
    </row>
    <row r="706" spans="1:6">
      <c r="A706" s="341"/>
      <c r="B706" s="349"/>
      <c r="C706" s="349" t="s">
        <v>253</v>
      </c>
      <c r="D706" s="427">
        <v>1</v>
      </c>
      <c r="E706" s="383">
        <v>1000</v>
      </c>
      <c r="F706" s="383">
        <f>E706</f>
        <v>1000</v>
      </c>
    </row>
    <row r="707" spans="1:6">
      <c r="A707" s="341"/>
      <c r="B707" s="349"/>
      <c r="C707" s="349"/>
      <c r="D707" s="427"/>
      <c r="E707" s="383"/>
      <c r="F707" s="383"/>
    </row>
    <row r="708" spans="1:6">
      <c r="A708" s="341" t="s">
        <v>1729</v>
      </c>
      <c r="B708" s="349" t="s">
        <v>1730</v>
      </c>
      <c r="C708" s="349"/>
      <c r="D708" s="427"/>
      <c r="E708" s="383"/>
      <c r="F708" s="383"/>
    </row>
    <row r="709" spans="1:6">
      <c r="A709" s="341"/>
      <c r="B709" s="350" t="s">
        <v>1731</v>
      </c>
      <c r="C709" s="403"/>
      <c r="D709" s="308"/>
      <c r="E709" s="308"/>
      <c r="F709" s="308"/>
    </row>
    <row r="710" spans="1:6">
      <c r="A710" s="341"/>
      <c r="B710" s="350" t="s">
        <v>1702</v>
      </c>
      <c r="C710" s="403"/>
      <c r="D710" s="308"/>
      <c r="E710" s="308"/>
      <c r="F710" s="308"/>
    </row>
    <row r="711" spans="1:6">
      <c r="A711" s="341"/>
      <c r="B711" s="350" t="s">
        <v>1732</v>
      </c>
      <c r="C711" s="403"/>
      <c r="D711" s="308"/>
      <c r="E711" s="308"/>
      <c r="F711" s="308"/>
    </row>
    <row r="712" spans="1:6">
      <c r="A712" s="341"/>
      <c r="B712" s="350" t="s">
        <v>1704</v>
      </c>
      <c r="C712" s="308"/>
      <c r="D712" s="308"/>
      <c r="E712" s="308"/>
      <c r="F712" s="308"/>
    </row>
    <row r="713" spans="1:6">
      <c r="A713" s="341"/>
      <c r="B713" s="350" t="s">
        <v>1705</v>
      </c>
      <c r="C713" s="308"/>
      <c r="D713" s="308"/>
      <c r="E713" s="308"/>
      <c r="F713" s="308"/>
    </row>
    <row r="714" spans="1:6">
      <c r="A714" s="341"/>
      <c r="B714" s="350" t="s">
        <v>1706</v>
      </c>
      <c r="C714" s="403"/>
      <c r="D714" s="308"/>
      <c r="E714" s="308"/>
      <c r="F714" s="308"/>
    </row>
    <row r="715" spans="1:6">
      <c r="A715" s="341"/>
      <c r="B715" s="350" t="s">
        <v>1707</v>
      </c>
      <c r="C715" s="308"/>
      <c r="D715" s="308"/>
      <c r="E715" s="308"/>
      <c r="F715" s="308"/>
    </row>
    <row r="716" spans="1:6">
      <c r="A716" s="341"/>
      <c r="B716" s="350" t="s">
        <v>1708</v>
      </c>
      <c r="C716" s="403"/>
      <c r="D716" s="308"/>
      <c r="E716" s="308"/>
      <c r="F716" s="308"/>
    </row>
    <row r="717" spans="1:6">
      <c r="A717" s="341"/>
      <c r="B717" s="350" t="s">
        <v>1709</v>
      </c>
      <c r="C717" s="403"/>
      <c r="D717" s="308"/>
      <c r="E717" s="308"/>
      <c r="F717" s="308"/>
    </row>
    <row r="718" spans="1:6">
      <c r="A718" s="341"/>
      <c r="B718" s="350" t="s">
        <v>1710</v>
      </c>
      <c r="C718" s="403"/>
      <c r="D718" s="308"/>
      <c r="E718" s="308"/>
      <c r="F718" s="308"/>
    </row>
    <row r="719" spans="1:6">
      <c r="A719" s="341"/>
      <c r="B719" s="350" t="s">
        <v>1711</v>
      </c>
      <c r="C719" s="403"/>
      <c r="D719" s="308"/>
      <c r="E719" s="308"/>
      <c r="F719" s="308"/>
    </row>
    <row r="720" spans="1:6">
      <c r="A720" s="341"/>
      <c r="B720" s="350" t="s">
        <v>1712</v>
      </c>
      <c r="C720" s="308"/>
      <c r="D720" s="308"/>
      <c r="E720" s="308"/>
      <c r="F720" s="308"/>
    </row>
    <row r="721" spans="1:6">
      <c r="A721" s="341"/>
      <c r="B721" s="350" t="s">
        <v>1713</v>
      </c>
      <c r="C721" s="308"/>
      <c r="D721" s="308"/>
      <c r="E721" s="308"/>
      <c r="F721" s="308"/>
    </row>
    <row r="722" spans="1:6">
      <c r="A722" s="341"/>
      <c r="B722" s="350" t="s">
        <v>1714</v>
      </c>
      <c r="C722" s="308"/>
      <c r="D722" s="308"/>
      <c r="E722" s="308"/>
      <c r="F722" s="308"/>
    </row>
    <row r="723" spans="1:6">
      <c r="A723" s="341"/>
      <c r="B723" s="350" t="s">
        <v>1715</v>
      </c>
      <c r="C723" s="308"/>
      <c r="D723" s="308"/>
      <c r="E723" s="308"/>
      <c r="F723" s="308"/>
    </row>
    <row r="724" spans="1:6">
      <c r="A724" s="341"/>
      <c r="B724" s="350" t="s">
        <v>1716</v>
      </c>
      <c r="C724" s="403"/>
      <c r="D724" s="308"/>
      <c r="E724" s="308"/>
      <c r="F724" s="308"/>
    </row>
    <row r="725" spans="1:6">
      <c r="A725" s="341"/>
      <c r="B725" s="350" t="s">
        <v>1717</v>
      </c>
      <c r="C725" s="359"/>
      <c r="D725" s="308"/>
      <c r="E725" s="308"/>
      <c r="F725" s="308"/>
    </row>
    <row r="726" spans="1:6">
      <c r="A726" s="341"/>
      <c r="B726" s="350" t="s">
        <v>1718</v>
      </c>
      <c r="C726" s="359"/>
      <c r="D726" s="308"/>
      <c r="E726" s="308"/>
      <c r="F726" s="308"/>
    </row>
    <row r="727" spans="1:6">
      <c r="A727" s="341"/>
      <c r="B727" s="349"/>
      <c r="C727" s="349"/>
      <c r="D727" s="427"/>
      <c r="E727" s="383"/>
      <c r="F727" s="383"/>
    </row>
    <row r="728" spans="1:6">
      <c r="A728" s="341"/>
      <c r="B728" s="350" t="s">
        <v>1719</v>
      </c>
      <c r="C728" s="308"/>
      <c r="D728" s="308"/>
      <c r="E728" s="383"/>
      <c r="F728" s="383"/>
    </row>
    <row r="729" spans="1:6">
      <c r="A729" s="341"/>
      <c r="B729" s="433" t="s">
        <v>1720</v>
      </c>
      <c r="C729" s="308"/>
      <c r="D729" s="308"/>
      <c r="E729" s="383"/>
      <c r="F729" s="383"/>
    </row>
    <row r="730" spans="1:6">
      <c r="A730" s="341"/>
      <c r="B730" s="433" t="s">
        <v>1721</v>
      </c>
      <c r="C730" s="308"/>
      <c r="D730" s="308"/>
      <c r="E730" s="383"/>
      <c r="F730" s="383"/>
    </row>
    <row r="731" spans="1:6">
      <c r="A731" s="341"/>
      <c r="B731" s="433" t="s">
        <v>1722</v>
      </c>
      <c r="C731" s="308"/>
      <c r="D731" s="308"/>
      <c r="E731" s="383"/>
      <c r="F731" s="383"/>
    </row>
    <row r="732" spans="1:6">
      <c r="A732" s="341"/>
      <c r="B732" s="433" t="s">
        <v>1723</v>
      </c>
      <c r="C732" s="308"/>
      <c r="D732" s="308"/>
      <c r="E732" s="383"/>
      <c r="F732" s="383"/>
    </row>
    <row r="733" spans="1:6">
      <c r="A733" s="341"/>
      <c r="B733" s="433" t="s">
        <v>1724</v>
      </c>
      <c r="C733" s="308"/>
      <c r="D733" s="308"/>
      <c r="E733" s="383"/>
      <c r="F733" s="383"/>
    </row>
    <row r="734" spans="1:6">
      <c r="A734" s="341"/>
      <c r="B734" s="349"/>
      <c r="C734" s="349" t="s">
        <v>253</v>
      </c>
      <c r="D734" s="427">
        <v>1</v>
      </c>
      <c r="E734" s="383">
        <v>1500</v>
      </c>
      <c r="F734" s="383">
        <f>E734</f>
        <v>1500</v>
      </c>
    </row>
    <row r="735" spans="1:6">
      <c r="A735" s="341"/>
      <c r="B735" s="349"/>
      <c r="C735" s="349"/>
      <c r="D735" s="427"/>
      <c r="E735" s="383"/>
      <c r="F735" s="383"/>
    </row>
    <row r="736" spans="1:6" s="400" customFormat="1" ht="65.25" customHeight="1">
      <c r="A736" s="331" t="s">
        <v>5</v>
      </c>
      <c r="B736" s="349" t="s">
        <v>1733</v>
      </c>
      <c r="C736" s="435"/>
      <c r="D736" s="368" t="s">
        <v>207</v>
      </c>
      <c r="E736" s="387"/>
      <c r="F736" s="387"/>
    </row>
    <row r="737" spans="1:7" s="400" customFormat="1" ht="26.25" customHeight="1">
      <c r="A737" s="384"/>
      <c r="B737" s="397" t="s">
        <v>1734</v>
      </c>
      <c r="C737" s="313" t="s">
        <v>291</v>
      </c>
      <c r="D737" s="389">
        <v>1</v>
      </c>
      <c r="E737" s="363">
        <v>500</v>
      </c>
      <c r="F737" s="363">
        <f>E737*D737</f>
        <v>500</v>
      </c>
    </row>
    <row r="738" spans="1:7" s="400" customFormat="1" ht="26.25" customHeight="1">
      <c r="A738" s="384"/>
      <c r="B738" s="397" t="s">
        <v>1735</v>
      </c>
      <c r="C738" s="313" t="s">
        <v>291</v>
      </c>
      <c r="D738" s="389">
        <v>4</v>
      </c>
      <c r="E738" s="363">
        <v>450</v>
      </c>
      <c r="F738" s="363">
        <f>E738*D738</f>
        <v>1800</v>
      </c>
    </row>
    <row r="739" spans="1:7" s="400" customFormat="1" ht="26.25" customHeight="1">
      <c r="A739" s="384"/>
      <c r="B739" s="397" t="s">
        <v>1736</v>
      </c>
      <c r="C739" s="313" t="s">
        <v>291</v>
      </c>
      <c r="D739" s="389">
        <v>4</v>
      </c>
      <c r="E739" s="363">
        <v>250</v>
      </c>
      <c r="F739" s="363">
        <f>E739*D739</f>
        <v>1000</v>
      </c>
    </row>
    <row r="740" spans="1:7">
      <c r="A740" s="436"/>
      <c r="B740" s="437"/>
      <c r="C740" s="438"/>
      <c r="D740" s="439"/>
      <c r="E740" s="428"/>
      <c r="F740" s="428"/>
      <c r="G740" s="400"/>
    </row>
    <row r="741" spans="1:7" ht="15" customHeight="1">
      <c r="A741" s="331" t="s">
        <v>49</v>
      </c>
      <c r="B741" s="349" t="s">
        <v>1737</v>
      </c>
      <c r="G741" s="400"/>
    </row>
    <row r="742" spans="1:7" ht="14.25" customHeight="1">
      <c r="B742" s="349" t="s">
        <v>1738</v>
      </c>
      <c r="C742" s="332" t="s">
        <v>291</v>
      </c>
      <c r="D742" s="333">
        <v>2</v>
      </c>
      <c r="E742" s="334">
        <v>500</v>
      </c>
      <c r="F742" s="334">
        <f>E742*D742</f>
        <v>1000</v>
      </c>
      <c r="G742" s="400"/>
    </row>
    <row r="743" spans="1:7" ht="14.25" customHeight="1">
      <c r="B743" s="349" t="s">
        <v>1739</v>
      </c>
      <c r="C743" s="332" t="s">
        <v>291</v>
      </c>
      <c r="D743" s="333">
        <v>2</v>
      </c>
      <c r="E743" s="334">
        <v>450</v>
      </c>
      <c r="F743" s="334">
        <f>E743*D743</f>
        <v>900</v>
      </c>
      <c r="G743" s="400"/>
    </row>
    <row r="744" spans="1:7" ht="14.25" customHeight="1">
      <c r="B744" s="349" t="s">
        <v>1740</v>
      </c>
      <c r="C744" s="332" t="s">
        <v>291</v>
      </c>
      <c r="D744" s="333">
        <v>2</v>
      </c>
      <c r="E744" s="334">
        <v>350</v>
      </c>
      <c r="F744" s="334">
        <f>E744*D744</f>
        <v>700</v>
      </c>
      <c r="G744" s="400"/>
    </row>
    <row r="745" spans="1:7" ht="14.25" customHeight="1">
      <c r="B745" s="349"/>
      <c r="C745" s="332"/>
      <c r="D745" s="368"/>
      <c r="E745" s="387"/>
      <c r="F745" s="387"/>
      <c r="G745" s="400"/>
    </row>
    <row r="746" spans="1:7" ht="26.25" customHeight="1">
      <c r="A746" s="331" t="s">
        <v>58</v>
      </c>
      <c r="B746" s="397" t="s">
        <v>1741</v>
      </c>
      <c r="D746" s="333"/>
      <c r="G746" s="400"/>
    </row>
    <row r="747" spans="1:7">
      <c r="B747" s="308" t="s">
        <v>1742</v>
      </c>
      <c r="C747" s="332" t="s">
        <v>291</v>
      </c>
      <c r="D747" s="333">
        <v>3</v>
      </c>
      <c r="E747" s="383">
        <v>500</v>
      </c>
      <c r="F747" s="383">
        <f>E747*D747</f>
        <v>1500</v>
      </c>
      <c r="G747" s="400"/>
    </row>
    <row r="748" spans="1:7">
      <c r="B748" s="308" t="s">
        <v>1743</v>
      </c>
      <c r="C748" s="332" t="s">
        <v>291</v>
      </c>
      <c r="D748" s="333">
        <v>3</v>
      </c>
      <c r="E748" s="383">
        <v>300</v>
      </c>
      <c r="F748" s="383">
        <f>E748*D748</f>
        <v>900</v>
      </c>
      <c r="G748" s="400"/>
    </row>
    <row r="749" spans="1:7">
      <c r="B749" s="308" t="s">
        <v>1744</v>
      </c>
      <c r="C749" s="332" t="s">
        <v>291</v>
      </c>
      <c r="D749" s="333">
        <v>2</v>
      </c>
      <c r="E749" s="383">
        <v>250</v>
      </c>
      <c r="F749" s="383">
        <f>E749*D749</f>
        <v>500</v>
      </c>
      <c r="G749" s="400"/>
    </row>
    <row r="750" spans="1:7">
      <c r="B750" s="308"/>
      <c r="C750" s="332"/>
      <c r="D750" s="333"/>
      <c r="E750" s="428"/>
      <c r="F750" s="428"/>
      <c r="G750" s="400"/>
    </row>
    <row r="751" spans="1:7" ht="39.6">
      <c r="A751" s="331" t="s">
        <v>141</v>
      </c>
      <c r="B751" s="397" t="s">
        <v>1745</v>
      </c>
      <c r="D751" s="333"/>
      <c r="G751" s="400"/>
    </row>
    <row r="752" spans="1:7" ht="14.25" customHeight="1">
      <c r="B752" s="308" t="s">
        <v>1746</v>
      </c>
      <c r="C752" s="332" t="s">
        <v>291</v>
      </c>
      <c r="D752" s="333">
        <v>6</v>
      </c>
      <c r="E752" s="383">
        <v>100</v>
      </c>
      <c r="F752" s="383">
        <f>E752*D752</f>
        <v>600</v>
      </c>
      <c r="G752" s="400"/>
    </row>
    <row r="753" spans="1:7" ht="14.25" customHeight="1">
      <c r="B753" s="308" t="s">
        <v>1747</v>
      </c>
      <c r="C753" s="332" t="s">
        <v>291</v>
      </c>
      <c r="D753" s="333">
        <v>5</v>
      </c>
      <c r="E753" s="383">
        <v>100</v>
      </c>
      <c r="F753" s="383">
        <f>E753*D753</f>
        <v>500</v>
      </c>
      <c r="G753" s="400"/>
    </row>
    <row r="754" spans="1:7" ht="14.25" customHeight="1">
      <c r="B754" s="308" t="s">
        <v>1748</v>
      </c>
      <c r="C754" s="332" t="s">
        <v>291</v>
      </c>
      <c r="D754" s="333">
        <v>3</v>
      </c>
      <c r="E754" s="383">
        <v>100</v>
      </c>
      <c r="F754" s="383">
        <f>E754*D754</f>
        <v>300</v>
      </c>
      <c r="G754" s="400"/>
    </row>
    <row r="755" spans="1:7" ht="14.25" customHeight="1">
      <c r="B755" s="308"/>
      <c r="C755" s="332"/>
      <c r="D755" s="333"/>
      <c r="E755" s="428"/>
      <c r="F755" s="428"/>
      <c r="G755" s="400"/>
    </row>
    <row r="756" spans="1:7" ht="16.5" customHeight="1">
      <c r="A756" s="331" t="s">
        <v>1191</v>
      </c>
      <c r="B756" s="397" t="s">
        <v>1749</v>
      </c>
      <c r="D756" s="333"/>
      <c r="E756" s="387"/>
      <c r="F756" s="387"/>
      <c r="G756" s="400"/>
    </row>
    <row r="757" spans="1:7">
      <c r="B757" s="308" t="s">
        <v>1750</v>
      </c>
      <c r="C757" s="332" t="s">
        <v>291</v>
      </c>
      <c r="D757" s="333">
        <v>1</v>
      </c>
      <c r="E757" s="334">
        <v>100</v>
      </c>
      <c r="F757" s="334">
        <f>E757*D757</f>
        <v>100</v>
      </c>
      <c r="G757" s="400"/>
    </row>
    <row r="758" spans="1:7">
      <c r="B758" s="308" t="s">
        <v>1751</v>
      </c>
      <c r="C758" s="332" t="s">
        <v>291</v>
      </c>
      <c r="D758" s="333">
        <v>4</v>
      </c>
      <c r="E758" s="334">
        <v>100</v>
      </c>
      <c r="F758" s="334">
        <f>E758*D758</f>
        <v>400</v>
      </c>
      <c r="G758" s="400"/>
    </row>
    <row r="759" spans="1:7">
      <c r="B759" s="308" t="s">
        <v>1752</v>
      </c>
      <c r="C759" s="332" t="s">
        <v>291</v>
      </c>
      <c r="D759" s="333">
        <v>1</v>
      </c>
      <c r="E759" s="334">
        <v>100</v>
      </c>
      <c r="F759" s="334">
        <f>E759*D759</f>
        <v>100</v>
      </c>
      <c r="G759" s="400"/>
    </row>
    <row r="760" spans="1:7">
      <c r="B760" s="308" t="s">
        <v>1753</v>
      </c>
      <c r="C760" s="332" t="s">
        <v>291</v>
      </c>
      <c r="D760" s="333">
        <v>4</v>
      </c>
      <c r="E760" s="334">
        <v>100</v>
      </c>
      <c r="F760" s="334">
        <f>E760*D760</f>
        <v>400</v>
      </c>
      <c r="G760" s="400"/>
    </row>
    <row r="761" spans="1:7">
      <c r="B761" s="308"/>
      <c r="C761" s="332"/>
      <c r="D761" s="333"/>
      <c r="E761" s="387"/>
      <c r="F761" s="387"/>
      <c r="G761" s="400"/>
    </row>
    <row r="762" spans="1:7" s="444" customFormat="1" ht="12" customHeight="1">
      <c r="A762" s="440" t="s">
        <v>180</v>
      </c>
      <c r="B762" s="372" t="s">
        <v>1754</v>
      </c>
      <c r="C762" s="441"/>
      <c r="D762" s="442"/>
      <c r="E762" s="443"/>
      <c r="F762" s="443"/>
      <c r="G762" s="400"/>
    </row>
    <row r="763" spans="1:7" s="444" customFormat="1">
      <c r="A763" s="445"/>
      <c r="B763" s="372" t="s">
        <v>1755</v>
      </c>
      <c r="C763" s="446" t="s">
        <v>291</v>
      </c>
      <c r="D763" s="442">
        <v>16</v>
      </c>
      <c r="E763" s="447">
        <v>100</v>
      </c>
      <c r="F763" s="447">
        <f>E763*D763</f>
        <v>1600</v>
      </c>
      <c r="G763" s="400"/>
    </row>
    <row r="764" spans="1:7" ht="14.25" customHeight="1">
      <c r="B764" s="308"/>
      <c r="C764" s="332"/>
      <c r="D764" s="333"/>
      <c r="E764" s="387"/>
      <c r="F764" s="387"/>
      <c r="G764" s="400"/>
    </row>
    <row r="765" spans="1:7" ht="16.5" customHeight="1">
      <c r="A765" s="331" t="s">
        <v>1198</v>
      </c>
      <c r="B765" s="397" t="s">
        <v>1756</v>
      </c>
      <c r="D765" s="333"/>
      <c r="E765" s="387"/>
      <c r="F765" s="387"/>
    </row>
    <row r="766" spans="1:7">
      <c r="B766" s="448" t="s">
        <v>1757</v>
      </c>
      <c r="C766" s="332" t="s">
        <v>291</v>
      </c>
      <c r="D766" s="333">
        <v>2</v>
      </c>
      <c r="E766" s="383">
        <v>120</v>
      </c>
      <c r="F766" s="383">
        <f>E766*D766</f>
        <v>240</v>
      </c>
    </row>
    <row r="767" spans="1:7">
      <c r="B767" s="448" t="s">
        <v>1758</v>
      </c>
      <c r="C767" s="332" t="s">
        <v>291</v>
      </c>
      <c r="D767" s="333">
        <v>2</v>
      </c>
      <c r="E767" s="383">
        <v>80</v>
      </c>
      <c r="F767" s="383">
        <f>E767*D767</f>
        <v>160</v>
      </c>
    </row>
    <row r="768" spans="1:7">
      <c r="B768" s="448" t="s">
        <v>1759</v>
      </c>
      <c r="C768" s="332" t="s">
        <v>291</v>
      </c>
      <c r="D768" s="333">
        <v>2</v>
      </c>
      <c r="E768" s="383">
        <v>50</v>
      </c>
      <c r="F768" s="383">
        <f>E768*D768</f>
        <v>100</v>
      </c>
    </row>
    <row r="769" spans="1:6">
      <c r="B769" s="448" t="s">
        <v>1760</v>
      </c>
      <c r="C769" s="332" t="s">
        <v>291</v>
      </c>
      <c r="D769" s="333">
        <v>4</v>
      </c>
      <c r="E769" s="383">
        <v>50</v>
      </c>
      <c r="F769" s="383">
        <f>E769*D769</f>
        <v>200</v>
      </c>
    </row>
    <row r="770" spans="1:6">
      <c r="B770" s="448"/>
      <c r="C770" s="332"/>
      <c r="D770" s="333"/>
      <c r="E770" s="383"/>
      <c r="F770" s="383"/>
    </row>
    <row r="771" spans="1:6" ht="40.5" customHeight="1">
      <c r="A771" s="331" t="s">
        <v>231</v>
      </c>
      <c r="B771" s="397" t="s">
        <v>1761</v>
      </c>
      <c r="D771" s="333"/>
    </row>
    <row r="772" spans="1:6">
      <c r="B772" s="308" t="s">
        <v>1762</v>
      </c>
      <c r="C772" s="332" t="s">
        <v>291</v>
      </c>
      <c r="D772" s="333">
        <v>2</v>
      </c>
      <c r="E772" s="334">
        <v>550</v>
      </c>
      <c r="F772" s="334">
        <f>E772*D772</f>
        <v>1100</v>
      </c>
    </row>
    <row r="773" spans="1:6">
      <c r="B773" s="308" t="s">
        <v>1763</v>
      </c>
      <c r="C773" s="332" t="s">
        <v>291</v>
      </c>
      <c r="D773" s="333">
        <v>2</v>
      </c>
      <c r="E773" s="334">
        <v>500</v>
      </c>
      <c r="F773" s="334">
        <f>E773*D773</f>
        <v>1000</v>
      </c>
    </row>
    <row r="774" spans="1:6">
      <c r="B774" s="308" t="s">
        <v>1764</v>
      </c>
      <c r="C774" s="332" t="s">
        <v>291</v>
      </c>
      <c r="D774" s="333">
        <v>2</v>
      </c>
      <c r="E774" s="334">
        <v>450</v>
      </c>
      <c r="F774" s="334">
        <f>E774*D774</f>
        <v>900</v>
      </c>
    </row>
    <row r="775" spans="1:6" s="449" customFormat="1">
      <c r="A775" s="331"/>
      <c r="B775" s="397"/>
      <c r="C775" s="373"/>
      <c r="D775" s="374"/>
      <c r="E775" s="383"/>
      <c r="F775" s="383"/>
    </row>
    <row r="776" spans="1:6" ht="118.5" customHeight="1">
      <c r="A776" s="331" t="s">
        <v>1202</v>
      </c>
      <c r="B776" s="397" t="s">
        <v>1765</v>
      </c>
      <c r="C776" s="332" t="s">
        <v>309</v>
      </c>
      <c r="D776" s="333">
        <v>380</v>
      </c>
      <c r="E776" s="383">
        <v>10</v>
      </c>
      <c r="F776" s="383">
        <f>E776*D776</f>
        <v>3800</v>
      </c>
    </row>
    <row r="777" spans="1:6" ht="12.75" customHeight="1">
      <c r="B777" s="397"/>
      <c r="C777" s="332"/>
      <c r="D777" s="333"/>
    </row>
    <row r="778" spans="1:6" ht="13.5" customHeight="1">
      <c r="A778" s="331" t="s">
        <v>1203</v>
      </c>
      <c r="B778" s="397" t="s">
        <v>1766</v>
      </c>
      <c r="C778" s="332"/>
      <c r="D778" s="333"/>
    </row>
    <row r="779" spans="1:6" ht="14.25" customHeight="1">
      <c r="B779" s="450" t="s">
        <v>1767</v>
      </c>
      <c r="C779" s="332"/>
      <c r="D779" s="333"/>
    </row>
    <row r="780" spans="1:6" ht="12.75" customHeight="1">
      <c r="B780" s="397" t="s">
        <v>1768</v>
      </c>
      <c r="C780" s="332" t="s">
        <v>1484</v>
      </c>
      <c r="D780" s="333">
        <v>55</v>
      </c>
      <c r="E780" s="334">
        <v>80</v>
      </c>
      <c r="F780" s="334">
        <f t="shared" ref="F780:F786" si="3">E780*D780</f>
        <v>4400</v>
      </c>
    </row>
    <row r="781" spans="1:6" ht="12.75" customHeight="1">
      <c r="B781" s="397" t="s">
        <v>1769</v>
      </c>
      <c r="C781" s="332" t="s">
        <v>1484</v>
      </c>
      <c r="D781" s="333">
        <v>75</v>
      </c>
      <c r="E781" s="334">
        <v>60</v>
      </c>
      <c r="F781" s="334">
        <f t="shared" si="3"/>
        <v>4500</v>
      </c>
    </row>
    <row r="782" spans="1:6" ht="12.75" customHeight="1">
      <c r="B782" s="397" t="s">
        <v>1770</v>
      </c>
      <c r="C782" s="332" t="s">
        <v>1484</v>
      </c>
      <c r="D782" s="333">
        <v>25</v>
      </c>
      <c r="E782" s="334">
        <v>50</v>
      </c>
      <c r="F782" s="334">
        <f t="shared" si="3"/>
        <v>1250</v>
      </c>
    </row>
    <row r="783" spans="1:6" ht="12.75" customHeight="1">
      <c r="B783" s="397" t="s">
        <v>1771</v>
      </c>
      <c r="C783" s="332" t="s">
        <v>1484</v>
      </c>
      <c r="D783" s="333">
        <v>40</v>
      </c>
      <c r="E783" s="334">
        <v>35</v>
      </c>
      <c r="F783" s="334">
        <f t="shared" si="3"/>
        <v>1400</v>
      </c>
    </row>
    <row r="784" spans="1:6" ht="12" customHeight="1">
      <c r="B784" s="397" t="s">
        <v>1772</v>
      </c>
      <c r="C784" s="332" t="s">
        <v>1484</v>
      </c>
      <c r="D784" s="333">
        <v>10</v>
      </c>
      <c r="E784" s="334">
        <v>30</v>
      </c>
      <c r="F784" s="334">
        <f t="shared" si="3"/>
        <v>300</v>
      </c>
    </row>
    <row r="785" spans="1:6" ht="12.75" customHeight="1">
      <c r="B785" s="397" t="s">
        <v>1773</v>
      </c>
      <c r="C785" s="332" t="s">
        <v>1484</v>
      </c>
      <c r="D785" s="333">
        <v>10</v>
      </c>
      <c r="E785" s="334">
        <v>25</v>
      </c>
      <c r="F785" s="334">
        <f t="shared" si="3"/>
        <v>250</v>
      </c>
    </row>
    <row r="786" spans="1:6" ht="12.75" customHeight="1">
      <c r="B786" s="397" t="s">
        <v>1774</v>
      </c>
      <c r="C786" s="332" t="s">
        <v>1484</v>
      </c>
      <c r="D786" s="333">
        <v>10</v>
      </c>
      <c r="E786" s="334">
        <v>20</v>
      </c>
      <c r="F786" s="334">
        <f t="shared" si="3"/>
        <v>200</v>
      </c>
    </row>
    <row r="787" spans="1:6" ht="12.75" customHeight="1">
      <c r="B787" s="397"/>
      <c r="C787" s="332"/>
      <c r="D787" s="333"/>
    </row>
    <row r="788" spans="1:6" ht="63" customHeight="1">
      <c r="A788" s="331" t="s">
        <v>1205</v>
      </c>
      <c r="B788" s="451" t="s">
        <v>1775</v>
      </c>
      <c r="C788" s="332" t="s">
        <v>256</v>
      </c>
      <c r="D788" s="333">
        <v>220</v>
      </c>
      <c r="E788" s="383">
        <v>10</v>
      </c>
      <c r="F788" s="383">
        <f>E788*D788</f>
        <v>2200</v>
      </c>
    </row>
    <row r="789" spans="1:6" ht="14.25" customHeight="1">
      <c r="C789" s="332"/>
      <c r="D789" s="333"/>
    </row>
    <row r="790" spans="1:6" s="307" customFormat="1" ht="56.25" customHeight="1">
      <c r="A790" s="331" t="s">
        <v>1206</v>
      </c>
      <c r="B790" s="372" t="s">
        <v>1776</v>
      </c>
      <c r="C790" s="331"/>
      <c r="D790" s="427"/>
      <c r="E790" s="328"/>
      <c r="F790" s="328"/>
    </row>
    <row r="791" spans="1:6" s="307" customFormat="1" ht="14.25" customHeight="1">
      <c r="A791" s="331"/>
      <c r="B791" s="372"/>
      <c r="C791" s="332" t="s">
        <v>291</v>
      </c>
      <c r="D791" s="333">
        <v>10</v>
      </c>
      <c r="E791" s="334">
        <v>50</v>
      </c>
      <c r="F791" s="334">
        <f>E791*D791</f>
        <v>500</v>
      </c>
    </row>
    <row r="792" spans="1:6">
      <c r="A792" s="395"/>
      <c r="B792" s="460"/>
      <c r="C792" s="369"/>
      <c r="D792" s="365"/>
      <c r="E792" s="365"/>
      <c r="F792" s="398"/>
    </row>
    <row r="793" spans="1:6" ht="12.75" customHeight="1">
      <c r="A793" s="329" t="s">
        <v>1625</v>
      </c>
      <c r="B793" s="312" t="s">
        <v>1780</v>
      </c>
      <c r="D793" s="333"/>
      <c r="F793" s="322">
        <f>SUM(F573:F791)</f>
        <v>59300</v>
      </c>
    </row>
    <row r="794" spans="1:6" s="312" customFormat="1">
      <c r="A794" s="311"/>
      <c r="C794" s="311"/>
      <c r="D794" s="317"/>
      <c r="E794" s="317"/>
      <c r="F794" s="457"/>
    </row>
    <row r="795" spans="1:6" s="444" customFormat="1">
      <c r="A795" s="452"/>
      <c r="B795" s="410"/>
      <c r="C795" s="453"/>
      <c r="D795" s="454"/>
      <c r="E795" s="455"/>
      <c r="F795" s="455"/>
    </row>
    <row r="796" spans="1:6" s="312" customFormat="1">
      <c r="A796" s="456" t="s">
        <v>1781</v>
      </c>
      <c r="B796" s="312" t="s">
        <v>1782</v>
      </c>
      <c r="C796" s="311"/>
      <c r="D796" s="317"/>
      <c r="E796" s="317"/>
      <c r="F796" s="457"/>
    </row>
    <row r="797" spans="1:6" s="312" customFormat="1">
      <c r="A797" s="311"/>
      <c r="C797" s="311"/>
      <c r="D797" s="317"/>
      <c r="E797" s="317"/>
      <c r="F797" s="457"/>
    </row>
    <row r="798" spans="1:6" ht="91.5" customHeight="1">
      <c r="A798" s="341" t="s">
        <v>0</v>
      </c>
      <c r="B798" s="458" t="s">
        <v>1783</v>
      </c>
      <c r="C798" s="369"/>
      <c r="D798" s="365"/>
      <c r="E798" s="365"/>
      <c r="F798" s="459"/>
    </row>
    <row r="799" spans="1:6">
      <c r="A799" s="395"/>
      <c r="B799" s="460"/>
      <c r="C799" s="369"/>
      <c r="D799" s="365"/>
      <c r="E799" s="365"/>
      <c r="F799" s="398"/>
    </row>
    <row r="800" spans="1:6">
      <c r="A800" s="395" t="s">
        <v>4</v>
      </c>
      <c r="B800" s="460" t="s">
        <v>1784</v>
      </c>
      <c r="C800" s="369"/>
      <c r="D800" s="365"/>
      <c r="E800" s="365"/>
      <c r="F800" s="398"/>
    </row>
    <row r="801" spans="1:6">
      <c r="A801" s="395"/>
      <c r="B801" s="460" t="s">
        <v>1785</v>
      </c>
      <c r="C801" s="369" t="s">
        <v>291</v>
      </c>
      <c r="D801" s="365">
        <v>4</v>
      </c>
      <c r="E801" s="365">
        <v>50</v>
      </c>
      <c r="F801" s="398">
        <f>E801*D801</f>
        <v>200</v>
      </c>
    </row>
    <row r="802" spans="1:6">
      <c r="A802" s="395"/>
      <c r="B802" s="460"/>
      <c r="C802" s="369"/>
      <c r="D802" s="365"/>
      <c r="E802" s="365"/>
      <c r="F802" s="398"/>
    </row>
    <row r="803" spans="1:6" ht="27.75" customHeight="1">
      <c r="A803" s="341" t="s">
        <v>3</v>
      </c>
      <c r="B803" s="461" t="s">
        <v>1786</v>
      </c>
      <c r="C803" s="369"/>
      <c r="D803" s="365"/>
      <c r="E803" s="365"/>
      <c r="F803" s="398"/>
    </row>
    <row r="804" spans="1:6">
      <c r="A804" s="395"/>
      <c r="B804" s="460"/>
      <c r="C804" s="369" t="s">
        <v>291</v>
      </c>
      <c r="D804" s="365">
        <v>1</v>
      </c>
      <c r="E804" s="365">
        <v>50</v>
      </c>
      <c r="F804" s="398">
        <f>D804*E804</f>
        <v>50</v>
      </c>
    </row>
    <row r="805" spans="1:6">
      <c r="A805" s="395"/>
      <c r="B805" s="460"/>
      <c r="C805" s="369"/>
      <c r="D805" s="365"/>
      <c r="E805" s="365"/>
      <c r="F805" s="398"/>
    </row>
    <row r="806" spans="1:6" ht="27" customHeight="1">
      <c r="A806" s="341" t="s">
        <v>5</v>
      </c>
      <c r="B806" s="462" t="s">
        <v>1787</v>
      </c>
      <c r="C806" s="369"/>
      <c r="D806" s="365"/>
      <c r="E806" s="365"/>
      <c r="F806" s="398"/>
    </row>
    <row r="807" spans="1:6">
      <c r="A807" s="395"/>
      <c r="B807" s="347" t="s">
        <v>1788</v>
      </c>
      <c r="C807" s="463" t="s">
        <v>1484</v>
      </c>
      <c r="D807" s="365">
        <v>110</v>
      </c>
      <c r="E807" s="365">
        <v>50</v>
      </c>
      <c r="F807" s="398">
        <f>E807*D807</f>
        <v>5500</v>
      </c>
    </row>
    <row r="808" spans="1:6">
      <c r="A808" s="395"/>
      <c r="B808" s="347" t="s">
        <v>1789</v>
      </c>
      <c r="C808" s="463" t="s">
        <v>1484</v>
      </c>
      <c r="D808" s="365">
        <v>110</v>
      </c>
      <c r="E808" s="365">
        <v>40</v>
      </c>
      <c r="F808" s="398">
        <f>E808*D808</f>
        <v>4400</v>
      </c>
    </row>
    <row r="809" spans="1:6">
      <c r="A809" s="395"/>
      <c r="B809" s="347" t="s">
        <v>1571</v>
      </c>
      <c r="C809" s="463" t="s">
        <v>1484</v>
      </c>
      <c r="D809" s="365">
        <v>15</v>
      </c>
      <c r="E809" s="365">
        <v>35</v>
      </c>
      <c r="F809" s="398">
        <f>E809*D809</f>
        <v>525</v>
      </c>
    </row>
    <row r="810" spans="1:6">
      <c r="A810" s="395"/>
      <c r="B810" s="347" t="s">
        <v>1790</v>
      </c>
      <c r="C810" s="463" t="s">
        <v>1484</v>
      </c>
      <c r="D810" s="365">
        <v>85</v>
      </c>
      <c r="E810" s="365">
        <v>30</v>
      </c>
      <c r="F810" s="398">
        <f>E810*D810</f>
        <v>2550</v>
      </c>
    </row>
    <row r="811" spans="1:6">
      <c r="A811" s="464"/>
      <c r="B811" s="308"/>
      <c r="C811" s="369"/>
      <c r="D811" s="365"/>
      <c r="E811" s="365"/>
      <c r="F811" s="465"/>
    </row>
    <row r="812" spans="1:6" ht="63.75" customHeight="1">
      <c r="A812" s="341" t="s">
        <v>49</v>
      </c>
      <c r="B812" s="369" t="s">
        <v>1791</v>
      </c>
      <c r="C812" s="369"/>
      <c r="D812" s="365"/>
      <c r="E812" s="365"/>
      <c r="F812" s="465"/>
    </row>
    <row r="813" spans="1:6">
      <c r="A813" s="395"/>
      <c r="B813" s="347" t="s">
        <v>1789</v>
      </c>
      <c r="C813" s="463" t="s">
        <v>291</v>
      </c>
      <c r="D813" s="365">
        <v>2</v>
      </c>
      <c r="E813" s="365">
        <v>40</v>
      </c>
      <c r="F813" s="398">
        <f>E813*D813</f>
        <v>80</v>
      </c>
    </row>
    <row r="814" spans="1:6">
      <c r="A814" s="395"/>
      <c r="B814" s="347" t="s">
        <v>1571</v>
      </c>
      <c r="C814" s="463" t="s">
        <v>291</v>
      </c>
      <c r="D814" s="365">
        <v>15</v>
      </c>
      <c r="E814" s="365">
        <v>35</v>
      </c>
      <c r="F814" s="398">
        <f>E814*D814</f>
        <v>525</v>
      </c>
    </row>
    <row r="815" spans="1:6" ht="13.5" customHeight="1">
      <c r="A815" s="395"/>
      <c r="B815" s="347" t="s">
        <v>1790</v>
      </c>
      <c r="C815" s="463" t="s">
        <v>291</v>
      </c>
      <c r="D815" s="365">
        <v>2</v>
      </c>
      <c r="E815" s="365">
        <v>30</v>
      </c>
      <c r="F815" s="398">
        <f>E815*D815</f>
        <v>60</v>
      </c>
    </row>
    <row r="816" spans="1:6">
      <c r="A816" s="464"/>
      <c r="B816" s="308"/>
      <c r="C816" s="369"/>
      <c r="D816" s="365"/>
      <c r="E816" s="365"/>
      <c r="F816" s="398"/>
    </row>
    <row r="817" spans="1:6" ht="27" customHeight="1">
      <c r="A817" s="341" t="s">
        <v>58</v>
      </c>
      <c r="B817" s="369" t="s">
        <v>1792</v>
      </c>
      <c r="C817" s="369"/>
      <c r="D817" s="365"/>
      <c r="E817" s="365"/>
      <c r="F817" s="398"/>
    </row>
    <row r="818" spans="1:6">
      <c r="A818" s="395"/>
      <c r="B818" s="308"/>
      <c r="C818" s="369" t="s">
        <v>291</v>
      </c>
      <c r="D818" s="365">
        <v>2</v>
      </c>
      <c r="E818" s="365">
        <v>50</v>
      </c>
      <c r="F818" s="398">
        <f>D818*E818</f>
        <v>100</v>
      </c>
    </row>
    <row r="819" spans="1:6">
      <c r="A819" s="395"/>
      <c r="B819" s="308"/>
      <c r="C819" s="369"/>
      <c r="D819" s="365"/>
      <c r="E819" s="466"/>
      <c r="F819" s="467"/>
    </row>
    <row r="820" spans="1:6" ht="30" customHeight="1">
      <c r="A820" s="395" t="s">
        <v>141</v>
      </c>
      <c r="B820" s="369" t="s">
        <v>1793</v>
      </c>
      <c r="C820" s="369"/>
      <c r="D820" s="365"/>
      <c r="E820" s="466"/>
      <c r="F820" s="467"/>
    </row>
    <row r="821" spans="1:6">
      <c r="A821" s="395"/>
      <c r="B821" s="308"/>
      <c r="C821" s="369" t="s">
        <v>291</v>
      </c>
      <c r="D821" s="365">
        <v>2</v>
      </c>
      <c r="E821" s="365">
        <v>250</v>
      </c>
      <c r="F821" s="398">
        <f>D821*E821</f>
        <v>500</v>
      </c>
    </row>
    <row r="822" spans="1:6">
      <c r="A822" s="395"/>
      <c r="B822" s="308"/>
      <c r="C822" s="369"/>
      <c r="D822" s="365"/>
      <c r="E822" s="365"/>
      <c r="F822" s="398"/>
    </row>
    <row r="823" spans="1:6" ht="42.75" customHeight="1">
      <c r="A823" s="395" t="s">
        <v>1191</v>
      </c>
      <c r="B823" s="369" t="s">
        <v>1794</v>
      </c>
      <c r="C823" s="369"/>
      <c r="D823" s="365"/>
      <c r="E823" s="365"/>
      <c r="F823" s="398"/>
    </row>
    <row r="824" spans="1:6" ht="12.75" customHeight="1">
      <c r="A824" s="395"/>
      <c r="B824" s="369"/>
      <c r="C824" s="369" t="s">
        <v>309</v>
      </c>
      <c r="D824" s="365">
        <v>70</v>
      </c>
      <c r="E824" s="365">
        <v>10</v>
      </c>
      <c r="F824" s="398">
        <f>D824*E824</f>
        <v>700</v>
      </c>
    </row>
    <row r="825" spans="1:6" ht="12" customHeight="1">
      <c r="A825" s="395"/>
      <c r="B825" s="369"/>
      <c r="C825" s="369"/>
      <c r="D825" s="365"/>
      <c r="E825" s="365"/>
      <c r="F825" s="398"/>
    </row>
    <row r="826" spans="1:6" ht="28.5" customHeight="1">
      <c r="A826" s="395" t="s">
        <v>180</v>
      </c>
      <c r="B826" s="349" t="s">
        <v>1795</v>
      </c>
      <c r="C826" s="369"/>
      <c r="D826" s="365"/>
      <c r="E826" s="365"/>
      <c r="F826" s="398"/>
    </row>
    <row r="827" spans="1:6" ht="14.25" customHeight="1">
      <c r="A827" s="395"/>
      <c r="B827" s="308"/>
      <c r="C827" s="369" t="s">
        <v>256</v>
      </c>
      <c r="D827" s="365">
        <v>35</v>
      </c>
      <c r="E827" s="365">
        <v>50</v>
      </c>
      <c r="F827" s="398">
        <f>D827*E827</f>
        <v>1750</v>
      </c>
    </row>
    <row r="828" spans="1:6">
      <c r="A828" s="395"/>
      <c r="B828" s="308"/>
      <c r="C828" s="369"/>
      <c r="D828" s="365"/>
      <c r="E828" s="365"/>
      <c r="F828" s="398"/>
    </row>
    <row r="829" spans="1:6" ht="55.5" customHeight="1">
      <c r="A829" s="395" t="s">
        <v>1198</v>
      </c>
      <c r="B829" s="369" t="s">
        <v>1796</v>
      </c>
      <c r="C829" s="468" t="s">
        <v>291</v>
      </c>
      <c r="D829" s="334">
        <v>25</v>
      </c>
      <c r="E829" s="334">
        <v>30</v>
      </c>
      <c r="F829" s="398">
        <f>D829*E829</f>
        <v>750</v>
      </c>
    </row>
    <row r="830" spans="1:6" ht="13.8" thickBot="1">
      <c r="A830" s="469"/>
      <c r="B830" s="417"/>
      <c r="C830" s="470"/>
      <c r="D830" s="420"/>
      <c r="E830" s="420"/>
      <c r="F830" s="471"/>
    </row>
    <row r="831" spans="1:6" ht="13.8" thickTop="1">
      <c r="A831" s="456" t="s">
        <v>1781</v>
      </c>
      <c r="B831" s="472" t="s">
        <v>1797</v>
      </c>
      <c r="C831" s="473"/>
      <c r="D831" s="473"/>
      <c r="E831" s="473"/>
      <c r="F831" s="474">
        <f>SUM(F801:F829)</f>
        <v>17690</v>
      </c>
    </row>
    <row r="832" spans="1:6" ht="13.8">
      <c r="A832" s="475"/>
      <c r="B832" s="476"/>
      <c r="C832" s="477"/>
      <c r="D832" s="477"/>
      <c r="E832" s="477"/>
      <c r="F832" s="478"/>
    </row>
    <row r="833" spans="1:6" s="400" customFormat="1" ht="14.25" customHeight="1">
      <c r="A833" s="384"/>
      <c r="C833" s="386"/>
      <c r="D833" s="368"/>
      <c r="E833" s="428"/>
      <c r="F833" s="428"/>
    </row>
    <row r="834" spans="1:6" ht="12" customHeight="1"/>
    <row r="835" spans="1:6" s="444" customFormat="1" ht="12.75" customHeight="1">
      <c r="A835" s="452"/>
      <c r="B835" s="410" t="s">
        <v>1798</v>
      </c>
      <c r="C835" s="453"/>
      <c r="D835" s="454"/>
      <c r="E835" s="455"/>
      <c r="F835" s="455"/>
    </row>
    <row r="836" spans="1:6" s="400" customFormat="1" ht="14.25" customHeight="1">
      <c r="A836" s="384"/>
      <c r="C836" s="386"/>
      <c r="D836" s="368"/>
      <c r="E836" s="428"/>
      <c r="F836" s="428"/>
    </row>
    <row r="837" spans="1:6">
      <c r="A837" s="329" t="s">
        <v>1324</v>
      </c>
      <c r="B837" s="318" t="s">
        <v>1325</v>
      </c>
      <c r="F837" s="317">
        <f>F271</f>
        <v>174625</v>
      </c>
    </row>
    <row r="838" spans="1:6">
      <c r="A838" s="329" t="s">
        <v>1497</v>
      </c>
      <c r="B838" s="318" t="s">
        <v>1498</v>
      </c>
      <c r="F838" s="317">
        <f>F442</f>
        <v>57655</v>
      </c>
    </row>
    <row r="839" spans="1:6">
      <c r="A839" s="329" t="s">
        <v>1590</v>
      </c>
      <c r="B839" s="318" t="s">
        <v>1591</v>
      </c>
      <c r="F839" s="317">
        <f>F545</f>
        <v>45950</v>
      </c>
    </row>
    <row r="840" spans="1:6">
      <c r="A840" s="329" t="s">
        <v>1625</v>
      </c>
      <c r="B840" s="318" t="s">
        <v>1626</v>
      </c>
      <c r="F840" s="317">
        <f>F793</f>
        <v>59300</v>
      </c>
    </row>
    <row r="841" spans="1:6" ht="13.8" thickBot="1">
      <c r="A841" s="423" t="s">
        <v>1781</v>
      </c>
      <c r="B841" s="479" t="s">
        <v>1782</v>
      </c>
      <c r="C841" s="408"/>
      <c r="D841" s="419"/>
      <c r="E841" s="419"/>
      <c r="F841" s="480">
        <f>F831</f>
        <v>17690</v>
      </c>
    </row>
    <row r="842" spans="1:6" ht="13.8" thickTop="1">
      <c r="B842" s="318" t="s">
        <v>1799</v>
      </c>
      <c r="C842" s="411"/>
      <c r="D842" s="322"/>
      <c r="F842" s="321">
        <f>SUM(F837:F841)</f>
        <v>355220</v>
      </c>
    </row>
    <row r="843" spans="1:6" ht="15.75" customHeight="1" thickBot="1">
      <c r="A843" s="375"/>
      <c r="B843" s="479" t="s">
        <v>1800</v>
      </c>
      <c r="C843" s="408"/>
      <c r="D843" s="419"/>
      <c r="E843" s="419"/>
      <c r="F843" s="481">
        <f>F842*0.25</f>
        <v>88805</v>
      </c>
    </row>
    <row r="844" spans="1:6" ht="13.8" thickTop="1">
      <c r="B844" s="318" t="s">
        <v>1801</v>
      </c>
      <c r="F844" s="322">
        <f>F843+F842</f>
        <v>444025</v>
      </c>
    </row>
    <row r="845" spans="1:6" s="400" customFormat="1" ht="14.25" customHeight="1">
      <c r="A845" s="384"/>
      <c r="C845" s="386"/>
      <c r="D845" s="368"/>
      <c r="E845" s="428"/>
      <c r="F845" s="428"/>
    </row>
    <row r="846" spans="1:6" s="400" customFormat="1" ht="14.25" customHeight="1">
      <c r="A846" s="384"/>
      <c r="C846" s="386"/>
      <c r="D846" s="368"/>
      <c r="E846" s="428"/>
      <c r="F846" s="428"/>
    </row>
    <row r="847" spans="1:6" ht="12" customHeight="1"/>
    <row r="848" spans="1:6" s="400" customFormat="1" ht="14.25" customHeight="1">
      <c r="A848" s="384"/>
      <c r="C848" s="386"/>
      <c r="D848" s="368"/>
      <c r="E848" s="428"/>
      <c r="F848" s="428"/>
    </row>
    <row r="849" ht="12" customHeight="1"/>
    <row r="850" ht="12" customHeight="1"/>
  </sheetData>
  <mergeCells count="27">
    <mergeCell ref="B11:E11"/>
    <mergeCell ref="B6:E6"/>
    <mergeCell ref="B7:E7"/>
    <mergeCell ref="B8:E8"/>
    <mergeCell ref="B9:E9"/>
    <mergeCell ref="B10:E10"/>
    <mergeCell ref="B23:E23"/>
    <mergeCell ref="B12:E12"/>
    <mergeCell ref="B13:E13"/>
    <mergeCell ref="B14:E14"/>
    <mergeCell ref="B15:E15"/>
    <mergeCell ref="B16:E16"/>
    <mergeCell ref="B17:E17"/>
    <mergeCell ref="B18:E18"/>
    <mergeCell ref="B19:E19"/>
    <mergeCell ref="B20:E20"/>
    <mergeCell ref="B21:E21"/>
    <mergeCell ref="B22:E22"/>
    <mergeCell ref="B577:E577"/>
    <mergeCell ref="B601:E601"/>
    <mergeCell ref="B602:E602"/>
    <mergeCell ref="B24:E24"/>
    <mergeCell ref="B25:E25"/>
    <mergeCell ref="B26:E26"/>
    <mergeCell ref="B554:E554"/>
    <mergeCell ref="B555:E555"/>
    <mergeCell ref="B576:E576"/>
  </mergeCells>
  <pageMargins left="0.78740157480314965" right="0.19685039370078741" top="0.23622047244094491" bottom="0.59055118110236227" header="0.23622047244094491" footer="0.59055118110236227"/>
  <pageSetup paperSize="9" scale="95" orientation="portrait" useFirstPageNumber="1" horizontalDpi="300" verticalDpi="300" r:id="rId1"/>
  <headerFooter alignWithMargins="0">
    <oddHeader>&amp;R&amp;8
&amp;P</oddHeader>
  </headerFooter>
  <rowBreaks count="27" manualBreakCount="27">
    <brk id="27" max="5" man="1"/>
    <brk id="43" max="5" man="1"/>
    <brk id="78" max="5" man="1"/>
    <brk id="108" max="5" man="1"/>
    <brk id="142" max="5" man="1"/>
    <brk id="169" max="5" man="1"/>
    <brk id="199" max="5" man="1"/>
    <brk id="244" max="5" man="1"/>
    <brk id="272" max="5" man="1"/>
    <brk id="294" max="5" man="1"/>
    <brk id="311" max="5" man="1"/>
    <brk id="337" max="5" man="1"/>
    <brk id="357" max="5" man="1"/>
    <brk id="403" max="5" man="1"/>
    <brk id="443" max="5" man="1"/>
    <brk id="459" max="5" man="1"/>
    <brk id="499" max="5" man="1"/>
    <brk id="514" max="5" man="1"/>
    <brk id="528" max="5" man="1"/>
    <brk id="546" max="5" man="1"/>
    <brk id="591" max="5" man="1"/>
    <brk id="622" max="5" man="1"/>
    <brk id="671" max="5" man="1"/>
    <brk id="734" max="5" man="1"/>
    <brk id="764" max="5" man="1"/>
    <brk id="794" max="5" man="1"/>
    <brk id="832" max="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73"/>
  <sheetViews>
    <sheetView showZeros="0" view="pageBreakPreview" zoomScaleNormal="100" zoomScaleSheetLayoutView="100" zoomScalePageLayoutView="80" workbookViewId="0">
      <selection activeCell="B28" sqref="B28"/>
    </sheetView>
  </sheetViews>
  <sheetFormatPr defaultColWidth="9.109375" defaultRowHeight="13.2"/>
  <cols>
    <col min="1" max="1" width="5.44140625" style="308" customWidth="1"/>
    <col min="2" max="2" width="80" style="308" customWidth="1"/>
    <col min="3" max="3" width="6.44140625" style="308" customWidth="1"/>
    <col min="4" max="4" width="8.5546875" style="467" customWidth="1"/>
    <col min="5" max="5" width="15.44140625" style="398" customWidth="1"/>
    <col min="6" max="6" width="15.44140625" style="467" customWidth="1"/>
    <col min="7" max="7" width="14.33203125" style="308" customWidth="1"/>
    <col min="8" max="8" width="11.44140625" style="308" customWidth="1"/>
    <col min="9" max="16384" width="9.109375" style="308"/>
  </cols>
  <sheetData>
    <row r="1" spans="1:6" s="349" customFormat="1">
      <c r="D1" s="482"/>
      <c r="E1" s="483"/>
      <c r="F1" s="482"/>
    </row>
    <row r="2" spans="1:6" s="484" customFormat="1" ht="15.75" customHeight="1">
      <c r="A2" s="963" t="s">
        <v>1802</v>
      </c>
      <c r="B2" s="963"/>
      <c r="C2" s="963"/>
      <c r="D2" s="963"/>
      <c r="E2" s="963"/>
      <c r="F2" s="963"/>
    </row>
    <row r="3" spans="1:6" s="485" customFormat="1" ht="16.5" customHeight="1">
      <c r="A3" s="964" t="s">
        <v>1803</v>
      </c>
      <c r="B3" s="964"/>
      <c r="C3" s="964"/>
      <c r="D3" s="964"/>
      <c r="E3" s="964"/>
      <c r="F3" s="964"/>
    </row>
    <row r="4" spans="1:6" s="349" customFormat="1">
      <c r="D4" s="482"/>
      <c r="E4" s="483"/>
      <c r="F4" s="482"/>
    </row>
    <row r="5" spans="1:6" s="349" customFormat="1">
      <c r="D5" s="483"/>
      <c r="E5" s="483"/>
      <c r="F5" s="483"/>
    </row>
    <row r="6" spans="1:6" s="311" customFormat="1" ht="12.75" customHeight="1">
      <c r="A6" s="965" t="s">
        <v>1288</v>
      </c>
      <c r="B6" s="965"/>
      <c r="C6" s="965"/>
      <c r="D6" s="965"/>
      <c r="E6" s="965"/>
      <c r="F6" s="965"/>
    </row>
    <row r="7" spans="1:6" s="369" customFormat="1" ht="44.25" customHeight="1">
      <c r="A7" s="959" t="s">
        <v>1804</v>
      </c>
      <c r="B7" s="959"/>
      <c r="C7" s="959"/>
      <c r="D7" s="959"/>
      <c r="E7" s="959"/>
      <c r="F7" s="959"/>
    </row>
    <row r="8" spans="1:6" s="349" customFormat="1">
      <c r="A8" s="369"/>
      <c r="B8" s="369"/>
      <c r="D8" s="483"/>
      <c r="E8" s="483"/>
      <c r="F8" s="483"/>
    </row>
    <row r="9" spans="1:6" s="349" customFormat="1">
      <c r="D9" s="483"/>
      <c r="E9" s="483"/>
      <c r="F9" s="483"/>
    </row>
    <row r="10" spans="1:6" s="349" customFormat="1">
      <c r="D10" s="483"/>
      <c r="E10" s="483"/>
      <c r="F10" s="483"/>
    </row>
    <row r="11" spans="1:6" s="349" customFormat="1">
      <c r="D11" s="483"/>
      <c r="E11" s="483"/>
      <c r="F11" s="483"/>
    </row>
    <row r="12" spans="1:6" s="311" customFormat="1" ht="12.75" customHeight="1">
      <c r="A12" s="965" t="s">
        <v>1290</v>
      </c>
      <c r="B12" s="965"/>
      <c r="C12" s="965"/>
      <c r="D12" s="965"/>
      <c r="E12" s="965"/>
      <c r="F12" s="965"/>
    </row>
    <row r="13" spans="1:6" s="369" customFormat="1" ht="55.5" customHeight="1">
      <c r="A13" s="959" t="s">
        <v>1805</v>
      </c>
      <c r="B13" s="959"/>
      <c r="C13" s="959"/>
      <c r="D13" s="959"/>
      <c r="E13" s="959"/>
      <c r="F13" s="959"/>
    </row>
    <row r="14" spans="1:6" s="349" customFormat="1">
      <c r="A14" s="369"/>
      <c r="B14" s="369"/>
      <c r="D14" s="483"/>
      <c r="E14" s="483"/>
      <c r="F14" s="483"/>
    </row>
    <row r="15" spans="1:6" s="349" customFormat="1">
      <c r="A15" s="369"/>
      <c r="B15" s="369"/>
      <c r="D15" s="483"/>
      <c r="E15" s="483"/>
      <c r="F15" s="483"/>
    </row>
    <row r="16" spans="1:6" s="349" customFormat="1">
      <c r="D16" s="483"/>
      <c r="E16" s="483"/>
      <c r="F16" s="483"/>
    </row>
    <row r="17" spans="1:6" s="349" customFormat="1">
      <c r="A17" s="369"/>
      <c r="B17" s="369"/>
      <c r="C17" s="369"/>
      <c r="D17" s="483"/>
      <c r="E17" s="483"/>
      <c r="F17" s="483"/>
    </row>
    <row r="18" spans="1:6" s="369" customFormat="1" ht="12.75" customHeight="1">
      <c r="A18" s="959" t="s">
        <v>1293</v>
      </c>
      <c r="B18" s="959"/>
      <c r="C18" s="959"/>
      <c r="D18" s="959"/>
      <c r="E18" s="959"/>
      <c r="F18" s="959"/>
    </row>
    <row r="19" spans="1:6" s="369" customFormat="1" ht="12.75" customHeight="1">
      <c r="A19" s="959" t="s">
        <v>1806</v>
      </c>
      <c r="B19" s="959"/>
      <c r="C19" s="959"/>
      <c r="D19" s="959"/>
      <c r="E19" s="959"/>
      <c r="F19" s="959"/>
    </row>
    <row r="20" spans="1:6" s="369" customFormat="1" ht="12.75" customHeight="1">
      <c r="A20" s="959" t="s">
        <v>2648</v>
      </c>
      <c r="B20" s="959"/>
      <c r="C20" s="959"/>
      <c r="D20" s="959"/>
      <c r="E20" s="959"/>
      <c r="F20" s="959"/>
    </row>
    <row r="21" spans="1:6" s="349" customFormat="1" ht="15.75" customHeight="1">
      <c r="A21" s="962" t="s">
        <v>2768</v>
      </c>
      <c r="B21" s="962"/>
      <c r="C21" s="962"/>
      <c r="D21" s="962"/>
      <c r="E21" s="962"/>
      <c r="F21" s="962"/>
    </row>
    <row r="22" spans="1:6" s="349" customFormat="1">
      <c r="D22" s="482"/>
      <c r="E22" s="483"/>
      <c r="F22" s="482"/>
    </row>
    <row r="23" spans="1:6" s="349" customFormat="1">
      <c r="A23" s="369"/>
      <c r="B23" s="369"/>
      <c r="D23" s="482"/>
      <c r="E23" s="483"/>
      <c r="F23" s="482"/>
    </row>
    <row r="24" spans="1:6" s="349" customFormat="1">
      <c r="A24" s="369"/>
      <c r="B24" s="369"/>
      <c r="D24" s="482"/>
      <c r="E24" s="483"/>
      <c r="F24" s="482"/>
    </row>
    <row r="25" spans="1:6" s="349" customFormat="1" ht="19.5" customHeight="1">
      <c r="A25" s="961" t="s">
        <v>1807</v>
      </c>
      <c r="B25" s="961"/>
      <c r="C25" s="961"/>
      <c r="D25" s="961"/>
      <c r="E25" s="961"/>
      <c r="F25" s="961"/>
    </row>
    <row r="26" spans="1:6" s="349" customFormat="1">
      <c r="A26" s="369"/>
      <c r="B26" s="369"/>
      <c r="D26" s="482"/>
      <c r="E26" s="483"/>
      <c r="F26" s="482"/>
    </row>
    <row r="27" spans="1:6" s="349" customFormat="1">
      <c r="D27" s="482"/>
      <c r="E27" s="483"/>
      <c r="F27" s="482"/>
    </row>
    <row r="28" spans="1:6" s="349" customFormat="1">
      <c r="D28" s="482"/>
      <c r="E28" s="483"/>
      <c r="F28" s="482"/>
    </row>
    <row r="29" spans="1:6" s="349" customFormat="1">
      <c r="D29" s="482"/>
      <c r="E29" s="483"/>
      <c r="F29" s="482"/>
    </row>
    <row r="30" spans="1:6" s="349" customFormat="1">
      <c r="D30" s="482"/>
      <c r="E30" s="483"/>
      <c r="F30" s="482"/>
    </row>
    <row r="31" spans="1:6" s="349" customFormat="1">
      <c r="D31" s="482"/>
      <c r="E31" s="483"/>
      <c r="F31" s="482"/>
    </row>
    <row r="32" spans="1:6" s="349" customFormat="1">
      <c r="D32" s="482"/>
      <c r="E32" s="483"/>
      <c r="F32" s="482"/>
    </row>
    <row r="33" spans="1:6" s="349" customFormat="1">
      <c r="D33" s="482"/>
      <c r="E33" s="483"/>
      <c r="F33" s="482"/>
    </row>
    <row r="34" spans="1:6" s="349" customFormat="1">
      <c r="D34" s="482"/>
      <c r="E34" s="483"/>
      <c r="F34" s="482"/>
    </row>
    <row r="35" spans="1:6" s="349" customFormat="1">
      <c r="A35" s="369"/>
      <c r="B35" s="369"/>
      <c r="D35" s="482"/>
      <c r="E35" s="483"/>
      <c r="F35" s="482"/>
    </row>
    <row r="36" spans="1:6" s="349" customFormat="1">
      <c r="D36" s="482"/>
      <c r="E36" s="483"/>
      <c r="F36" s="482"/>
    </row>
    <row r="37" spans="1:6" s="349" customFormat="1">
      <c r="D37" s="482"/>
      <c r="E37" s="483"/>
      <c r="F37" s="482"/>
    </row>
    <row r="38" spans="1:6" s="349" customFormat="1">
      <c r="D38" s="482"/>
      <c r="E38" s="483"/>
      <c r="F38" s="482"/>
    </row>
    <row r="39" spans="1:6" s="349" customFormat="1">
      <c r="D39" s="482"/>
      <c r="E39" s="483"/>
      <c r="F39" s="482"/>
    </row>
    <row r="40" spans="1:6" s="349" customFormat="1">
      <c r="D40" s="482"/>
      <c r="E40" s="483"/>
      <c r="F40" s="482"/>
    </row>
    <row r="41" spans="1:6" s="349" customFormat="1">
      <c r="D41" s="482"/>
      <c r="E41" s="483"/>
      <c r="F41" s="482"/>
    </row>
    <row r="42" spans="1:6" s="349" customFormat="1">
      <c r="D42" s="482"/>
      <c r="E42" s="483"/>
      <c r="F42" s="482"/>
    </row>
    <row r="43" spans="1:6" s="349" customFormat="1">
      <c r="D43" s="482"/>
      <c r="E43" s="483"/>
      <c r="F43" s="482"/>
    </row>
    <row r="44" spans="1:6" s="349" customFormat="1">
      <c r="D44" s="482"/>
      <c r="E44" s="483"/>
      <c r="F44" s="482"/>
    </row>
    <row r="45" spans="1:6" s="349" customFormat="1">
      <c r="D45" s="482"/>
      <c r="E45" s="483"/>
      <c r="F45" s="482"/>
    </row>
    <row r="46" spans="1:6" s="349" customFormat="1">
      <c r="D46" s="482"/>
      <c r="E46" s="483"/>
      <c r="F46" s="482"/>
    </row>
    <row r="47" spans="1:6" s="349" customFormat="1">
      <c r="D47" s="482"/>
      <c r="E47" s="483"/>
      <c r="F47" s="482"/>
    </row>
    <row r="48" spans="1:6" s="349" customFormat="1">
      <c r="A48" s="369"/>
      <c r="B48" s="369"/>
      <c r="D48" s="482"/>
      <c r="E48" s="483"/>
      <c r="F48" s="482"/>
    </row>
    <row r="49" spans="1:6" s="349" customFormat="1">
      <c r="D49" s="482"/>
      <c r="E49" s="483"/>
      <c r="F49" s="482"/>
    </row>
    <row r="50" spans="1:6" s="349" customFormat="1">
      <c r="D50" s="482"/>
      <c r="E50" s="483"/>
      <c r="F50" s="482"/>
    </row>
    <row r="51" spans="1:6" s="349" customFormat="1">
      <c r="D51" s="482"/>
      <c r="E51" s="483"/>
      <c r="F51" s="482"/>
    </row>
    <row r="52" spans="1:6" s="349" customFormat="1">
      <c r="D52" s="482"/>
      <c r="E52" s="483"/>
      <c r="F52" s="482"/>
    </row>
    <row r="53" spans="1:6" s="349" customFormat="1">
      <c r="D53" s="482"/>
      <c r="E53" s="483"/>
      <c r="F53" s="482"/>
    </row>
    <row r="54" spans="1:6" s="349" customFormat="1">
      <c r="A54" s="369"/>
      <c r="B54" s="369"/>
      <c r="D54" s="482"/>
      <c r="E54" s="483"/>
      <c r="F54" s="482"/>
    </row>
    <row r="55" spans="1:6" s="349" customFormat="1">
      <c r="D55" s="482"/>
      <c r="E55" s="483"/>
      <c r="F55" s="482"/>
    </row>
    <row r="56" spans="1:6" s="349" customFormat="1">
      <c r="D56" s="482"/>
      <c r="E56" s="483"/>
      <c r="F56" s="482"/>
    </row>
    <row r="57" spans="1:6" s="349" customFormat="1">
      <c r="D57" s="482"/>
      <c r="E57" s="483"/>
      <c r="F57" s="482"/>
    </row>
    <row r="58" spans="1:6" s="349" customFormat="1">
      <c r="D58" s="482"/>
      <c r="E58" s="483"/>
      <c r="F58" s="482"/>
    </row>
    <row r="59" spans="1:6" s="349" customFormat="1">
      <c r="D59" s="482"/>
      <c r="E59" s="483"/>
      <c r="F59" s="482"/>
    </row>
    <row r="60" spans="1:6" s="349" customFormat="1">
      <c r="D60" s="482"/>
      <c r="E60" s="483"/>
      <c r="F60" s="482"/>
    </row>
    <row r="61" spans="1:6" s="349" customFormat="1">
      <c r="D61" s="482"/>
      <c r="E61" s="483"/>
      <c r="F61" s="482"/>
    </row>
    <row r="62" spans="1:6" s="349" customFormat="1">
      <c r="D62" s="482"/>
      <c r="E62" s="483"/>
      <c r="F62" s="482"/>
    </row>
    <row r="63" spans="1:6" s="349" customFormat="1">
      <c r="D63" s="482"/>
      <c r="E63" s="483"/>
      <c r="F63" s="482"/>
    </row>
    <row r="64" spans="1:6" s="349" customFormat="1">
      <c r="D64" s="482"/>
      <c r="E64" s="483"/>
      <c r="F64" s="482"/>
    </row>
    <row r="65" spans="4:6" s="349" customFormat="1">
      <c r="D65" s="482"/>
      <c r="E65" s="483"/>
      <c r="F65" s="482"/>
    </row>
    <row r="66" spans="4:6" s="349" customFormat="1">
      <c r="D66" s="482"/>
      <c r="E66" s="483"/>
      <c r="F66" s="482"/>
    </row>
    <row r="67" spans="4:6" s="349" customFormat="1">
      <c r="D67" s="482"/>
      <c r="E67" s="483"/>
      <c r="F67" s="482"/>
    </row>
    <row r="68" spans="4:6" s="349" customFormat="1">
      <c r="D68" s="482"/>
      <c r="E68" s="483"/>
      <c r="F68" s="482"/>
    </row>
    <row r="69" spans="4:6" s="349" customFormat="1">
      <c r="D69" s="482"/>
      <c r="E69" s="483"/>
      <c r="F69" s="482"/>
    </row>
    <row r="70" spans="4:6" s="349" customFormat="1">
      <c r="D70" s="482"/>
      <c r="E70" s="483"/>
      <c r="F70" s="482"/>
    </row>
    <row r="71" spans="4:6" s="349" customFormat="1">
      <c r="D71" s="482"/>
      <c r="E71" s="483"/>
      <c r="F71" s="482"/>
    </row>
    <row r="72" spans="4:6" s="349" customFormat="1">
      <c r="D72" s="482"/>
      <c r="E72" s="483"/>
      <c r="F72" s="482"/>
    </row>
    <row r="73" spans="4:6" s="349" customFormat="1">
      <c r="D73" s="482"/>
      <c r="E73" s="483"/>
      <c r="F73" s="482"/>
    </row>
  </sheetData>
  <mergeCells count="11">
    <mergeCell ref="A2:F2"/>
    <mergeCell ref="A3:F3"/>
    <mergeCell ref="A6:F6"/>
    <mergeCell ref="A7:F7"/>
    <mergeCell ref="A12:F12"/>
    <mergeCell ref="A18:F18"/>
    <mergeCell ref="A19:F19"/>
    <mergeCell ref="A20:F20"/>
    <mergeCell ref="A25:F25"/>
    <mergeCell ref="A13:F13"/>
    <mergeCell ref="A21:F21"/>
  </mergeCells>
  <pageMargins left="0.70866141732283472" right="0.70866141732283472" top="0.74803149606299213" bottom="0.74803149606299213" header="0.31496062992125984" footer="0.31496062992125984"/>
  <pageSetup paperSize="9" scale="67" fitToHeight="0" orientation="portrait" useFirstPageNumber="1" r:id="rId1"/>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801"/>
  <sheetViews>
    <sheetView showZeros="0" view="pageBreakPreview" topLeftCell="A439" zoomScaleNormal="100" zoomScaleSheetLayoutView="100" zoomScalePageLayoutView="80" workbookViewId="0">
      <selection activeCell="B428" sqref="B428"/>
    </sheetView>
  </sheetViews>
  <sheetFormatPr defaultColWidth="9.109375" defaultRowHeight="13.2"/>
  <cols>
    <col min="1" max="1" width="5.44140625" style="308" customWidth="1"/>
    <col min="2" max="2" width="39.5546875" style="308" customWidth="1"/>
    <col min="3" max="3" width="6.44140625" style="308" customWidth="1"/>
    <col min="4" max="4" width="8.5546875" style="467" customWidth="1"/>
    <col min="5" max="5" width="15.44140625" style="398" customWidth="1"/>
    <col min="6" max="6" width="15.44140625" style="467" customWidth="1"/>
    <col min="7" max="7" width="14.33203125" style="308" customWidth="1"/>
    <col min="8" max="8" width="11.44140625" style="308" customWidth="1"/>
    <col min="9" max="16384" width="9.109375" style="308"/>
  </cols>
  <sheetData>
    <row r="1" spans="1:6" s="349" customFormat="1">
      <c r="A1" s="369"/>
      <c r="B1" s="369"/>
      <c r="D1" s="482"/>
      <c r="E1" s="483"/>
      <c r="F1" s="482"/>
    </row>
    <row r="2" spans="1:6" s="349" customFormat="1">
      <c r="A2" s="369"/>
      <c r="B2" s="369"/>
      <c r="D2" s="482"/>
      <c r="E2" s="483"/>
      <c r="F2" s="482"/>
    </row>
    <row r="3" spans="1:6" s="349" customFormat="1" ht="15" customHeight="1">
      <c r="A3" s="966" t="s">
        <v>2361</v>
      </c>
      <c r="B3" s="966"/>
      <c r="C3" s="966"/>
      <c r="D3" s="966"/>
      <c r="E3" s="966"/>
      <c r="F3" s="966"/>
    </row>
    <row r="4" spans="1:6" s="349" customFormat="1">
      <c r="A4" s="369"/>
      <c r="B4" s="369"/>
      <c r="D4" s="482"/>
      <c r="E4" s="483"/>
      <c r="F4" s="482"/>
    </row>
    <row r="5" spans="1:6" s="349" customFormat="1" ht="26.4">
      <c r="B5" s="369" t="s">
        <v>1808</v>
      </c>
      <c r="C5" s="369"/>
      <c r="D5" s="385"/>
      <c r="E5" s="369"/>
      <c r="F5" s="385"/>
    </row>
    <row r="6" spans="1:6" s="349" customFormat="1">
      <c r="D6" s="482"/>
      <c r="E6" s="483"/>
      <c r="F6" s="482"/>
    </row>
    <row r="7" spans="1:6" s="349" customFormat="1" ht="28.5" customHeight="1">
      <c r="A7" s="349" t="s">
        <v>0</v>
      </c>
      <c r="B7" s="959" t="s">
        <v>1809</v>
      </c>
      <c r="C7" s="959"/>
      <c r="D7" s="959"/>
      <c r="E7" s="959"/>
      <c r="F7" s="959"/>
    </row>
    <row r="8" spans="1:6" s="349" customFormat="1">
      <c r="B8" s="959"/>
      <c r="C8" s="959"/>
      <c r="D8" s="959"/>
      <c r="E8" s="959"/>
      <c r="F8" s="959"/>
    </row>
    <row r="9" spans="1:6" s="349" customFormat="1">
      <c r="A9" s="349" t="s">
        <v>4</v>
      </c>
      <c r="B9" s="959" t="s">
        <v>1810</v>
      </c>
      <c r="C9" s="959"/>
      <c r="D9" s="959"/>
      <c r="E9" s="959"/>
      <c r="F9" s="959"/>
    </row>
    <row r="10" spans="1:6" s="349" customFormat="1">
      <c r="B10" s="959" t="s">
        <v>1811</v>
      </c>
      <c r="C10" s="959"/>
      <c r="D10" s="959"/>
      <c r="E10" s="959"/>
      <c r="F10" s="959"/>
    </row>
    <row r="11" spans="1:6" s="349" customFormat="1">
      <c r="B11" s="959"/>
      <c r="C11" s="959"/>
      <c r="D11" s="959"/>
      <c r="E11" s="959"/>
      <c r="F11" s="959"/>
    </row>
    <row r="12" spans="1:6" s="349" customFormat="1" ht="15" customHeight="1">
      <c r="A12" s="349" t="s">
        <v>3</v>
      </c>
      <c r="B12" s="959" t="s">
        <v>2656</v>
      </c>
      <c r="C12" s="959"/>
      <c r="D12" s="959"/>
      <c r="E12" s="959"/>
      <c r="F12" s="959"/>
    </row>
    <row r="13" spans="1:6" s="349" customFormat="1">
      <c r="B13" s="959"/>
      <c r="C13" s="959"/>
      <c r="D13" s="959"/>
      <c r="E13" s="959"/>
      <c r="F13" s="959"/>
    </row>
    <row r="14" spans="1:6" s="349" customFormat="1">
      <c r="A14" s="349" t="s">
        <v>5</v>
      </c>
      <c r="B14" s="959" t="s">
        <v>1812</v>
      </c>
      <c r="C14" s="959"/>
      <c r="D14" s="959"/>
      <c r="E14" s="959"/>
      <c r="F14" s="959"/>
    </row>
    <row r="15" spans="1:6" s="349" customFormat="1">
      <c r="B15" s="959" t="s">
        <v>1813</v>
      </c>
      <c r="C15" s="959"/>
      <c r="D15" s="959"/>
      <c r="E15" s="959"/>
      <c r="F15" s="959"/>
    </row>
    <row r="16" spans="1:6" s="349" customFormat="1">
      <c r="B16" s="959"/>
      <c r="C16" s="959"/>
      <c r="D16" s="959"/>
      <c r="E16" s="959"/>
      <c r="F16" s="959"/>
    </row>
    <row r="17" spans="1:6" s="349" customFormat="1" ht="27" customHeight="1">
      <c r="A17" s="349" t="s">
        <v>49</v>
      </c>
      <c r="B17" s="959" t="s">
        <v>1814</v>
      </c>
      <c r="C17" s="959"/>
      <c r="D17" s="959"/>
      <c r="E17" s="959"/>
      <c r="F17" s="959"/>
    </row>
    <row r="18" spans="1:6" s="349" customFormat="1">
      <c r="B18" s="959"/>
      <c r="C18" s="959"/>
      <c r="D18" s="959"/>
      <c r="E18" s="959"/>
      <c r="F18" s="959"/>
    </row>
    <row r="19" spans="1:6" s="349" customFormat="1">
      <c r="A19" s="349" t="s">
        <v>58</v>
      </c>
      <c r="B19" s="959" t="s">
        <v>1815</v>
      </c>
      <c r="C19" s="959"/>
      <c r="D19" s="959"/>
      <c r="E19" s="959"/>
      <c r="F19" s="959"/>
    </row>
    <row r="20" spans="1:6" s="349" customFormat="1">
      <c r="B20" s="959"/>
      <c r="C20" s="959"/>
      <c r="D20" s="959"/>
      <c r="E20" s="959"/>
      <c r="F20" s="959"/>
    </row>
    <row r="21" spans="1:6" s="349" customFormat="1" ht="27" customHeight="1">
      <c r="A21" s="349" t="s">
        <v>141</v>
      </c>
      <c r="B21" s="959" t="s">
        <v>1816</v>
      </c>
      <c r="C21" s="959"/>
      <c r="D21" s="959"/>
      <c r="E21" s="959"/>
      <c r="F21" s="959"/>
    </row>
    <row r="22" spans="1:6" s="349" customFormat="1">
      <c r="B22" s="959" t="s">
        <v>1817</v>
      </c>
      <c r="C22" s="959"/>
      <c r="D22" s="959"/>
      <c r="E22" s="959"/>
      <c r="F22" s="959"/>
    </row>
    <row r="23" spans="1:6" s="349" customFormat="1">
      <c r="B23" s="959"/>
      <c r="C23" s="959"/>
      <c r="D23" s="959"/>
      <c r="E23" s="959"/>
      <c r="F23" s="959"/>
    </row>
    <row r="24" spans="1:6" s="349" customFormat="1">
      <c r="A24" s="349" t="s">
        <v>1191</v>
      </c>
      <c r="B24" s="959" t="s">
        <v>1818</v>
      </c>
      <c r="C24" s="959"/>
      <c r="D24" s="959"/>
      <c r="E24" s="959"/>
      <c r="F24" s="959"/>
    </row>
    <row r="25" spans="1:6" s="349" customFormat="1">
      <c r="B25" s="959"/>
      <c r="C25" s="959"/>
      <c r="D25" s="959"/>
      <c r="E25" s="959"/>
      <c r="F25" s="959"/>
    </row>
    <row r="26" spans="1:6" s="349" customFormat="1">
      <c r="A26" s="349" t="s">
        <v>180</v>
      </c>
      <c r="B26" s="959" t="s">
        <v>1819</v>
      </c>
      <c r="C26" s="959"/>
      <c r="D26" s="959"/>
      <c r="E26" s="959"/>
      <c r="F26" s="959"/>
    </row>
    <row r="27" spans="1:6" s="349" customFormat="1">
      <c r="B27" s="959"/>
      <c r="C27" s="959"/>
      <c r="D27" s="959"/>
      <c r="E27" s="959"/>
      <c r="F27" s="959"/>
    </row>
    <row r="28" spans="1:6" s="349" customFormat="1">
      <c r="B28" s="959" t="s">
        <v>1820</v>
      </c>
      <c r="C28" s="959"/>
      <c r="D28" s="959"/>
      <c r="E28" s="959"/>
      <c r="F28" s="959"/>
    </row>
    <row r="29" spans="1:6" s="349" customFormat="1">
      <c r="B29" s="959" t="s">
        <v>1821</v>
      </c>
      <c r="C29" s="959"/>
      <c r="D29" s="959"/>
      <c r="E29" s="959"/>
      <c r="F29" s="959"/>
    </row>
    <row r="30" spans="1:6" s="349" customFormat="1">
      <c r="B30" s="959" t="s">
        <v>1822</v>
      </c>
      <c r="C30" s="959"/>
      <c r="D30" s="959"/>
      <c r="E30" s="959"/>
      <c r="F30" s="959"/>
    </row>
    <row r="31" spans="1:6" s="349" customFormat="1">
      <c r="B31" s="959" t="s">
        <v>1823</v>
      </c>
      <c r="C31" s="959"/>
      <c r="D31" s="959"/>
      <c r="E31" s="959"/>
      <c r="F31" s="959"/>
    </row>
    <row r="32" spans="1:6" s="349" customFormat="1">
      <c r="B32" s="959" t="s">
        <v>1824</v>
      </c>
      <c r="C32" s="959"/>
      <c r="D32" s="959"/>
      <c r="E32" s="959"/>
      <c r="F32" s="959"/>
    </row>
    <row r="33" spans="2:6" s="349" customFormat="1">
      <c r="B33" s="959" t="s">
        <v>1825</v>
      </c>
      <c r="C33" s="959"/>
      <c r="D33" s="959"/>
      <c r="E33" s="959"/>
      <c r="F33" s="959"/>
    </row>
    <row r="34" spans="2:6" s="349" customFormat="1">
      <c r="B34" s="959" t="s">
        <v>1826</v>
      </c>
      <c r="C34" s="959"/>
      <c r="D34" s="959"/>
      <c r="E34" s="959"/>
      <c r="F34" s="959"/>
    </row>
    <row r="35" spans="2:6" s="349" customFormat="1">
      <c r="B35" s="959" t="s">
        <v>1827</v>
      </c>
      <c r="C35" s="959"/>
      <c r="D35" s="959"/>
      <c r="E35" s="959"/>
      <c r="F35" s="959"/>
    </row>
    <row r="36" spans="2:6" s="349" customFormat="1">
      <c r="B36" s="959" t="s">
        <v>1828</v>
      </c>
      <c r="C36" s="959"/>
      <c r="D36" s="959"/>
      <c r="E36" s="959"/>
      <c r="F36" s="959"/>
    </row>
    <row r="37" spans="2:6" s="349" customFormat="1">
      <c r="B37" s="959" t="s">
        <v>1829</v>
      </c>
      <c r="C37" s="959"/>
      <c r="D37" s="959"/>
      <c r="E37" s="959"/>
      <c r="F37" s="959"/>
    </row>
    <row r="38" spans="2:6" s="349" customFormat="1">
      <c r="B38" s="959" t="s">
        <v>1830</v>
      </c>
      <c r="C38" s="959"/>
      <c r="D38" s="959"/>
      <c r="E38" s="959"/>
      <c r="F38" s="959"/>
    </row>
    <row r="39" spans="2:6" s="349" customFormat="1">
      <c r="B39" s="959" t="s">
        <v>1831</v>
      </c>
      <c r="C39" s="959"/>
      <c r="D39" s="959"/>
      <c r="E39" s="959"/>
      <c r="F39" s="959"/>
    </row>
    <row r="40" spans="2:6" s="349" customFormat="1">
      <c r="B40" s="959" t="s">
        <v>1832</v>
      </c>
      <c r="C40" s="959"/>
      <c r="D40" s="959"/>
      <c r="E40" s="959"/>
      <c r="F40" s="959"/>
    </row>
    <row r="41" spans="2:6" s="349" customFormat="1">
      <c r="B41" s="959"/>
      <c r="C41" s="959"/>
      <c r="D41" s="959"/>
      <c r="E41" s="959"/>
      <c r="F41" s="959"/>
    </row>
    <row r="42" spans="2:6" s="349" customFormat="1">
      <c r="B42" s="959" t="s">
        <v>1833</v>
      </c>
      <c r="C42" s="959"/>
      <c r="D42" s="959"/>
      <c r="E42" s="959"/>
      <c r="F42" s="959"/>
    </row>
    <row r="43" spans="2:6" s="349" customFormat="1">
      <c r="B43" s="959" t="s">
        <v>1834</v>
      </c>
      <c r="C43" s="959"/>
      <c r="D43" s="959"/>
      <c r="E43" s="959"/>
      <c r="F43" s="959"/>
    </row>
    <row r="44" spans="2:6" s="349" customFormat="1">
      <c r="B44" s="959" t="s">
        <v>1823</v>
      </c>
      <c r="C44" s="959"/>
      <c r="D44" s="959"/>
      <c r="E44" s="959"/>
      <c r="F44" s="959"/>
    </row>
    <row r="45" spans="2:6" s="349" customFormat="1">
      <c r="B45" s="959" t="s">
        <v>1835</v>
      </c>
      <c r="C45" s="959"/>
      <c r="D45" s="959"/>
      <c r="E45" s="959"/>
      <c r="F45" s="959"/>
    </row>
    <row r="46" spans="2:6" s="349" customFormat="1">
      <c r="B46" s="959" t="s">
        <v>1836</v>
      </c>
      <c r="C46" s="959"/>
      <c r="D46" s="959"/>
      <c r="E46" s="959"/>
      <c r="F46" s="959"/>
    </row>
    <row r="47" spans="2:6" s="349" customFormat="1">
      <c r="B47" s="959" t="s">
        <v>1837</v>
      </c>
      <c r="C47" s="959"/>
      <c r="D47" s="959"/>
      <c r="E47" s="959"/>
      <c r="F47" s="959"/>
    </row>
    <row r="48" spans="2:6" s="349" customFormat="1">
      <c r="B48" s="959" t="s">
        <v>1838</v>
      </c>
      <c r="C48" s="959"/>
      <c r="D48" s="959"/>
      <c r="E48" s="959"/>
      <c r="F48" s="959"/>
    </row>
    <row r="49" spans="1:6" s="349" customFormat="1">
      <c r="B49" s="959" t="s">
        <v>1839</v>
      </c>
      <c r="C49" s="959"/>
      <c r="D49" s="959"/>
      <c r="E49" s="959"/>
      <c r="F49" s="959"/>
    </row>
    <row r="50" spans="1:6" s="349" customFormat="1">
      <c r="B50" s="959"/>
      <c r="C50" s="959"/>
      <c r="D50" s="959"/>
      <c r="E50" s="959"/>
      <c r="F50" s="959"/>
    </row>
    <row r="51" spans="1:6" s="349" customFormat="1">
      <c r="A51" s="349" t="s">
        <v>1198</v>
      </c>
      <c r="B51" s="959" t="s">
        <v>1840</v>
      </c>
      <c r="C51" s="959"/>
      <c r="D51" s="959"/>
      <c r="E51" s="959"/>
      <c r="F51" s="959"/>
    </row>
    <row r="52" spans="1:6" s="349" customFormat="1">
      <c r="B52" s="959"/>
      <c r="C52" s="959"/>
      <c r="D52" s="959"/>
      <c r="E52" s="959"/>
      <c r="F52" s="959"/>
    </row>
    <row r="53" spans="1:6" s="349" customFormat="1" ht="27" customHeight="1">
      <c r="A53" s="349" t="s">
        <v>231</v>
      </c>
      <c r="B53" s="959" t="s">
        <v>1841</v>
      </c>
      <c r="C53" s="959"/>
      <c r="D53" s="959"/>
      <c r="E53" s="959"/>
      <c r="F53" s="959"/>
    </row>
    <row r="54" spans="1:6" s="349" customFormat="1">
      <c r="B54" s="959" t="s">
        <v>1842</v>
      </c>
      <c r="C54" s="959"/>
      <c r="D54" s="959"/>
      <c r="E54" s="959"/>
      <c r="F54" s="959"/>
    </row>
    <row r="55" spans="1:6" s="349" customFormat="1">
      <c r="B55" s="959"/>
      <c r="C55" s="959"/>
      <c r="D55" s="959"/>
      <c r="E55" s="959"/>
      <c r="F55" s="959"/>
    </row>
    <row r="56" spans="1:6" s="349" customFormat="1">
      <c r="A56" s="349" t="s">
        <v>1202</v>
      </c>
      <c r="B56" s="959" t="s">
        <v>1843</v>
      </c>
      <c r="C56" s="959"/>
      <c r="D56" s="959"/>
      <c r="E56" s="959"/>
      <c r="F56" s="959"/>
    </row>
    <row r="57" spans="1:6" s="349" customFormat="1" ht="14.25" customHeight="1">
      <c r="B57" s="959" t="s">
        <v>1844</v>
      </c>
      <c r="C57" s="959"/>
      <c r="D57" s="959"/>
      <c r="E57" s="959"/>
      <c r="F57" s="959"/>
    </row>
    <row r="58" spans="1:6" s="349" customFormat="1" ht="29.25" customHeight="1">
      <c r="B58" s="959" t="s">
        <v>1845</v>
      </c>
      <c r="C58" s="959"/>
      <c r="D58" s="959"/>
      <c r="E58" s="959"/>
      <c r="F58" s="959"/>
    </row>
    <row r="59" spans="1:6" s="349" customFormat="1">
      <c r="B59" s="959"/>
      <c r="C59" s="959"/>
      <c r="D59" s="959"/>
      <c r="E59" s="959"/>
      <c r="F59" s="959"/>
    </row>
    <row r="60" spans="1:6" s="349" customFormat="1" ht="30" customHeight="1">
      <c r="A60" s="349" t="s">
        <v>1203</v>
      </c>
      <c r="B60" s="959" t="s">
        <v>1846</v>
      </c>
      <c r="C60" s="959"/>
      <c r="D60" s="959"/>
      <c r="E60" s="959"/>
      <c r="F60" s="959"/>
    </row>
    <row r="61" spans="1:6" s="349" customFormat="1" ht="13.5" customHeight="1">
      <c r="B61" s="959" t="s">
        <v>1847</v>
      </c>
      <c r="C61" s="959"/>
      <c r="D61" s="959"/>
      <c r="E61" s="959"/>
      <c r="F61" s="959"/>
    </row>
    <row r="62" spans="1:6" s="349" customFormat="1">
      <c r="B62" s="959"/>
      <c r="C62" s="959"/>
      <c r="D62" s="959"/>
      <c r="E62" s="959"/>
      <c r="F62" s="959"/>
    </row>
    <row r="63" spans="1:6" s="349" customFormat="1" ht="30" customHeight="1">
      <c r="A63" s="349" t="s">
        <v>1205</v>
      </c>
      <c r="B63" s="959" t="s">
        <v>1848</v>
      </c>
      <c r="C63" s="959"/>
      <c r="D63" s="959"/>
      <c r="E63" s="959"/>
      <c r="F63" s="959"/>
    </row>
    <row r="64" spans="1:6" s="349" customFormat="1">
      <c r="B64" s="959"/>
      <c r="C64" s="959"/>
      <c r="D64" s="959"/>
      <c r="E64" s="959"/>
      <c r="F64" s="959"/>
    </row>
    <row r="65" spans="1:6" s="349" customFormat="1">
      <c r="A65" s="349" t="s">
        <v>1206</v>
      </c>
      <c r="B65" s="959" t="s">
        <v>1849</v>
      </c>
      <c r="C65" s="959"/>
      <c r="D65" s="959"/>
      <c r="E65" s="959"/>
      <c r="F65" s="959"/>
    </row>
    <row r="66" spans="1:6" s="349" customFormat="1">
      <c r="B66" s="959"/>
      <c r="C66" s="959"/>
      <c r="D66" s="959"/>
      <c r="E66" s="959"/>
      <c r="F66" s="959"/>
    </row>
    <row r="67" spans="1:6" s="349" customFormat="1" ht="18.75" customHeight="1">
      <c r="A67" s="349" t="s">
        <v>1210</v>
      </c>
      <c r="B67" s="959" t="s">
        <v>1850</v>
      </c>
      <c r="C67" s="959"/>
      <c r="D67" s="959"/>
      <c r="E67" s="959"/>
      <c r="F67" s="959"/>
    </row>
    <row r="68" spans="1:6" s="349" customFormat="1">
      <c r="B68" s="959"/>
      <c r="C68" s="959"/>
      <c r="D68" s="959"/>
      <c r="E68" s="959"/>
      <c r="F68" s="959"/>
    </row>
    <row r="69" spans="1:6" s="349" customFormat="1" ht="27" customHeight="1">
      <c r="A69" s="349" t="s">
        <v>1211</v>
      </c>
      <c r="B69" s="959" t="s">
        <v>1851</v>
      </c>
      <c r="C69" s="959"/>
      <c r="D69" s="959"/>
      <c r="E69" s="959"/>
      <c r="F69" s="959"/>
    </row>
    <row r="70" spans="1:6" s="349" customFormat="1">
      <c r="B70" s="959"/>
      <c r="C70" s="959"/>
      <c r="D70" s="959"/>
      <c r="E70" s="959"/>
      <c r="F70" s="959"/>
    </row>
    <row r="71" spans="1:6" s="349" customFormat="1">
      <c r="A71" s="349" t="s">
        <v>1212</v>
      </c>
      <c r="B71" s="959" t="s">
        <v>1852</v>
      </c>
      <c r="C71" s="959"/>
      <c r="D71" s="959"/>
      <c r="E71" s="959"/>
      <c r="F71" s="959"/>
    </row>
    <row r="72" spans="1:6" s="349" customFormat="1" ht="17.25" customHeight="1">
      <c r="B72" s="959" t="s">
        <v>1853</v>
      </c>
      <c r="C72" s="959"/>
      <c r="D72" s="959"/>
      <c r="E72" s="959"/>
      <c r="F72" s="959"/>
    </row>
    <row r="73" spans="1:6" s="349" customFormat="1">
      <c r="B73" s="959"/>
      <c r="C73" s="959"/>
      <c r="D73" s="959"/>
      <c r="E73" s="959"/>
      <c r="F73" s="959"/>
    </row>
    <row r="74" spans="1:6" s="349" customFormat="1" ht="26.25" customHeight="1">
      <c r="A74" s="349" t="s">
        <v>1213</v>
      </c>
      <c r="B74" s="959" t="s">
        <v>1854</v>
      </c>
      <c r="C74" s="959"/>
      <c r="D74" s="959"/>
      <c r="E74" s="959"/>
      <c r="F74" s="959"/>
    </row>
    <row r="75" spans="1:6" s="349" customFormat="1">
      <c r="B75" s="959"/>
      <c r="C75" s="959"/>
      <c r="D75" s="959"/>
      <c r="E75" s="959"/>
      <c r="F75" s="959"/>
    </row>
    <row r="76" spans="1:6" s="349" customFormat="1">
      <c r="A76" s="349" t="s">
        <v>1214</v>
      </c>
      <c r="B76" s="959" t="s">
        <v>1855</v>
      </c>
      <c r="C76" s="959"/>
      <c r="D76" s="959"/>
      <c r="E76" s="959"/>
      <c r="F76" s="959"/>
    </row>
    <row r="77" spans="1:6" s="349" customFormat="1">
      <c r="B77" s="959"/>
      <c r="C77" s="959"/>
      <c r="D77" s="959"/>
      <c r="E77" s="959"/>
      <c r="F77" s="959"/>
    </row>
    <row r="78" spans="1:6" s="349" customFormat="1" ht="15" customHeight="1">
      <c r="A78" s="349" t="s">
        <v>1215</v>
      </c>
      <c r="B78" s="959" t="s">
        <v>1856</v>
      </c>
      <c r="C78" s="959"/>
      <c r="D78" s="959"/>
      <c r="E78" s="959"/>
      <c r="F78" s="959"/>
    </row>
    <row r="79" spans="1:6" s="349" customFormat="1" ht="27.75" customHeight="1">
      <c r="B79" s="959" t="s">
        <v>1857</v>
      </c>
      <c r="C79" s="959"/>
      <c r="D79" s="959"/>
      <c r="E79" s="959"/>
      <c r="F79" s="959"/>
    </row>
    <row r="80" spans="1:6" s="349" customFormat="1">
      <c r="B80" s="959"/>
      <c r="C80" s="959"/>
      <c r="D80" s="959"/>
      <c r="E80" s="959"/>
      <c r="F80" s="959"/>
    </row>
    <row r="81" spans="1:6" s="349" customFormat="1" ht="14.25" customHeight="1">
      <c r="A81" s="349" t="s">
        <v>1263</v>
      </c>
      <c r="B81" s="959" t="s">
        <v>1858</v>
      </c>
      <c r="C81" s="959"/>
      <c r="D81" s="959"/>
      <c r="E81" s="959"/>
      <c r="F81" s="959"/>
    </row>
    <row r="82" spans="1:6" s="349" customFormat="1">
      <c r="B82" s="959"/>
      <c r="C82" s="959"/>
      <c r="D82" s="959"/>
      <c r="E82" s="959"/>
      <c r="F82" s="959"/>
    </row>
    <row r="83" spans="1:6" s="349" customFormat="1">
      <c r="A83" s="349" t="s">
        <v>1264</v>
      </c>
      <c r="B83" s="959" t="s">
        <v>1859</v>
      </c>
      <c r="C83" s="959"/>
      <c r="D83" s="959"/>
      <c r="E83" s="959"/>
      <c r="F83" s="959"/>
    </row>
    <row r="84" spans="1:6" s="349" customFormat="1">
      <c r="B84" s="959"/>
      <c r="C84" s="959"/>
      <c r="D84" s="959"/>
      <c r="E84" s="959"/>
      <c r="F84" s="959"/>
    </row>
    <row r="85" spans="1:6" s="349" customFormat="1" ht="30.75" customHeight="1">
      <c r="A85" s="349" t="s">
        <v>1563</v>
      </c>
      <c r="B85" s="959" t="s">
        <v>1860</v>
      </c>
      <c r="C85" s="959"/>
      <c r="D85" s="959"/>
      <c r="E85" s="959"/>
      <c r="F85" s="959"/>
    </row>
    <row r="86" spans="1:6" s="349" customFormat="1">
      <c r="B86" s="959"/>
      <c r="C86" s="959"/>
      <c r="D86" s="959"/>
      <c r="E86" s="959"/>
      <c r="F86" s="959"/>
    </row>
    <row r="87" spans="1:6" s="349" customFormat="1">
      <c r="B87" s="959" t="s">
        <v>1861</v>
      </c>
      <c r="C87" s="959"/>
      <c r="D87" s="959"/>
      <c r="E87" s="959"/>
      <c r="F87" s="959"/>
    </row>
    <row r="88" spans="1:6" s="349" customFormat="1" ht="18.75" customHeight="1">
      <c r="B88" s="959" t="s">
        <v>1862</v>
      </c>
      <c r="C88" s="959"/>
      <c r="D88" s="959"/>
      <c r="E88" s="959"/>
      <c r="F88" s="959"/>
    </row>
    <row r="89" spans="1:6" s="349" customFormat="1" ht="27" customHeight="1">
      <c r="B89" s="959" t="s">
        <v>1863</v>
      </c>
      <c r="C89" s="959"/>
      <c r="D89" s="959"/>
      <c r="E89" s="959"/>
      <c r="F89" s="959"/>
    </row>
    <row r="90" spans="1:6" s="349" customFormat="1" ht="15.75" customHeight="1">
      <c r="B90" s="959" t="s">
        <v>1864</v>
      </c>
      <c r="C90" s="959"/>
      <c r="D90" s="959"/>
      <c r="E90" s="959"/>
      <c r="F90" s="959"/>
    </row>
    <row r="91" spans="1:6" s="349" customFormat="1" ht="15.75" customHeight="1">
      <c r="B91" s="959" t="s">
        <v>1865</v>
      </c>
      <c r="C91" s="959"/>
      <c r="D91" s="959"/>
      <c r="E91" s="959"/>
      <c r="F91" s="959"/>
    </row>
    <row r="92" spans="1:6" s="349" customFormat="1">
      <c r="B92" s="959"/>
      <c r="C92" s="959"/>
      <c r="D92" s="959"/>
      <c r="E92" s="959"/>
      <c r="F92" s="959"/>
    </row>
    <row r="93" spans="1:6" s="349" customFormat="1" ht="30" customHeight="1">
      <c r="B93" s="959" t="s">
        <v>1866</v>
      </c>
      <c r="C93" s="959"/>
      <c r="D93" s="959"/>
      <c r="E93" s="959"/>
      <c r="F93" s="959"/>
    </row>
    <row r="94" spans="1:6" s="349" customFormat="1">
      <c r="D94" s="482"/>
      <c r="E94" s="483"/>
      <c r="F94" s="482"/>
    </row>
    <row r="95" spans="1:6" s="349" customFormat="1">
      <c r="D95" s="482"/>
      <c r="E95" s="483"/>
      <c r="F95" s="482"/>
    </row>
    <row r="96" spans="1:6" s="486" customFormat="1">
      <c r="B96" s="486" t="s">
        <v>1867</v>
      </c>
      <c r="D96" s="487"/>
      <c r="E96" s="488"/>
      <c r="F96" s="487"/>
    </row>
    <row r="97" spans="1:6" s="349" customFormat="1">
      <c r="D97" s="482"/>
      <c r="E97" s="483"/>
      <c r="F97" s="482"/>
    </row>
    <row r="98" spans="1:6" s="490" customFormat="1" ht="17.25" customHeight="1">
      <c r="A98" s="489" t="s">
        <v>2243</v>
      </c>
      <c r="B98" s="489" t="s">
        <v>1868</v>
      </c>
      <c r="C98" s="489" t="s">
        <v>1869</v>
      </c>
      <c r="D98" s="489" t="s">
        <v>1321</v>
      </c>
      <c r="E98" s="489" t="s">
        <v>2241</v>
      </c>
      <c r="F98" s="489" t="s">
        <v>2242</v>
      </c>
    </row>
    <row r="99" spans="1:6" s="349" customFormat="1">
      <c r="A99" s="491"/>
      <c r="B99" s="491"/>
      <c r="C99" s="491"/>
      <c r="D99" s="492"/>
      <c r="E99" s="493"/>
      <c r="F99" s="492"/>
    </row>
    <row r="100" spans="1:6" s="349" customFormat="1">
      <c r="A100" s="491"/>
      <c r="B100" s="491"/>
      <c r="C100" s="491"/>
      <c r="D100" s="492"/>
      <c r="E100" s="493"/>
      <c r="F100" s="492"/>
    </row>
    <row r="101" spans="1:6" s="496" customFormat="1">
      <c r="A101" s="494" t="s">
        <v>871</v>
      </c>
      <c r="B101" s="494" t="s">
        <v>1870</v>
      </c>
      <c r="C101" s="494"/>
      <c r="D101" s="495"/>
      <c r="E101" s="495"/>
      <c r="F101" s="495"/>
    </row>
    <row r="102" spans="1:6" s="502" customFormat="1" ht="12">
      <c r="A102" s="497"/>
      <c r="B102" s="498"/>
      <c r="C102" s="499"/>
      <c r="D102" s="499"/>
      <c r="E102" s="500"/>
      <c r="F102" s="501"/>
    </row>
    <row r="103" spans="1:6" s="502" customFormat="1" ht="12">
      <c r="A103" s="497"/>
      <c r="B103" s="498"/>
      <c r="C103" s="499"/>
      <c r="D103" s="499"/>
      <c r="E103" s="500"/>
      <c r="F103" s="501"/>
    </row>
    <row r="104" spans="1:6" s="388" customFormat="1" ht="39.6">
      <c r="A104" s="503" t="s">
        <v>0</v>
      </c>
      <c r="B104" s="503" t="s">
        <v>1871</v>
      </c>
      <c r="C104" s="503" t="s">
        <v>1484</v>
      </c>
      <c r="D104" s="504">
        <v>70</v>
      </c>
      <c r="E104" s="504">
        <v>10</v>
      </c>
      <c r="F104" s="504">
        <f>SUM(D104*E104)</f>
        <v>700</v>
      </c>
    </row>
    <row r="105" spans="1:6" s="388" customFormat="1">
      <c r="A105" s="503"/>
      <c r="B105" s="503"/>
      <c r="C105" s="503"/>
      <c r="D105" s="504"/>
      <c r="E105" s="504"/>
      <c r="F105" s="504"/>
    </row>
    <row r="106" spans="1:6" s="388" customFormat="1" ht="39.6">
      <c r="A106" s="503" t="s">
        <v>4</v>
      </c>
      <c r="B106" s="503" t="s">
        <v>1872</v>
      </c>
      <c r="C106" s="503" t="s">
        <v>1873</v>
      </c>
      <c r="D106" s="504">
        <v>75</v>
      </c>
      <c r="E106" s="504">
        <v>20</v>
      </c>
      <c r="F106" s="504">
        <f>SUM(D106*E106)</f>
        <v>1500</v>
      </c>
    </row>
    <row r="107" spans="1:6" s="388" customFormat="1">
      <c r="A107" s="503"/>
      <c r="B107" s="503"/>
      <c r="C107" s="503"/>
      <c r="D107" s="504"/>
      <c r="E107" s="504"/>
      <c r="F107" s="504"/>
    </row>
    <row r="108" spans="1:6" s="388" customFormat="1" ht="26.4">
      <c r="A108" s="503" t="s">
        <v>3</v>
      </c>
      <c r="B108" s="503" t="s">
        <v>1874</v>
      </c>
      <c r="C108" s="503" t="s">
        <v>1873</v>
      </c>
      <c r="D108" s="504">
        <v>10</v>
      </c>
      <c r="E108" s="504">
        <v>50</v>
      </c>
      <c r="F108" s="504">
        <f>SUM(D108*E108)</f>
        <v>500</v>
      </c>
    </row>
    <row r="109" spans="1:6" s="388" customFormat="1">
      <c r="A109" s="503"/>
      <c r="B109" s="503"/>
      <c r="C109" s="503"/>
      <c r="D109" s="504"/>
      <c r="E109" s="504"/>
      <c r="F109" s="504"/>
    </row>
    <row r="110" spans="1:6" s="388" customFormat="1" ht="39.6">
      <c r="A110" s="503" t="s">
        <v>5</v>
      </c>
      <c r="B110" s="503" t="s">
        <v>1875</v>
      </c>
      <c r="C110" s="503" t="s">
        <v>1873</v>
      </c>
      <c r="D110" s="504">
        <v>65</v>
      </c>
      <c r="E110" s="504">
        <v>20</v>
      </c>
      <c r="F110" s="504">
        <f>SUM(D110*E110)</f>
        <v>1300</v>
      </c>
    </row>
    <row r="111" spans="1:6" s="388" customFormat="1">
      <c r="A111" s="503"/>
      <c r="B111" s="503"/>
      <c r="C111" s="503"/>
      <c r="D111" s="504"/>
      <c r="E111" s="504"/>
      <c r="F111" s="504"/>
    </row>
    <row r="112" spans="1:6" s="388" customFormat="1" ht="52.8">
      <c r="A112" s="503" t="s">
        <v>49</v>
      </c>
      <c r="B112" s="503" t="s">
        <v>1876</v>
      </c>
      <c r="C112" s="503" t="s">
        <v>291</v>
      </c>
      <c r="D112" s="504">
        <v>4</v>
      </c>
      <c r="E112" s="504">
        <v>50</v>
      </c>
      <c r="F112" s="504">
        <f>SUM(D112*E112)</f>
        <v>200</v>
      </c>
    </row>
    <row r="113" spans="1:6" s="388" customFormat="1">
      <c r="A113" s="503"/>
      <c r="B113" s="503"/>
      <c r="C113" s="503"/>
      <c r="D113" s="504"/>
      <c r="E113" s="504"/>
      <c r="F113" s="504"/>
    </row>
    <row r="114" spans="1:6" s="388" customFormat="1" ht="52.8">
      <c r="A114" s="503" t="s">
        <v>58</v>
      </c>
      <c r="B114" s="503" t="s">
        <v>1877</v>
      </c>
      <c r="C114" s="503" t="s">
        <v>291</v>
      </c>
      <c r="D114" s="504">
        <v>20</v>
      </c>
      <c r="E114" s="504">
        <v>50</v>
      </c>
      <c r="F114" s="504">
        <f>SUM(D114*E114)</f>
        <v>1000</v>
      </c>
    </row>
    <row r="115" spans="1:6" s="388" customFormat="1">
      <c r="A115" s="503"/>
      <c r="B115" s="503"/>
      <c r="C115" s="503"/>
      <c r="D115" s="504"/>
      <c r="E115" s="504"/>
      <c r="F115" s="504"/>
    </row>
    <row r="116" spans="1:6" s="388" customFormat="1">
      <c r="A116" s="503" t="s">
        <v>141</v>
      </c>
      <c r="B116" s="503" t="s">
        <v>1878</v>
      </c>
      <c r="C116" s="503"/>
      <c r="D116" s="504"/>
      <c r="E116" s="504"/>
      <c r="F116" s="504"/>
    </row>
    <row r="117" spans="1:6" s="388" customFormat="1">
      <c r="A117" s="503"/>
      <c r="B117" s="503" t="s">
        <v>1879</v>
      </c>
      <c r="C117" s="503" t="s">
        <v>1484</v>
      </c>
      <c r="D117" s="504">
        <v>150</v>
      </c>
      <c r="E117" s="504">
        <v>160</v>
      </c>
      <c r="F117" s="504">
        <f>SUM(D117*E117)</f>
        <v>24000</v>
      </c>
    </row>
    <row r="118" spans="1:6" s="388" customFormat="1">
      <c r="A118" s="503"/>
      <c r="B118" s="503"/>
      <c r="C118" s="503"/>
      <c r="D118" s="504"/>
      <c r="E118" s="504"/>
      <c r="F118" s="504"/>
    </row>
    <row r="119" spans="1:6" s="388" customFormat="1" ht="26.4">
      <c r="A119" s="503" t="s">
        <v>1191</v>
      </c>
      <c r="B119" s="503" t="s">
        <v>1880</v>
      </c>
      <c r="C119" s="503" t="s">
        <v>1484</v>
      </c>
      <c r="D119" s="504">
        <v>70</v>
      </c>
      <c r="E119" s="504">
        <v>14</v>
      </c>
      <c r="F119" s="504">
        <f>SUM(D119*E119)</f>
        <v>980</v>
      </c>
    </row>
    <row r="120" spans="1:6" s="388" customFormat="1">
      <c r="A120" s="503"/>
      <c r="B120" s="503"/>
      <c r="C120" s="503"/>
      <c r="D120" s="504"/>
      <c r="E120" s="504"/>
      <c r="F120" s="504"/>
    </row>
    <row r="121" spans="1:6" s="388" customFormat="1" ht="26.4">
      <c r="A121" s="503" t="s">
        <v>180</v>
      </c>
      <c r="B121" s="503" t="s">
        <v>1881</v>
      </c>
      <c r="C121" s="503" t="s">
        <v>1484</v>
      </c>
      <c r="D121" s="504">
        <v>10</v>
      </c>
      <c r="E121" s="504">
        <v>14</v>
      </c>
      <c r="F121" s="504">
        <f>SUM(D121*E121)</f>
        <v>140</v>
      </c>
    </row>
    <row r="122" spans="1:6" s="388" customFormat="1">
      <c r="A122" s="503"/>
      <c r="B122" s="503"/>
      <c r="C122" s="503"/>
      <c r="D122" s="504"/>
      <c r="E122" s="504"/>
      <c r="F122" s="504"/>
    </row>
    <row r="123" spans="1:6" s="388" customFormat="1">
      <c r="A123" s="503" t="s">
        <v>1198</v>
      </c>
      <c r="B123" s="503" t="s">
        <v>1882</v>
      </c>
      <c r="C123" s="503"/>
      <c r="D123" s="504"/>
      <c r="E123" s="504"/>
      <c r="F123" s="504"/>
    </row>
    <row r="124" spans="1:6" s="388" customFormat="1">
      <c r="A124" s="503"/>
      <c r="B124" s="503" t="s">
        <v>1883</v>
      </c>
      <c r="C124" s="503" t="s">
        <v>1484</v>
      </c>
      <c r="D124" s="504">
        <v>280</v>
      </c>
      <c r="E124" s="504">
        <v>8.5</v>
      </c>
      <c r="F124" s="504">
        <f>SUM(D124*E124)</f>
        <v>2380</v>
      </c>
    </row>
    <row r="125" spans="1:6" s="388" customFormat="1">
      <c r="A125" s="503"/>
      <c r="B125" s="503"/>
      <c r="C125" s="503"/>
      <c r="D125" s="504"/>
      <c r="E125" s="504"/>
      <c r="F125" s="504"/>
    </row>
    <row r="126" spans="1:6" s="388" customFormat="1" ht="39.6">
      <c r="A126" s="503" t="s">
        <v>231</v>
      </c>
      <c r="B126" s="503" t="s">
        <v>1884</v>
      </c>
      <c r="C126" s="503" t="s">
        <v>1484</v>
      </c>
      <c r="D126" s="504">
        <v>70</v>
      </c>
      <c r="E126" s="504">
        <v>1.5</v>
      </c>
      <c r="F126" s="504">
        <f>SUM(D126*E126)</f>
        <v>105</v>
      </c>
    </row>
    <row r="127" spans="1:6" s="388" customFormat="1">
      <c r="A127" s="503"/>
      <c r="B127" s="503"/>
      <c r="C127" s="503"/>
      <c r="D127" s="504"/>
      <c r="E127" s="504"/>
      <c r="F127" s="504"/>
    </row>
    <row r="128" spans="1:6" s="388" customFormat="1" ht="66">
      <c r="A128" s="503" t="s">
        <v>1202</v>
      </c>
      <c r="B128" s="503" t="s">
        <v>1885</v>
      </c>
      <c r="C128" s="503" t="s">
        <v>1484</v>
      </c>
      <c r="D128" s="504">
        <v>70</v>
      </c>
      <c r="E128" s="504">
        <v>3</v>
      </c>
      <c r="F128" s="504">
        <f>SUM(D128*E128)</f>
        <v>210</v>
      </c>
    </row>
    <row r="129" spans="1:7" s="388" customFormat="1">
      <c r="A129" s="503"/>
      <c r="B129" s="503"/>
      <c r="C129" s="503"/>
      <c r="D129" s="504"/>
      <c r="E129" s="504"/>
      <c r="F129" s="504">
        <f t="shared" ref="F129" si="0">SUM(D129*E129)</f>
        <v>0</v>
      </c>
    </row>
    <row r="130" spans="1:7" s="388" customFormat="1" ht="103.5" customHeight="1">
      <c r="A130" s="503" t="s">
        <v>1203</v>
      </c>
      <c r="B130" s="503" t="s">
        <v>1886</v>
      </c>
      <c r="C130" s="503" t="s">
        <v>291</v>
      </c>
      <c r="D130" s="504">
        <v>2</v>
      </c>
      <c r="E130" s="504">
        <v>1500</v>
      </c>
      <c r="F130" s="504">
        <f>D130*E130</f>
        <v>3000</v>
      </c>
    </row>
    <row r="131" spans="1:7" s="388" customFormat="1">
      <c r="A131" s="503"/>
      <c r="B131" s="503"/>
      <c r="C131" s="503"/>
      <c r="D131" s="504"/>
      <c r="E131" s="504"/>
      <c r="F131" s="504"/>
    </row>
    <row r="132" spans="1:7" s="388" customFormat="1" ht="52.8">
      <c r="A132" s="503" t="s">
        <v>1205</v>
      </c>
      <c r="B132" s="503" t="s">
        <v>1887</v>
      </c>
      <c r="C132" s="503" t="s">
        <v>1484</v>
      </c>
      <c r="D132" s="504">
        <v>70</v>
      </c>
      <c r="E132" s="504">
        <v>5</v>
      </c>
      <c r="F132" s="504">
        <f t="shared" ref="F132" si="1">SUM(D132*E132)</f>
        <v>350</v>
      </c>
    </row>
    <row r="133" spans="1:7" s="388" customFormat="1">
      <c r="A133" s="503"/>
      <c r="B133" s="503"/>
      <c r="C133" s="503"/>
      <c r="D133" s="504"/>
      <c r="E133" s="504"/>
      <c r="F133" s="504"/>
    </row>
    <row r="134" spans="1:7" s="388" customFormat="1" ht="39.6">
      <c r="A134" s="503" t="s">
        <v>1206</v>
      </c>
      <c r="B134" s="503" t="s">
        <v>1888</v>
      </c>
      <c r="C134" s="503" t="s">
        <v>291</v>
      </c>
      <c r="D134" s="504">
        <v>2</v>
      </c>
      <c r="E134" s="504">
        <v>250</v>
      </c>
      <c r="F134" s="504">
        <f>D134*E134</f>
        <v>500</v>
      </c>
    </row>
    <row r="135" spans="1:7" s="388" customFormat="1">
      <c r="A135" s="503"/>
      <c r="B135" s="503"/>
      <c r="C135" s="503"/>
      <c r="D135" s="504"/>
      <c r="E135" s="504"/>
      <c r="F135" s="504"/>
    </row>
    <row r="136" spans="1:7" s="507" customFormat="1">
      <c r="A136" s="505"/>
      <c r="B136" s="505" t="s">
        <v>1889</v>
      </c>
      <c r="C136" s="505"/>
      <c r="D136" s="506"/>
      <c r="E136" s="506"/>
      <c r="F136" s="506">
        <f>SUM(F104:F134)</f>
        <v>36865</v>
      </c>
      <c r="G136" s="388"/>
    </row>
    <row r="137" spans="1:7" s="388" customFormat="1">
      <c r="A137" s="503"/>
      <c r="B137" s="503"/>
      <c r="C137" s="503"/>
      <c r="D137" s="504"/>
      <c r="E137" s="504"/>
      <c r="F137" s="504"/>
    </row>
    <row r="138" spans="1:7" s="388" customFormat="1">
      <c r="A138" s="503"/>
      <c r="B138" s="503"/>
      <c r="C138" s="503"/>
      <c r="D138" s="504"/>
      <c r="E138" s="504"/>
      <c r="F138" s="504"/>
    </row>
    <row r="139" spans="1:7" s="496" customFormat="1">
      <c r="A139" s="494" t="s">
        <v>872</v>
      </c>
      <c r="B139" s="494" t="s">
        <v>1890</v>
      </c>
      <c r="C139" s="494"/>
      <c r="D139" s="495"/>
      <c r="E139" s="495"/>
      <c r="F139" s="495"/>
    </row>
    <row r="140" spans="1:7" s="388" customFormat="1">
      <c r="A140" s="503"/>
      <c r="B140" s="503"/>
      <c r="C140" s="503"/>
      <c r="D140" s="504"/>
      <c r="E140" s="504"/>
      <c r="F140" s="504"/>
    </row>
    <row r="141" spans="1:7" s="388" customFormat="1" ht="52.8">
      <c r="A141" s="503" t="s">
        <v>0</v>
      </c>
      <c r="B141" s="503" t="s">
        <v>1891</v>
      </c>
      <c r="C141" s="503"/>
      <c r="D141" s="504"/>
      <c r="E141" s="504"/>
      <c r="F141" s="504"/>
    </row>
    <row r="142" spans="1:7" s="388" customFormat="1" ht="26.4">
      <c r="A142" s="503"/>
      <c r="B142" s="503" t="s">
        <v>1892</v>
      </c>
      <c r="C142" s="503" t="s">
        <v>1893</v>
      </c>
      <c r="D142" s="504">
        <v>4</v>
      </c>
      <c r="E142" s="504">
        <v>220</v>
      </c>
      <c r="F142" s="504">
        <f t="shared" ref="F142:F154" si="2">SUM(D142*E142)</f>
        <v>880</v>
      </c>
    </row>
    <row r="143" spans="1:7" s="388" customFormat="1" ht="26.4">
      <c r="A143" s="503"/>
      <c r="B143" s="503" t="s">
        <v>1894</v>
      </c>
      <c r="C143" s="503" t="s">
        <v>1893</v>
      </c>
      <c r="D143" s="504">
        <v>1</v>
      </c>
      <c r="E143" s="504">
        <v>165</v>
      </c>
      <c r="F143" s="504">
        <f t="shared" si="2"/>
        <v>165</v>
      </c>
    </row>
    <row r="144" spans="1:7" s="388" customFormat="1">
      <c r="A144" s="503"/>
      <c r="B144" s="503" t="s">
        <v>1895</v>
      </c>
      <c r="C144" s="503" t="s">
        <v>1893</v>
      </c>
      <c r="D144" s="504">
        <v>12</v>
      </c>
      <c r="E144" s="504">
        <v>13</v>
      </c>
      <c r="F144" s="504">
        <f t="shared" si="2"/>
        <v>156</v>
      </c>
    </row>
    <row r="145" spans="1:7" s="388" customFormat="1">
      <c r="A145" s="503"/>
      <c r="B145" s="503" t="s">
        <v>1896</v>
      </c>
      <c r="C145" s="503" t="s">
        <v>1893</v>
      </c>
      <c r="D145" s="504">
        <v>3</v>
      </c>
      <c r="E145" s="504">
        <v>5.5</v>
      </c>
      <c r="F145" s="504">
        <f t="shared" si="2"/>
        <v>16.5</v>
      </c>
    </row>
    <row r="146" spans="1:7" s="388" customFormat="1" ht="26.4">
      <c r="A146" s="503"/>
      <c r="B146" s="503" t="s">
        <v>1897</v>
      </c>
      <c r="C146" s="503" t="s">
        <v>1893</v>
      </c>
      <c r="D146" s="504">
        <v>12</v>
      </c>
      <c r="E146" s="504">
        <v>70</v>
      </c>
      <c r="F146" s="504">
        <f t="shared" si="2"/>
        <v>840</v>
      </c>
    </row>
    <row r="147" spans="1:7" s="388" customFormat="1" ht="26.4">
      <c r="A147" s="503"/>
      <c r="B147" s="503" t="s">
        <v>1898</v>
      </c>
      <c r="C147" s="503" t="s">
        <v>1893</v>
      </c>
      <c r="D147" s="504">
        <v>3</v>
      </c>
      <c r="E147" s="504">
        <v>70</v>
      </c>
      <c r="F147" s="504">
        <f t="shared" si="2"/>
        <v>210</v>
      </c>
    </row>
    <row r="148" spans="1:7" s="388" customFormat="1" ht="26.4">
      <c r="A148" s="503"/>
      <c r="B148" s="503" t="s">
        <v>1899</v>
      </c>
      <c r="C148" s="503" t="s">
        <v>1893</v>
      </c>
      <c r="D148" s="504">
        <v>2</v>
      </c>
      <c r="E148" s="504">
        <v>48</v>
      </c>
      <c r="F148" s="504">
        <f t="shared" si="2"/>
        <v>96</v>
      </c>
    </row>
    <row r="149" spans="1:7" s="388" customFormat="1" ht="26.4">
      <c r="A149" s="503"/>
      <c r="B149" s="503" t="s">
        <v>1900</v>
      </c>
      <c r="C149" s="503" t="s">
        <v>1893</v>
      </c>
      <c r="D149" s="504">
        <v>2</v>
      </c>
      <c r="E149" s="504">
        <v>190</v>
      </c>
      <c r="F149" s="504">
        <f t="shared" si="2"/>
        <v>380</v>
      </c>
    </row>
    <row r="150" spans="1:7" s="388" customFormat="1" ht="26.4">
      <c r="A150" s="503"/>
      <c r="B150" s="503" t="s">
        <v>1901</v>
      </c>
      <c r="C150" s="503" t="s">
        <v>1893</v>
      </c>
      <c r="D150" s="504">
        <v>6</v>
      </c>
      <c r="E150" s="504">
        <v>5.5</v>
      </c>
      <c r="F150" s="504">
        <f t="shared" si="2"/>
        <v>33</v>
      </c>
    </row>
    <row r="151" spans="1:7" s="388" customFormat="1" ht="26.4">
      <c r="A151" s="503"/>
      <c r="B151" s="503" t="s">
        <v>1902</v>
      </c>
      <c r="C151" s="503" t="s">
        <v>1893</v>
      </c>
      <c r="D151" s="504">
        <v>1</v>
      </c>
      <c r="E151" s="504">
        <v>1400</v>
      </c>
      <c r="F151" s="504">
        <f t="shared" si="2"/>
        <v>1400</v>
      </c>
    </row>
    <row r="152" spans="1:7" s="388" customFormat="1" ht="26.4">
      <c r="A152" s="503"/>
      <c r="B152" s="503" t="s">
        <v>1903</v>
      </c>
      <c r="C152" s="503" t="s">
        <v>1893</v>
      </c>
      <c r="D152" s="504">
        <v>1</v>
      </c>
      <c r="E152" s="504">
        <v>75</v>
      </c>
      <c r="F152" s="504">
        <f t="shared" si="2"/>
        <v>75</v>
      </c>
    </row>
    <row r="153" spans="1:7" s="388" customFormat="1">
      <c r="A153" s="503"/>
      <c r="B153" s="503" t="s">
        <v>1904</v>
      </c>
      <c r="C153" s="503" t="s">
        <v>1893</v>
      </c>
      <c r="D153" s="504">
        <v>1</v>
      </c>
      <c r="E153" s="504">
        <v>3.5</v>
      </c>
      <c r="F153" s="504">
        <f t="shared" si="2"/>
        <v>3.5</v>
      </c>
      <c r="G153" s="482"/>
    </row>
    <row r="154" spans="1:7" s="388" customFormat="1" ht="26.4">
      <c r="A154" s="503"/>
      <c r="B154" s="503" t="s">
        <v>1905</v>
      </c>
      <c r="C154" s="503" t="s">
        <v>1906</v>
      </c>
      <c r="D154" s="504">
        <v>1</v>
      </c>
      <c r="E154" s="504">
        <v>180</v>
      </c>
      <c r="F154" s="504">
        <f t="shared" si="2"/>
        <v>180</v>
      </c>
      <c r="G154" s="508"/>
    </row>
    <row r="155" spans="1:7" s="388" customFormat="1">
      <c r="A155" s="503"/>
      <c r="B155" s="503" t="s">
        <v>1907</v>
      </c>
      <c r="C155" s="503" t="s">
        <v>1906</v>
      </c>
      <c r="D155" s="504">
        <v>1</v>
      </c>
      <c r="E155" s="504">
        <v>400</v>
      </c>
      <c r="F155" s="504">
        <f>SUM(D155*E155)</f>
        <v>400</v>
      </c>
      <c r="G155" s="482"/>
    </row>
    <row r="156" spans="1:7" s="388" customFormat="1">
      <c r="A156" s="503"/>
      <c r="B156" s="503"/>
      <c r="C156" s="503"/>
      <c r="D156" s="504"/>
      <c r="E156" s="504"/>
      <c r="F156" s="504"/>
    </row>
    <row r="157" spans="1:7" s="388" customFormat="1" ht="40.5" customHeight="1">
      <c r="A157" s="503" t="s">
        <v>4</v>
      </c>
      <c r="B157" s="503" t="s">
        <v>1908</v>
      </c>
      <c r="C157" s="503"/>
      <c r="D157" s="504"/>
      <c r="E157" s="504"/>
      <c r="F157" s="504"/>
    </row>
    <row r="158" spans="1:7" s="388" customFormat="1" ht="26.4">
      <c r="A158" s="503"/>
      <c r="B158" s="503" t="s">
        <v>1899</v>
      </c>
      <c r="C158" s="503" t="s">
        <v>291</v>
      </c>
      <c r="D158" s="504">
        <v>2</v>
      </c>
      <c r="E158" s="504">
        <v>50</v>
      </c>
      <c r="F158" s="504">
        <f>D158*E158</f>
        <v>100</v>
      </c>
    </row>
    <row r="159" spans="1:7" s="388" customFormat="1" ht="26.4">
      <c r="A159" s="503"/>
      <c r="B159" s="503" t="s">
        <v>1909</v>
      </c>
      <c r="C159" s="503" t="s">
        <v>291</v>
      </c>
      <c r="D159" s="504">
        <v>1</v>
      </c>
      <c r="E159" s="504">
        <v>235</v>
      </c>
      <c r="F159" s="504">
        <f t="shared" ref="F159:F202" si="3">D159*E159</f>
        <v>235</v>
      </c>
    </row>
    <row r="160" spans="1:7" s="388" customFormat="1">
      <c r="A160" s="503"/>
      <c r="B160" s="503" t="s">
        <v>1910</v>
      </c>
      <c r="C160" s="503" t="s">
        <v>291</v>
      </c>
      <c r="D160" s="504">
        <v>2</v>
      </c>
      <c r="E160" s="504">
        <v>5.5</v>
      </c>
      <c r="F160" s="504">
        <f t="shared" si="3"/>
        <v>11</v>
      </c>
    </row>
    <row r="161" spans="1:7" s="388" customFormat="1">
      <c r="A161" s="503"/>
      <c r="B161" s="503" t="s">
        <v>1911</v>
      </c>
      <c r="C161" s="503" t="s">
        <v>291</v>
      </c>
      <c r="D161" s="504">
        <v>1</v>
      </c>
      <c r="E161" s="504">
        <v>157</v>
      </c>
      <c r="F161" s="504">
        <f t="shared" si="3"/>
        <v>157</v>
      </c>
    </row>
    <row r="162" spans="1:7" s="388" customFormat="1">
      <c r="A162" s="503"/>
      <c r="B162" s="503" t="s">
        <v>1912</v>
      </c>
      <c r="C162" s="503" t="s">
        <v>291</v>
      </c>
      <c r="D162" s="504">
        <v>6</v>
      </c>
      <c r="E162" s="504">
        <v>45</v>
      </c>
      <c r="F162" s="504">
        <f t="shared" ref="F162" si="4">SUM(D162*E162)</f>
        <v>270</v>
      </c>
    </row>
    <row r="163" spans="1:7" s="388" customFormat="1">
      <c r="A163" s="503"/>
      <c r="B163" s="503" t="s">
        <v>1913</v>
      </c>
      <c r="C163" s="503" t="s">
        <v>291</v>
      </c>
      <c r="D163" s="504">
        <v>3</v>
      </c>
      <c r="E163" s="504">
        <v>38</v>
      </c>
      <c r="F163" s="504">
        <f>SUM(D163*E163)</f>
        <v>114</v>
      </c>
    </row>
    <row r="164" spans="1:7" s="388" customFormat="1" ht="26.4">
      <c r="A164" s="503"/>
      <c r="B164" s="503" t="s">
        <v>1914</v>
      </c>
      <c r="C164" s="503" t="s">
        <v>291</v>
      </c>
      <c r="D164" s="504">
        <v>1</v>
      </c>
      <c r="E164" s="504">
        <v>1100</v>
      </c>
      <c r="F164" s="504">
        <f t="shared" si="3"/>
        <v>1100</v>
      </c>
    </row>
    <row r="165" spans="1:7" s="388" customFormat="1" ht="26.4">
      <c r="A165" s="503"/>
      <c r="B165" s="503" t="s">
        <v>1915</v>
      </c>
      <c r="C165" s="503" t="s">
        <v>291</v>
      </c>
      <c r="D165" s="504">
        <v>1</v>
      </c>
      <c r="E165" s="504">
        <v>690</v>
      </c>
      <c r="F165" s="504">
        <f t="shared" si="3"/>
        <v>690</v>
      </c>
    </row>
    <row r="166" spans="1:7" s="388" customFormat="1">
      <c r="A166" s="503"/>
      <c r="B166" s="503" t="s">
        <v>1916</v>
      </c>
      <c r="C166" s="503" t="s">
        <v>291</v>
      </c>
      <c r="D166" s="504">
        <v>2</v>
      </c>
      <c r="E166" s="504">
        <v>70</v>
      </c>
      <c r="F166" s="504">
        <f t="shared" si="3"/>
        <v>140</v>
      </c>
    </row>
    <row r="167" spans="1:7" s="388" customFormat="1">
      <c r="A167" s="503"/>
      <c r="B167" s="503" t="s">
        <v>1917</v>
      </c>
      <c r="C167" s="503" t="s">
        <v>291</v>
      </c>
      <c r="D167" s="504">
        <v>2</v>
      </c>
      <c r="E167" s="504">
        <v>36</v>
      </c>
      <c r="F167" s="504">
        <f t="shared" si="3"/>
        <v>72</v>
      </c>
    </row>
    <row r="168" spans="1:7" s="388" customFormat="1">
      <c r="A168" s="503"/>
      <c r="B168" s="503" t="s">
        <v>1918</v>
      </c>
      <c r="C168" s="503" t="s">
        <v>291</v>
      </c>
      <c r="D168" s="504">
        <v>2</v>
      </c>
      <c r="E168" s="504">
        <v>2.5</v>
      </c>
      <c r="F168" s="504">
        <f t="shared" si="3"/>
        <v>5</v>
      </c>
    </row>
    <row r="169" spans="1:7" s="388" customFormat="1">
      <c r="A169" s="503"/>
      <c r="B169" s="503" t="s">
        <v>1919</v>
      </c>
      <c r="C169" s="503" t="s">
        <v>291</v>
      </c>
      <c r="D169" s="504">
        <v>2</v>
      </c>
      <c r="E169" s="504">
        <v>8.5</v>
      </c>
      <c r="F169" s="504">
        <f t="shared" si="3"/>
        <v>17</v>
      </c>
    </row>
    <row r="170" spans="1:7" s="388" customFormat="1">
      <c r="A170" s="503"/>
      <c r="B170" s="503" t="s">
        <v>1920</v>
      </c>
      <c r="C170" s="503" t="s">
        <v>291</v>
      </c>
      <c r="D170" s="504">
        <v>2</v>
      </c>
      <c r="E170" s="504">
        <v>13</v>
      </c>
      <c r="F170" s="504">
        <f t="shared" si="3"/>
        <v>26</v>
      </c>
    </row>
    <row r="171" spans="1:7" s="388" customFormat="1" ht="26.4">
      <c r="A171" s="503"/>
      <c r="B171" s="503" t="s">
        <v>1921</v>
      </c>
      <c r="C171" s="503" t="s">
        <v>291</v>
      </c>
      <c r="D171" s="504">
        <v>4</v>
      </c>
      <c r="E171" s="504">
        <v>220</v>
      </c>
      <c r="F171" s="504">
        <f t="shared" si="3"/>
        <v>880</v>
      </c>
    </row>
    <row r="172" spans="1:7" s="388" customFormat="1">
      <c r="A172" s="503"/>
      <c r="B172" s="503" t="s">
        <v>1922</v>
      </c>
      <c r="C172" s="503" t="s">
        <v>291</v>
      </c>
      <c r="D172" s="504">
        <v>6</v>
      </c>
      <c r="E172" s="504">
        <v>9</v>
      </c>
      <c r="F172" s="504">
        <f t="shared" si="3"/>
        <v>54</v>
      </c>
    </row>
    <row r="173" spans="1:7" s="388" customFormat="1">
      <c r="A173" s="503"/>
      <c r="B173" s="503" t="s">
        <v>1923</v>
      </c>
      <c r="C173" s="503" t="s">
        <v>291</v>
      </c>
      <c r="D173" s="504">
        <v>3</v>
      </c>
      <c r="E173" s="504">
        <v>9</v>
      </c>
      <c r="F173" s="504">
        <f t="shared" si="3"/>
        <v>27</v>
      </c>
    </row>
    <row r="174" spans="1:7" s="388" customFormat="1">
      <c r="A174" s="503"/>
      <c r="B174" s="503" t="s">
        <v>1924</v>
      </c>
      <c r="C174" s="503" t="s">
        <v>291</v>
      </c>
      <c r="D174" s="504">
        <v>3</v>
      </c>
      <c r="E174" s="504">
        <v>9</v>
      </c>
      <c r="F174" s="504">
        <f t="shared" si="3"/>
        <v>27</v>
      </c>
    </row>
    <row r="175" spans="1:7" s="388" customFormat="1" ht="26.4">
      <c r="A175" s="503"/>
      <c r="B175" s="503" t="s">
        <v>1925</v>
      </c>
      <c r="C175" s="503" t="s">
        <v>1893</v>
      </c>
      <c r="D175" s="504">
        <v>10</v>
      </c>
      <c r="E175" s="504">
        <v>90</v>
      </c>
      <c r="F175" s="504">
        <f t="shared" si="3"/>
        <v>900</v>
      </c>
    </row>
    <row r="176" spans="1:7" s="349" customFormat="1">
      <c r="A176" s="491"/>
      <c r="B176" s="491" t="s">
        <v>1926</v>
      </c>
      <c r="C176" s="491" t="s">
        <v>291</v>
      </c>
      <c r="D176" s="493">
        <v>6</v>
      </c>
      <c r="E176" s="504">
        <v>4.4000000000000004</v>
      </c>
      <c r="F176" s="493">
        <f>D176*E176</f>
        <v>26.400000000000002</v>
      </c>
      <c r="G176" s="508"/>
    </row>
    <row r="177" spans="1:7" s="349" customFormat="1">
      <c r="A177" s="491"/>
      <c r="B177" s="491" t="s">
        <v>1927</v>
      </c>
      <c r="C177" s="491" t="s">
        <v>291</v>
      </c>
      <c r="D177" s="493">
        <v>3</v>
      </c>
      <c r="E177" s="504">
        <v>4.4000000000000004</v>
      </c>
      <c r="F177" s="493">
        <f t="shared" si="3"/>
        <v>13.200000000000001</v>
      </c>
      <c r="G177" s="508"/>
    </row>
    <row r="178" spans="1:7" s="349" customFormat="1">
      <c r="A178" s="491"/>
      <c r="B178" s="491" t="s">
        <v>1928</v>
      </c>
      <c r="C178" s="491" t="s">
        <v>291</v>
      </c>
      <c r="D178" s="493">
        <v>12</v>
      </c>
      <c r="E178" s="504">
        <v>4.4000000000000004</v>
      </c>
      <c r="F178" s="493">
        <f t="shared" si="3"/>
        <v>52.800000000000004</v>
      </c>
      <c r="G178" s="508"/>
    </row>
    <row r="179" spans="1:7" s="349" customFormat="1">
      <c r="A179" s="491"/>
      <c r="B179" s="491" t="s">
        <v>1929</v>
      </c>
      <c r="C179" s="491" t="s">
        <v>291</v>
      </c>
      <c r="D179" s="493">
        <v>9</v>
      </c>
      <c r="E179" s="504">
        <v>4.4000000000000004</v>
      </c>
      <c r="F179" s="493">
        <f t="shared" si="3"/>
        <v>39.6</v>
      </c>
      <c r="G179" s="508"/>
    </row>
    <row r="180" spans="1:7" s="388" customFormat="1" ht="26.4">
      <c r="A180" s="503"/>
      <c r="B180" s="503" t="s">
        <v>1930</v>
      </c>
      <c r="C180" s="503" t="s">
        <v>1893</v>
      </c>
      <c r="D180" s="504">
        <v>2</v>
      </c>
      <c r="E180" s="504">
        <v>154</v>
      </c>
      <c r="F180" s="504">
        <f t="shared" ref="F180:F186" si="5">SUM(D180*E180)</f>
        <v>308</v>
      </c>
    </row>
    <row r="181" spans="1:7" s="388" customFormat="1" ht="26.4">
      <c r="A181" s="503"/>
      <c r="B181" s="503" t="s">
        <v>1931</v>
      </c>
      <c r="C181" s="503" t="s">
        <v>1893</v>
      </c>
      <c r="D181" s="504">
        <v>1</v>
      </c>
      <c r="E181" s="504">
        <v>135</v>
      </c>
      <c r="F181" s="504">
        <f t="shared" si="5"/>
        <v>135</v>
      </c>
    </row>
    <row r="182" spans="1:7" s="388" customFormat="1" ht="26.4">
      <c r="A182" s="503"/>
      <c r="B182" s="503" t="s">
        <v>1932</v>
      </c>
      <c r="C182" s="503" t="s">
        <v>1893</v>
      </c>
      <c r="D182" s="504">
        <v>8</v>
      </c>
      <c r="E182" s="504">
        <v>15</v>
      </c>
      <c r="F182" s="504">
        <f t="shared" si="5"/>
        <v>120</v>
      </c>
    </row>
    <row r="183" spans="1:7" s="388" customFormat="1" ht="26.4">
      <c r="A183" s="503"/>
      <c r="B183" s="503" t="s">
        <v>1933</v>
      </c>
      <c r="C183" s="503" t="s">
        <v>1893</v>
      </c>
      <c r="D183" s="504">
        <v>2</v>
      </c>
      <c r="E183" s="504">
        <v>22</v>
      </c>
      <c r="F183" s="504">
        <f t="shared" si="5"/>
        <v>44</v>
      </c>
    </row>
    <row r="184" spans="1:7" s="388" customFormat="1" ht="26.4">
      <c r="A184" s="503"/>
      <c r="B184" s="503" t="s">
        <v>1934</v>
      </c>
      <c r="C184" s="503" t="s">
        <v>1893</v>
      </c>
      <c r="D184" s="504">
        <v>3</v>
      </c>
      <c r="E184" s="504">
        <v>6</v>
      </c>
      <c r="F184" s="504">
        <f t="shared" si="5"/>
        <v>18</v>
      </c>
    </row>
    <row r="185" spans="1:7" s="388" customFormat="1" ht="105.75" customHeight="1">
      <c r="A185" s="503"/>
      <c r="B185" s="503" t="s">
        <v>1935</v>
      </c>
      <c r="C185" s="503" t="s">
        <v>291</v>
      </c>
      <c r="D185" s="504">
        <v>2</v>
      </c>
      <c r="E185" s="504">
        <v>770</v>
      </c>
      <c r="F185" s="504">
        <f t="shared" si="5"/>
        <v>1540</v>
      </c>
    </row>
    <row r="186" spans="1:7" s="388" customFormat="1" ht="52.8">
      <c r="A186" s="503"/>
      <c r="B186" s="503" t="s">
        <v>1936</v>
      </c>
      <c r="C186" s="503" t="s">
        <v>291</v>
      </c>
      <c r="D186" s="504">
        <v>2</v>
      </c>
      <c r="E186" s="504">
        <v>138</v>
      </c>
      <c r="F186" s="504">
        <f t="shared" si="5"/>
        <v>276</v>
      </c>
    </row>
    <row r="187" spans="1:7" s="388" customFormat="1" ht="26.4">
      <c r="A187" s="503"/>
      <c r="B187" s="503" t="s">
        <v>1937</v>
      </c>
      <c r="C187" s="503" t="s">
        <v>291</v>
      </c>
      <c r="D187" s="504">
        <v>1</v>
      </c>
      <c r="E187" s="504">
        <v>390</v>
      </c>
      <c r="F187" s="504">
        <f t="shared" ref="F187:F191" si="6">D187*E187</f>
        <v>390</v>
      </c>
    </row>
    <row r="188" spans="1:7" s="349" customFormat="1" ht="26.4">
      <c r="A188" s="491"/>
      <c r="B188" s="491" t="s">
        <v>1938</v>
      </c>
      <c r="C188" s="491" t="s">
        <v>1893</v>
      </c>
      <c r="D188" s="493">
        <v>1</v>
      </c>
      <c r="E188" s="504">
        <v>68</v>
      </c>
      <c r="F188" s="493">
        <f t="shared" si="6"/>
        <v>68</v>
      </c>
      <c r="G188" s="508"/>
    </row>
    <row r="189" spans="1:7" s="349" customFormat="1">
      <c r="A189" s="491"/>
      <c r="B189" s="491" t="s">
        <v>1939</v>
      </c>
      <c r="C189" s="491" t="s">
        <v>1893</v>
      </c>
      <c r="D189" s="493">
        <v>3</v>
      </c>
      <c r="E189" s="504">
        <v>3</v>
      </c>
      <c r="F189" s="493">
        <f t="shared" si="6"/>
        <v>9</v>
      </c>
      <c r="G189" s="508"/>
    </row>
    <row r="190" spans="1:7" s="388" customFormat="1" ht="26.4">
      <c r="A190" s="503"/>
      <c r="B190" s="503" t="s">
        <v>1940</v>
      </c>
      <c r="C190" s="503" t="s">
        <v>1893</v>
      </c>
      <c r="D190" s="504">
        <v>3</v>
      </c>
      <c r="E190" s="504">
        <v>50</v>
      </c>
      <c r="F190" s="504">
        <f t="shared" si="6"/>
        <v>150</v>
      </c>
    </row>
    <row r="191" spans="1:7" s="388" customFormat="1">
      <c r="A191" s="503"/>
      <c r="B191" s="503" t="s">
        <v>1941</v>
      </c>
      <c r="C191" s="503" t="s">
        <v>1893</v>
      </c>
      <c r="D191" s="504">
        <v>9</v>
      </c>
      <c r="E191" s="504">
        <v>1.8</v>
      </c>
      <c r="F191" s="504">
        <f t="shared" si="6"/>
        <v>16.2</v>
      </c>
    </row>
    <row r="192" spans="1:7" s="388" customFormat="1" ht="26.4">
      <c r="A192" s="503"/>
      <c r="B192" s="503" t="s">
        <v>1942</v>
      </c>
      <c r="C192" s="503" t="s">
        <v>291</v>
      </c>
      <c r="D192" s="504">
        <v>5</v>
      </c>
      <c r="E192" s="504">
        <v>50</v>
      </c>
      <c r="F192" s="504">
        <f t="shared" si="3"/>
        <v>250</v>
      </c>
    </row>
    <row r="193" spans="1:6" s="388" customFormat="1" ht="26.4">
      <c r="A193" s="503"/>
      <c r="B193" s="503" t="s">
        <v>1943</v>
      </c>
      <c r="C193" s="503" t="s">
        <v>1893</v>
      </c>
      <c r="D193" s="504">
        <v>5</v>
      </c>
      <c r="E193" s="504">
        <v>50</v>
      </c>
      <c r="F193" s="504">
        <f t="shared" si="3"/>
        <v>250</v>
      </c>
    </row>
    <row r="194" spans="1:6" s="388" customFormat="1" ht="26.4">
      <c r="A194" s="503"/>
      <c r="B194" s="503" t="s">
        <v>1944</v>
      </c>
      <c r="C194" s="503" t="s">
        <v>1893</v>
      </c>
      <c r="D194" s="504">
        <v>2</v>
      </c>
      <c r="E194" s="504">
        <v>50</v>
      </c>
      <c r="F194" s="504">
        <f t="shared" si="3"/>
        <v>100</v>
      </c>
    </row>
    <row r="195" spans="1:6" s="388" customFormat="1">
      <c r="A195" s="503"/>
      <c r="B195" s="503" t="s">
        <v>1945</v>
      </c>
      <c r="C195" s="503" t="s">
        <v>1893</v>
      </c>
      <c r="D195" s="504">
        <v>1</v>
      </c>
      <c r="E195" s="504">
        <v>96</v>
      </c>
      <c r="F195" s="504">
        <f t="shared" si="3"/>
        <v>96</v>
      </c>
    </row>
    <row r="196" spans="1:6" s="388" customFormat="1">
      <c r="A196" s="503"/>
      <c r="B196" s="503" t="s">
        <v>1946</v>
      </c>
      <c r="C196" s="503" t="s">
        <v>1893</v>
      </c>
      <c r="D196" s="504">
        <v>3</v>
      </c>
      <c r="E196" s="504">
        <v>82</v>
      </c>
      <c r="F196" s="504">
        <f t="shared" si="3"/>
        <v>246</v>
      </c>
    </row>
    <row r="197" spans="1:6" s="388" customFormat="1">
      <c r="A197" s="503"/>
      <c r="B197" s="503" t="s">
        <v>1947</v>
      </c>
      <c r="C197" s="503" t="s">
        <v>1893</v>
      </c>
      <c r="D197" s="504">
        <v>4</v>
      </c>
      <c r="E197" s="504">
        <v>82</v>
      </c>
      <c r="F197" s="504">
        <f t="shared" si="3"/>
        <v>328</v>
      </c>
    </row>
    <row r="198" spans="1:6" s="388" customFormat="1" ht="26.4">
      <c r="A198" s="503"/>
      <c r="B198" s="503" t="s">
        <v>1948</v>
      </c>
      <c r="C198" s="503" t="s">
        <v>291</v>
      </c>
      <c r="D198" s="504">
        <v>1</v>
      </c>
      <c r="E198" s="504">
        <v>14.5</v>
      </c>
      <c r="F198" s="504">
        <f t="shared" si="3"/>
        <v>14.5</v>
      </c>
    </row>
    <row r="199" spans="1:6" s="388" customFormat="1" ht="26.4">
      <c r="A199" s="503"/>
      <c r="B199" s="503" t="s">
        <v>1949</v>
      </c>
      <c r="C199" s="503" t="s">
        <v>1893</v>
      </c>
      <c r="D199" s="504">
        <v>9</v>
      </c>
      <c r="E199" s="504">
        <v>14.5</v>
      </c>
      <c r="F199" s="504">
        <f t="shared" si="3"/>
        <v>130.5</v>
      </c>
    </row>
    <row r="200" spans="1:6" s="388" customFormat="1" ht="26.4">
      <c r="A200" s="503"/>
      <c r="B200" s="503" t="s">
        <v>1950</v>
      </c>
      <c r="C200" s="503" t="s">
        <v>1893</v>
      </c>
      <c r="D200" s="504">
        <v>4</v>
      </c>
      <c r="E200" s="504">
        <v>14.5</v>
      </c>
      <c r="F200" s="504">
        <f t="shared" si="3"/>
        <v>58</v>
      </c>
    </row>
    <row r="201" spans="1:6" s="388" customFormat="1" ht="26.4">
      <c r="A201" s="503"/>
      <c r="B201" s="503" t="s">
        <v>1951</v>
      </c>
      <c r="C201" s="503" t="s">
        <v>1893</v>
      </c>
      <c r="D201" s="504">
        <v>1</v>
      </c>
      <c r="E201" s="504">
        <v>14.5</v>
      </c>
      <c r="F201" s="504">
        <f t="shared" si="3"/>
        <v>14.5</v>
      </c>
    </row>
    <row r="202" spans="1:6" s="388" customFormat="1" ht="26.4">
      <c r="A202" s="503"/>
      <c r="B202" s="503" t="s">
        <v>1952</v>
      </c>
      <c r="C202" s="503" t="s">
        <v>1893</v>
      </c>
      <c r="D202" s="504">
        <v>21</v>
      </c>
      <c r="E202" s="504">
        <v>14.5</v>
      </c>
      <c r="F202" s="504">
        <f t="shared" si="3"/>
        <v>304.5</v>
      </c>
    </row>
    <row r="203" spans="1:6" s="388" customFormat="1" ht="26.4">
      <c r="A203" s="503"/>
      <c r="B203" s="503" t="s">
        <v>1953</v>
      </c>
      <c r="C203" s="503" t="s">
        <v>1893</v>
      </c>
      <c r="D203" s="504">
        <v>2</v>
      </c>
      <c r="E203" s="504">
        <v>80</v>
      </c>
      <c r="F203" s="504">
        <f t="shared" ref="F203:F204" si="7">SUM(D203*E203)</f>
        <v>160</v>
      </c>
    </row>
    <row r="204" spans="1:6" s="388" customFormat="1">
      <c r="A204" s="503"/>
      <c r="B204" s="503" t="s">
        <v>1954</v>
      </c>
      <c r="C204" s="503" t="s">
        <v>291</v>
      </c>
      <c r="D204" s="504">
        <v>1</v>
      </c>
      <c r="E204" s="504">
        <v>30</v>
      </c>
      <c r="F204" s="504">
        <f t="shared" si="7"/>
        <v>30</v>
      </c>
    </row>
    <row r="205" spans="1:6" s="388" customFormat="1" ht="39.6">
      <c r="A205" s="503"/>
      <c r="B205" s="503" t="s">
        <v>1955</v>
      </c>
      <c r="C205" s="503" t="s">
        <v>291</v>
      </c>
      <c r="D205" s="504">
        <v>1</v>
      </c>
      <c r="E205" s="504">
        <v>1235</v>
      </c>
      <c r="F205" s="504">
        <f t="shared" ref="F205:F207" si="8">D205*E205</f>
        <v>1235</v>
      </c>
    </row>
    <row r="206" spans="1:6" s="388" customFormat="1" ht="26.4">
      <c r="A206" s="503"/>
      <c r="B206" s="503" t="s">
        <v>1956</v>
      </c>
      <c r="C206" s="503" t="s">
        <v>1957</v>
      </c>
      <c r="D206" s="504">
        <v>1</v>
      </c>
      <c r="E206" s="504">
        <v>38</v>
      </c>
      <c r="F206" s="504">
        <f t="shared" si="8"/>
        <v>38</v>
      </c>
    </row>
    <row r="207" spans="1:6" s="388" customFormat="1" ht="26.4">
      <c r="A207" s="503"/>
      <c r="B207" s="503" t="s">
        <v>1958</v>
      </c>
      <c r="C207" s="503" t="s">
        <v>1957</v>
      </c>
      <c r="D207" s="504">
        <v>1</v>
      </c>
      <c r="E207" s="504">
        <v>19</v>
      </c>
      <c r="F207" s="504">
        <f t="shared" si="8"/>
        <v>19</v>
      </c>
    </row>
    <row r="208" spans="1:6" s="388" customFormat="1" ht="26.4">
      <c r="A208" s="503"/>
      <c r="B208" s="503" t="s">
        <v>1959</v>
      </c>
      <c r="C208" s="503" t="s">
        <v>1957</v>
      </c>
      <c r="D208" s="504">
        <v>1</v>
      </c>
      <c r="E208" s="504">
        <v>55</v>
      </c>
      <c r="F208" s="504">
        <f>D208*E208</f>
        <v>55</v>
      </c>
    </row>
    <row r="209" spans="1:9" s="388" customFormat="1">
      <c r="A209" s="503"/>
      <c r="B209" s="503" t="s">
        <v>1960</v>
      </c>
      <c r="C209" s="503" t="s">
        <v>1957</v>
      </c>
      <c r="D209" s="504">
        <v>1</v>
      </c>
      <c r="E209" s="504">
        <v>42</v>
      </c>
      <c r="F209" s="504">
        <f>D209*E209</f>
        <v>42</v>
      </c>
    </row>
    <row r="210" spans="1:9" s="388" customFormat="1">
      <c r="A210" s="503"/>
      <c r="B210" s="503" t="s">
        <v>1904</v>
      </c>
      <c r="C210" s="503" t="s">
        <v>291</v>
      </c>
      <c r="D210" s="504">
        <v>1</v>
      </c>
      <c r="E210" s="504">
        <v>3.8</v>
      </c>
      <c r="F210" s="504">
        <f t="shared" ref="F210" si="9">D210*E210</f>
        <v>3.8</v>
      </c>
    </row>
    <row r="211" spans="1:9" s="388" customFormat="1" ht="26.4">
      <c r="A211" s="503"/>
      <c r="B211" s="503" t="s">
        <v>1961</v>
      </c>
      <c r="C211" s="503" t="s">
        <v>1906</v>
      </c>
      <c r="D211" s="504">
        <v>1</v>
      </c>
      <c r="E211" s="504">
        <v>120</v>
      </c>
      <c r="F211" s="504">
        <f>D211*E211</f>
        <v>120</v>
      </c>
      <c r="G211" s="509"/>
    </row>
    <row r="212" spans="1:9" s="388" customFormat="1" ht="26.4">
      <c r="A212" s="503"/>
      <c r="B212" s="503" t="s">
        <v>1962</v>
      </c>
      <c r="C212" s="503" t="s">
        <v>1906</v>
      </c>
      <c r="D212" s="504">
        <v>1</v>
      </c>
      <c r="E212" s="504">
        <v>180</v>
      </c>
      <c r="F212" s="504">
        <f t="shared" ref="F212:F213" si="10">D212*E212</f>
        <v>180</v>
      </c>
      <c r="G212" s="510"/>
    </row>
    <row r="213" spans="1:9" s="388" customFormat="1">
      <c r="A213" s="503"/>
      <c r="B213" s="503" t="s">
        <v>1907</v>
      </c>
      <c r="C213" s="503" t="s">
        <v>1906</v>
      </c>
      <c r="D213" s="504">
        <v>1</v>
      </c>
      <c r="E213" s="504">
        <v>360</v>
      </c>
      <c r="F213" s="504">
        <f t="shared" si="10"/>
        <v>360</v>
      </c>
      <c r="G213" s="510"/>
    </row>
    <row r="214" spans="1:9" s="388" customFormat="1">
      <c r="A214" s="503"/>
      <c r="B214" s="503"/>
      <c r="C214" s="503"/>
      <c r="D214" s="504"/>
      <c r="E214" s="504"/>
      <c r="F214" s="504"/>
    </row>
    <row r="215" spans="1:9" s="388" customFormat="1" ht="81.75" customHeight="1">
      <c r="A215" s="503" t="s">
        <v>3</v>
      </c>
      <c r="B215" s="503" t="s">
        <v>1963</v>
      </c>
      <c r="C215" s="503"/>
      <c r="D215" s="504"/>
      <c r="E215" s="504"/>
      <c r="F215" s="504"/>
    </row>
    <row r="216" spans="1:9" s="388" customFormat="1">
      <c r="A216" s="503"/>
      <c r="B216" s="503" t="s">
        <v>1964</v>
      </c>
      <c r="C216" s="503" t="s">
        <v>1893</v>
      </c>
      <c r="D216" s="504">
        <v>1</v>
      </c>
      <c r="E216" s="504">
        <v>500</v>
      </c>
      <c r="F216" s="504">
        <f t="shared" ref="F216:F241" si="11">D216*E216</f>
        <v>500</v>
      </c>
    </row>
    <row r="217" spans="1:9" s="388" customFormat="1" ht="26.4">
      <c r="A217" s="503"/>
      <c r="B217" s="503" t="s">
        <v>1938</v>
      </c>
      <c r="C217" s="503" t="s">
        <v>1893</v>
      </c>
      <c r="D217" s="504">
        <v>1</v>
      </c>
      <c r="E217" s="504">
        <v>68</v>
      </c>
      <c r="F217" s="504">
        <f t="shared" si="11"/>
        <v>68</v>
      </c>
    </row>
    <row r="218" spans="1:9" s="349" customFormat="1" ht="26.4">
      <c r="A218" s="491"/>
      <c r="B218" s="491" t="s">
        <v>1965</v>
      </c>
      <c r="C218" s="491" t="s">
        <v>1893</v>
      </c>
      <c r="D218" s="493">
        <v>3</v>
      </c>
      <c r="E218" s="504">
        <v>4.5</v>
      </c>
      <c r="F218" s="493">
        <f t="shared" si="11"/>
        <v>13.5</v>
      </c>
    </row>
    <row r="219" spans="1:9" s="349" customFormat="1" ht="26.4">
      <c r="A219" s="491"/>
      <c r="B219" s="491" t="s">
        <v>1940</v>
      </c>
      <c r="C219" s="491" t="s">
        <v>1893</v>
      </c>
      <c r="D219" s="493">
        <v>2</v>
      </c>
      <c r="E219" s="504">
        <v>50</v>
      </c>
      <c r="F219" s="493">
        <f t="shared" si="11"/>
        <v>100</v>
      </c>
    </row>
    <row r="220" spans="1:9" s="349" customFormat="1">
      <c r="A220" s="491"/>
      <c r="B220" s="491" t="s">
        <v>1941</v>
      </c>
      <c r="C220" s="491" t="s">
        <v>1893</v>
      </c>
      <c r="D220" s="493">
        <v>6</v>
      </c>
      <c r="E220" s="504">
        <v>2</v>
      </c>
      <c r="F220" s="493">
        <f t="shared" si="11"/>
        <v>12</v>
      </c>
    </row>
    <row r="221" spans="1:9" s="388" customFormat="1" ht="26.4">
      <c r="A221" s="503"/>
      <c r="B221" s="503" t="s">
        <v>1942</v>
      </c>
      <c r="C221" s="503" t="s">
        <v>291</v>
      </c>
      <c r="D221" s="504">
        <v>3</v>
      </c>
      <c r="E221" s="504">
        <v>50</v>
      </c>
      <c r="F221" s="504">
        <f t="shared" si="11"/>
        <v>150</v>
      </c>
      <c r="I221" s="349"/>
    </row>
    <row r="222" spans="1:9" s="388" customFormat="1" ht="26.4">
      <c r="A222" s="503"/>
      <c r="B222" s="503" t="s">
        <v>1943</v>
      </c>
      <c r="C222" s="503" t="s">
        <v>1893</v>
      </c>
      <c r="D222" s="504">
        <v>8</v>
      </c>
      <c r="E222" s="504">
        <v>50</v>
      </c>
      <c r="F222" s="504">
        <f t="shared" si="11"/>
        <v>400</v>
      </c>
      <c r="I222" s="349"/>
    </row>
    <row r="223" spans="1:9" s="388" customFormat="1">
      <c r="A223" s="503"/>
      <c r="B223" s="503" t="s">
        <v>1946</v>
      </c>
      <c r="C223" s="503" t="s">
        <v>1893</v>
      </c>
      <c r="D223" s="504">
        <v>2</v>
      </c>
      <c r="E223" s="504">
        <v>82</v>
      </c>
      <c r="F223" s="504">
        <f t="shared" si="11"/>
        <v>164</v>
      </c>
      <c r="I223" s="349"/>
    </row>
    <row r="224" spans="1:9" s="388" customFormat="1">
      <c r="A224" s="503"/>
      <c r="B224" s="503" t="s">
        <v>1947</v>
      </c>
      <c r="C224" s="503" t="s">
        <v>1893</v>
      </c>
      <c r="D224" s="504">
        <v>8</v>
      </c>
      <c r="E224" s="504">
        <v>82</v>
      </c>
      <c r="F224" s="504">
        <f t="shared" si="11"/>
        <v>656</v>
      </c>
      <c r="I224" s="349"/>
    </row>
    <row r="225" spans="1:7" s="349" customFormat="1" ht="26.4">
      <c r="A225" s="491"/>
      <c r="B225" s="491" t="s">
        <v>1949</v>
      </c>
      <c r="C225" s="491" t="s">
        <v>1893</v>
      </c>
      <c r="D225" s="493">
        <v>15</v>
      </c>
      <c r="E225" s="504">
        <v>14.5</v>
      </c>
      <c r="F225" s="493">
        <f t="shared" si="11"/>
        <v>217.5</v>
      </c>
    </row>
    <row r="226" spans="1:7" s="349" customFormat="1" ht="26.4">
      <c r="A226" s="491"/>
      <c r="B226" s="491" t="s">
        <v>1950</v>
      </c>
      <c r="C226" s="491" t="s">
        <v>1893</v>
      </c>
      <c r="D226" s="493">
        <v>7</v>
      </c>
      <c r="E226" s="504">
        <v>14.5</v>
      </c>
      <c r="F226" s="493">
        <f t="shared" si="11"/>
        <v>101.5</v>
      </c>
    </row>
    <row r="227" spans="1:7" s="349" customFormat="1" ht="26.4">
      <c r="A227" s="491"/>
      <c r="B227" s="491" t="s">
        <v>1952</v>
      </c>
      <c r="C227" s="491" t="s">
        <v>1893</v>
      </c>
      <c r="D227" s="493">
        <v>20</v>
      </c>
      <c r="E227" s="504">
        <v>14.5</v>
      </c>
      <c r="F227" s="493">
        <f t="shared" si="11"/>
        <v>290</v>
      </c>
    </row>
    <row r="228" spans="1:7" s="349" customFormat="1" ht="26.4">
      <c r="A228" s="491"/>
      <c r="B228" s="491" t="s">
        <v>1951</v>
      </c>
      <c r="C228" s="491" t="s">
        <v>1893</v>
      </c>
      <c r="D228" s="493">
        <v>4</v>
      </c>
      <c r="E228" s="504">
        <v>14.5</v>
      </c>
      <c r="F228" s="493">
        <f t="shared" si="11"/>
        <v>58</v>
      </c>
    </row>
    <row r="229" spans="1:7" s="349" customFormat="1" ht="26.4">
      <c r="A229" s="491"/>
      <c r="B229" s="491" t="s">
        <v>1966</v>
      </c>
      <c r="C229" s="491" t="s">
        <v>1893</v>
      </c>
      <c r="D229" s="493">
        <v>2</v>
      </c>
      <c r="E229" s="504">
        <v>15.5</v>
      </c>
      <c r="F229" s="493">
        <f t="shared" si="11"/>
        <v>31</v>
      </c>
    </row>
    <row r="230" spans="1:7" s="349" customFormat="1" ht="26.4">
      <c r="A230" s="491"/>
      <c r="B230" s="491" t="s">
        <v>1967</v>
      </c>
      <c r="C230" s="491" t="s">
        <v>291</v>
      </c>
      <c r="D230" s="493">
        <v>1</v>
      </c>
      <c r="E230" s="504">
        <v>115</v>
      </c>
      <c r="F230" s="493">
        <f t="shared" si="11"/>
        <v>115</v>
      </c>
      <c r="G230" s="508"/>
    </row>
    <row r="231" spans="1:7" s="349" customFormat="1" ht="26.4">
      <c r="A231" s="491"/>
      <c r="B231" s="491" t="s">
        <v>1968</v>
      </c>
      <c r="C231" s="491" t="s">
        <v>291</v>
      </c>
      <c r="D231" s="493">
        <v>5</v>
      </c>
      <c r="E231" s="504">
        <v>50</v>
      </c>
      <c r="F231" s="493">
        <f t="shared" si="11"/>
        <v>250</v>
      </c>
      <c r="G231" s="508"/>
    </row>
    <row r="232" spans="1:7" s="349" customFormat="1">
      <c r="A232" s="491"/>
      <c r="B232" s="491" t="s">
        <v>1969</v>
      </c>
      <c r="C232" s="491" t="s">
        <v>291</v>
      </c>
      <c r="D232" s="493">
        <v>1</v>
      </c>
      <c r="E232" s="504">
        <v>52</v>
      </c>
      <c r="F232" s="493">
        <f t="shared" si="11"/>
        <v>52</v>
      </c>
      <c r="G232" s="508"/>
    </row>
    <row r="233" spans="1:7" s="349" customFormat="1">
      <c r="A233" s="491"/>
      <c r="B233" s="491" t="s">
        <v>1970</v>
      </c>
      <c r="C233" s="491" t="s">
        <v>291</v>
      </c>
      <c r="D233" s="493">
        <v>4</v>
      </c>
      <c r="E233" s="504">
        <v>48</v>
      </c>
      <c r="F233" s="493">
        <f t="shared" si="11"/>
        <v>192</v>
      </c>
      <c r="G233" s="508"/>
    </row>
    <row r="234" spans="1:7" s="349" customFormat="1">
      <c r="A234" s="491"/>
      <c r="B234" s="491" t="s">
        <v>1971</v>
      </c>
      <c r="C234" s="491" t="s">
        <v>291</v>
      </c>
      <c r="D234" s="493">
        <v>2</v>
      </c>
      <c r="E234" s="504">
        <v>15</v>
      </c>
      <c r="F234" s="493">
        <f t="shared" si="11"/>
        <v>30</v>
      </c>
      <c r="G234" s="508"/>
    </row>
    <row r="235" spans="1:7" s="349" customFormat="1" ht="26.4">
      <c r="A235" s="491"/>
      <c r="B235" s="491" t="s">
        <v>1972</v>
      </c>
      <c r="C235" s="491" t="s">
        <v>291</v>
      </c>
      <c r="D235" s="493">
        <v>10</v>
      </c>
      <c r="E235" s="504">
        <v>14.5</v>
      </c>
      <c r="F235" s="493">
        <f t="shared" si="11"/>
        <v>145</v>
      </c>
      <c r="G235" s="508"/>
    </row>
    <row r="236" spans="1:7" s="349" customFormat="1" ht="26.4">
      <c r="A236" s="491"/>
      <c r="B236" s="491" t="s">
        <v>1973</v>
      </c>
      <c r="C236" s="491" t="s">
        <v>291</v>
      </c>
      <c r="D236" s="493">
        <v>10</v>
      </c>
      <c r="E236" s="504">
        <v>8.5</v>
      </c>
      <c r="F236" s="493">
        <f t="shared" si="11"/>
        <v>85</v>
      </c>
      <c r="G236" s="508"/>
    </row>
    <row r="237" spans="1:7" s="349" customFormat="1">
      <c r="A237" s="491"/>
      <c r="B237" s="491" t="s">
        <v>1974</v>
      </c>
      <c r="C237" s="491" t="s">
        <v>291</v>
      </c>
      <c r="D237" s="493">
        <v>2</v>
      </c>
      <c r="E237" s="504">
        <v>40</v>
      </c>
      <c r="F237" s="493">
        <f t="shared" si="11"/>
        <v>80</v>
      </c>
      <c r="G237" s="508"/>
    </row>
    <row r="238" spans="1:7" s="349" customFormat="1" ht="26.4">
      <c r="A238" s="491"/>
      <c r="B238" s="491" t="s">
        <v>1975</v>
      </c>
      <c r="C238" s="491" t="s">
        <v>1893</v>
      </c>
      <c r="D238" s="493">
        <v>2</v>
      </c>
      <c r="E238" s="504">
        <v>52</v>
      </c>
      <c r="F238" s="493">
        <f t="shared" ref="F238" si="12">SUM(D238*E238)</f>
        <v>104</v>
      </c>
      <c r="G238" s="508"/>
    </row>
    <row r="239" spans="1:7" s="349" customFormat="1" ht="26.4">
      <c r="A239" s="491"/>
      <c r="B239" s="491" t="s">
        <v>1976</v>
      </c>
      <c r="C239" s="491" t="s">
        <v>1893</v>
      </c>
      <c r="D239" s="493">
        <v>1</v>
      </c>
      <c r="E239" s="504">
        <v>460</v>
      </c>
      <c r="F239" s="493">
        <f t="shared" si="11"/>
        <v>460</v>
      </c>
    </row>
    <row r="240" spans="1:7" s="349" customFormat="1">
      <c r="A240" s="491"/>
      <c r="B240" s="491" t="s">
        <v>1904</v>
      </c>
      <c r="C240" s="491" t="s">
        <v>1893</v>
      </c>
      <c r="D240" s="493">
        <v>1</v>
      </c>
      <c r="E240" s="504">
        <v>3.6</v>
      </c>
      <c r="F240" s="493">
        <f t="shared" si="11"/>
        <v>3.6</v>
      </c>
      <c r="G240" s="482"/>
    </row>
    <row r="241" spans="1:7" s="349" customFormat="1">
      <c r="A241" s="491"/>
      <c r="B241" s="491" t="s">
        <v>1907</v>
      </c>
      <c r="C241" s="491" t="s">
        <v>1906</v>
      </c>
      <c r="D241" s="493">
        <v>1</v>
      </c>
      <c r="E241" s="504">
        <v>360</v>
      </c>
      <c r="F241" s="493">
        <f t="shared" si="11"/>
        <v>360</v>
      </c>
      <c r="G241" s="508"/>
    </row>
    <row r="242" spans="1:7" s="349" customFormat="1">
      <c r="A242" s="491"/>
      <c r="B242" s="491"/>
      <c r="C242" s="491"/>
      <c r="D242" s="493"/>
      <c r="E242" s="504"/>
      <c r="F242" s="493"/>
      <c r="G242" s="508"/>
    </row>
    <row r="243" spans="1:7" s="388" customFormat="1" ht="40.5" customHeight="1">
      <c r="A243" s="503" t="s">
        <v>5</v>
      </c>
      <c r="B243" s="503" t="s">
        <v>1977</v>
      </c>
      <c r="C243" s="503"/>
      <c r="D243" s="504"/>
      <c r="E243" s="504"/>
      <c r="F243" s="504"/>
    </row>
    <row r="244" spans="1:7" s="388" customFormat="1" ht="26.4">
      <c r="A244" s="503"/>
      <c r="B244" s="503" t="s">
        <v>1899</v>
      </c>
      <c r="C244" s="503" t="s">
        <v>291</v>
      </c>
      <c r="D244" s="504">
        <v>2</v>
      </c>
      <c r="E244" s="504">
        <v>50</v>
      </c>
      <c r="F244" s="504">
        <f>D244*E244</f>
        <v>100</v>
      </c>
    </row>
    <row r="245" spans="1:7" s="388" customFormat="1" ht="26.4">
      <c r="A245" s="503"/>
      <c r="B245" s="503" t="s">
        <v>1909</v>
      </c>
      <c r="C245" s="503" t="s">
        <v>291</v>
      </c>
      <c r="D245" s="504">
        <v>1</v>
      </c>
      <c r="E245" s="504">
        <v>230</v>
      </c>
      <c r="F245" s="504">
        <f t="shared" ref="F245:F247" si="13">D245*E245</f>
        <v>230</v>
      </c>
    </row>
    <row r="246" spans="1:7" s="388" customFormat="1">
      <c r="A246" s="503"/>
      <c r="B246" s="503" t="s">
        <v>1910</v>
      </c>
      <c r="C246" s="503" t="s">
        <v>291</v>
      </c>
      <c r="D246" s="504">
        <v>2</v>
      </c>
      <c r="E246" s="504">
        <v>505</v>
      </c>
      <c r="F246" s="504">
        <f t="shared" si="13"/>
        <v>1010</v>
      </c>
    </row>
    <row r="247" spans="1:7" s="388" customFormat="1">
      <c r="A247" s="503"/>
      <c r="B247" s="503" t="s">
        <v>1911</v>
      </c>
      <c r="C247" s="503" t="s">
        <v>291</v>
      </c>
      <c r="D247" s="504">
        <v>1</v>
      </c>
      <c r="E247" s="504">
        <v>148</v>
      </c>
      <c r="F247" s="504">
        <f t="shared" si="13"/>
        <v>148</v>
      </c>
    </row>
    <row r="248" spans="1:7" s="388" customFormat="1">
      <c r="A248" s="503"/>
      <c r="B248" s="503" t="s">
        <v>1978</v>
      </c>
      <c r="C248" s="503" t="s">
        <v>291</v>
      </c>
      <c r="D248" s="504">
        <v>3</v>
      </c>
      <c r="E248" s="504">
        <v>36</v>
      </c>
      <c r="F248" s="504">
        <f t="shared" ref="F248" si="14">SUM(D248*E248)</f>
        <v>108</v>
      </c>
    </row>
    <row r="249" spans="1:7" s="388" customFormat="1" ht="26.4">
      <c r="A249" s="503"/>
      <c r="B249" s="503" t="s">
        <v>1979</v>
      </c>
      <c r="C249" s="503" t="s">
        <v>291</v>
      </c>
      <c r="D249" s="504">
        <v>1</v>
      </c>
      <c r="E249" s="504">
        <v>920</v>
      </c>
      <c r="F249" s="504">
        <f t="shared" ref="F249:F260" si="15">D249*E249</f>
        <v>920</v>
      </c>
    </row>
    <row r="250" spans="1:7" s="388" customFormat="1">
      <c r="A250" s="503"/>
      <c r="B250" s="503" t="s">
        <v>1916</v>
      </c>
      <c r="C250" s="503" t="s">
        <v>291</v>
      </c>
      <c r="D250" s="504">
        <v>2</v>
      </c>
      <c r="E250" s="504">
        <v>72</v>
      </c>
      <c r="F250" s="504">
        <f t="shared" si="15"/>
        <v>144</v>
      </c>
    </row>
    <row r="251" spans="1:7" s="388" customFormat="1">
      <c r="A251" s="503"/>
      <c r="B251" s="503" t="s">
        <v>1917</v>
      </c>
      <c r="C251" s="503" t="s">
        <v>291</v>
      </c>
      <c r="D251" s="504">
        <v>2</v>
      </c>
      <c r="E251" s="504">
        <v>30</v>
      </c>
      <c r="F251" s="504">
        <f t="shared" si="15"/>
        <v>60</v>
      </c>
    </row>
    <row r="252" spans="1:7" s="388" customFormat="1">
      <c r="A252" s="503"/>
      <c r="B252" s="503" t="s">
        <v>1918</v>
      </c>
      <c r="C252" s="503" t="s">
        <v>291</v>
      </c>
      <c r="D252" s="504">
        <v>2</v>
      </c>
      <c r="E252" s="504">
        <v>4.2</v>
      </c>
      <c r="F252" s="504">
        <f t="shared" si="15"/>
        <v>8.4</v>
      </c>
    </row>
    <row r="253" spans="1:7" s="388" customFormat="1">
      <c r="A253" s="503"/>
      <c r="B253" s="503" t="s">
        <v>1919</v>
      </c>
      <c r="C253" s="503" t="s">
        <v>291</v>
      </c>
      <c r="D253" s="504">
        <v>2</v>
      </c>
      <c r="E253" s="504">
        <v>8.5</v>
      </c>
      <c r="F253" s="504">
        <f t="shared" si="15"/>
        <v>17</v>
      </c>
    </row>
    <row r="254" spans="1:7" s="388" customFormat="1">
      <c r="A254" s="503"/>
      <c r="B254" s="503" t="s">
        <v>1920</v>
      </c>
      <c r="C254" s="503" t="s">
        <v>291</v>
      </c>
      <c r="D254" s="504">
        <v>2</v>
      </c>
      <c r="E254" s="504">
        <v>11</v>
      </c>
      <c r="F254" s="504">
        <f t="shared" si="15"/>
        <v>22</v>
      </c>
    </row>
    <row r="255" spans="1:7" s="388" customFormat="1" ht="26.4">
      <c r="A255" s="503"/>
      <c r="B255" s="503" t="s">
        <v>1921</v>
      </c>
      <c r="C255" s="503" t="s">
        <v>291</v>
      </c>
      <c r="D255" s="504">
        <v>2</v>
      </c>
      <c r="E255" s="504">
        <v>220</v>
      </c>
      <c r="F255" s="504">
        <f t="shared" si="15"/>
        <v>440</v>
      </c>
    </row>
    <row r="256" spans="1:7" s="388" customFormat="1">
      <c r="A256" s="503"/>
      <c r="B256" s="503" t="s">
        <v>1922</v>
      </c>
      <c r="C256" s="503" t="s">
        <v>291</v>
      </c>
      <c r="D256" s="504">
        <v>3</v>
      </c>
      <c r="E256" s="504">
        <v>9</v>
      </c>
      <c r="F256" s="504">
        <f t="shared" si="15"/>
        <v>27</v>
      </c>
    </row>
    <row r="257" spans="1:6" s="388" customFormat="1">
      <c r="A257" s="503"/>
      <c r="B257" s="503" t="s">
        <v>1980</v>
      </c>
      <c r="C257" s="503" t="s">
        <v>291</v>
      </c>
      <c r="D257" s="504">
        <v>3</v>
      </c>
      <c r="E257" s="504">
        <v>4.5</v>
      </c>
      <c r="F257" s="504">
        <f t="shared" si="15"/>
        <v>13.5</v>
      </c>
    </row>
    <row r="258" spans="1:6" s="388" customFormat="1" ht="26.4">
      <c r="A258" s="503"/>
      <c r="B258" s="503" t="s">
        <v>1925</v>
      </c>
      <c r="C258" s="503" t="s">
        <v>1893</v>
      </c>
      <c r="D258" s="504">
        <v>3</v>
      </c>
      <c r="E258" s="504">
        <v>90</v>
      </c>
      <c r="F258" s="504">
        <f t="shared" si="15"/>
        <v>270</v>
      </c>
    </row>
    <row r="259" spans="1:6" s="388" customFormat="1">
      <c r="A259" s="503"/>
      <c r="B259" s="503" t="s">
        <v>1927</v>
      </c>
      <c r="C259" s="503" t="s">
        <v>291</v>
      </c>
      <c r="D259" s="504">
        <v>6</v>
      </c>
      <c r="E259" s="504">
        <v>4.5</v>
      </c>
      <c r="F259" s="504">
        <f t="shared" si="15"/>
        <v>27</v>
      </c>
    </row>
    <row r="260" spans="1:6" s="388" customFormat="1">
      <c r="A260" s="503"/>
      <c r="B260" s="503" t="s">
        <v>1928</v>
      </c>
      <c r="C260" s="503" t="s">
        <v>291</v>
      </c>
      <c r="D260" s="504">
        <v>3</v>
      </c>
      <c r="E260" s="504">
        <v>4.5</v>
      </c>
      <c r="F260" s="504">
        <f t="shared" si="15"/>
        <v>13.5</v>
      </c>
    </row>
    <row r="261" spans="1:6" s="388" customFormat="1" ht="26.4">
      <c r="A261" s="503"/>
      <c r="B261" s="503" t="s">
        <v>1981</v>
      </c>
      <c r="C261" s="503" t="s">
        <v>1893</v>
      </c>
      <c r="D261" s="504">
        <v>2</v>
      </c>
      <c r="E261" s="504">
        <v>220</v>
      </c>
      <c r="F261" s="504">
        <f t="shared" ref="F261:F268" si="16">SUM(D261*E261)</f>
        <v>440</v>
      </c>
    </row>
    <row r="262" spans="1:6" s="388" customFormat="1" ht="26.4">
      <c r="A262" s="503"/>
      <c r="B262" s="503" t="s">
        <v>1932</v>
      </c>
      <c r="C262" s="503" t="s">
        <v>1893</v>
      </c>
      <c r="D262" s="504">
        <v>6</v>
      </c>
      <c r="E262" s="504">
        <v>14.5</v>
      </c>
      <c r="F262" s="504">
        <f t="shared" si="16"/>
        <v>87</v>
      </c>
    </row>
    <row r="263" spans="1:6" s="388" customFormat="1" ht="26.4">
      <c r="A263" s="503"/>
      <c r="B263" s="503" t="s">
        <v>1933</v>
      </c>
      <c r="C263" s="503" t="s">
        <v>1893</v>
      </c>
      <c r="D263" s="504">
        <v>2</v>
      </c>
      <c r="E263" s="504">
        <v>14.5</v>
      </c>
      <c r="F263" s="504">
        <f t="shared" si="16"/>
        <v>29</v>
      </c>
    </row>
    <row r="264" spans="1:6" s="388" customFormat="1" ht="26.4">
      <c r="A264" s="503"/>
      <c r="B264" s="503" t="s">
        <v>1934</v>
      </c>
      <c r="C264" s="503" t="s">
        <v>1893</v>
      </c>
      <c r="D264" s="504">
        <v>3</v>
      </c>
      <c r="E264" s="504">
        <v>23</v>
      </c>
      <c r="F264" s="504">
        <f t="shared" si="16"/>
        <v>69</v>
      </c>
    </row>
    <row r="265" spans="1:6" s="388" customFormat="1" ht="26.4">
      <c r="A265" s="503"/>
      <c r="B265" s="503" t="s">
        <v>1949</v>
      </c>
      <c r="C265" s="503" t="s">
        <v>1893</v>
      </c>
      <c r="D265" s="504">
        <v>1</v>
      </c>
      <c r="E265" s="504">
        <v>14.5</v>
      </c>
      <c r="F265" s="504">
        <f t="shared" si="16"/>
        <v>14.5</v>
      </c>
    </row>
    <row r="266" spans="1:6" s="388" customFormat="1">
      <c r="A266" s="503"/>
      <c r="B266" s="503" t="s">
        <v>1982</v>
      </c>
      <c r="C266" s="503" t="s">
        <v>291</v>
      </c>
      <c r="D266" s="504">
        <v>3</v>
      </c>
      <c r="E266" s="504">
        <v>58</v>
      </c>
      <c r="F266" s="504">
        <f t="shared" si="16"/>
        <v>174</v>
      </c>
    </row>
    <row r="267" spans="1:6" s="388" customFormat="1" ht="105" customHeight="1">
      <c r="A267" s="503"/>
      <c r="B267" s="503" t="s">
        <v>1935</v>
      </c>
      <c r="C267" s="503" t="s">
        <v>291</v>
      </c>
      <c r="D267" s="504">
        <v>1</v>
      </c>
      <c r="E267" s="504">
        <v>770</v>
      </c>
      <c r="F267" s="504">
        <f t="shared" si="16"/>
        <v>770</v>
      </c>
    </row>
    <row r="268" spans="1:6" s="388" customFormat="1" ht="52.8">
      <c r="A268" s="503"/>
      <c r="B268" s="503" t="s">
        <v>1936</v>
      </c>
      <c r="C268" s="503" t="s">
        <v>291</v>
      </c>
      <c r="D268" s="504">
        <v>1</v>
      </c>
      <c r="E268" s="504">
        <v>140</v>
      </c>
      <c r="F268" s="504">
        <f t="shared" si="16"/>
        <v>140</v>
      </c>
    </row>
    <row r="269" spans="1:6" s="388" customFormat="1" ht="26.4">
      <c r="A269" s="503"/>
      <c r="B269" s="503" t="s">
        <v>1983</v>
      </c>
      <c r="C269" s="503" t="s">
        <v>291</v>
      </c>
      <c r="D269" s="504">
        <v>1</v>
      </c>
      <c r="E269" s="504">
        <v>180</v>
      </c>
      <c r="F269" s="504">
        <f t="shared" ref="F269:F285" si="17">D269*E269</f>
        <v>180</v>
      </c>
    </row>
    <row r="270" spans="1:6" s="388" customFormat="1" ht="26.4">
      <c r="A270" s="503"/>
      <c r="B270" s="503" t="s">
        <v>1938</v>
      </c>
      <c r="C270" s="503" t="s">
        <v>1893</v>
      </c>
      <c r="D270" s="504">
        <v>1</v>
      </c>
      <c r="E270" s="504">
        <v>75</v>
      </c>
      <c r="F270" s="504">
        <f t="shared" si="17"/>
        <v>75</v>
      </c>
    </row>
    <row r="271" spans="1:6" s="388" customFormat="1">
      <c r="A271" s="503"/>
      <c r="B271" s="503" t="s">
        <v>1939</v>
      </c>
      <c r="C271" s="503" t="s">
        <v>1893</v>
      </c>
      <c r="D271" s="504">
        <v>3</v>
      </c>
      <c r="E271" s="504">
        <v>3</v>
      </c>
      <c r="F271" s="504">
        <f t="shared" si="17"/>
        <v>9</v>
      </c>
    </row>
    <row r="272" spans="1:6" s="388" customFormat="1" ht="26.4">
      <c r="A272" s="503"/>
      <c r="B272" s="503" t="s">
        <v>1940</v>
      </c>
      <c r="C272" s="503" t="s">
        <v>1893</v>
      </c>
      <c r="D272" s="504">
        <v>1</v>
      </c>
      <c r="E272" s="504">
        <v>50</v>
      </c>
      <c r="F272" s="504">
        <f t="shared" si="17"/>
        <v>50</v>
      </c>
    </row>
    <row r="273" spans="1:6" s="388" customFormat="1">
      <c r="A273" s="503"/>
      <c r="B273" s="503" t="s">
        <v>1941</v>
      </c>
      <c r="C273" s="503" t="s">
        <v>1893</v>
      </c>
      <c r="D273" s="504">
        <v>3</v>
      </c>
      <c r="E273" s="504">
        <v>2</v>
      </c>
      <c r="F273" s="504">
        <f t="shared" si="17"/>
        <v>6</v>
      </c>
    </row>
    <row r="274" spans="1:6" s="388" customFormat="1" ht="26.4">
      <c r="A274" s="503"/>
      <c r="B274" s="503" t="s">
        <v>1942</v>
      </c>
      <c r="C274" s="503" t="s">
        <v>291</v>
      </c>
      <c r="D274" s="504">
        <v>6</v>
      </c>
      <c r="E274" s="504">
        <v>50</v>
      </c>
      <c r="F274" s="504">
        <f t="shared" si="17"/>
        <v>300</v>
      </c>
    </row>
    <row r="275" spans="1:6" s="388" customFormat="1" ht="26.4">
      <c r="A275" s="503"/>
      <c r="B275" s="503" t="s">
        <v>1943</v>
      </c>
      <c r="C275" s="503" t="s">
        <v>1893</v>
      </c>
      <c r="D275" s="504">
        <v>4</v>
      </c>
      <c r="E275" s="504">
        <v>50</v>
      </c>
      <c r="F275" s="504">
        <f t="shared" si="17"/>
        <v>200</v>
      </c>
    </row>
    <row r="276" spans="1:6" s="388" customFormat="1" ht="26.4">
      <c r="A276" s="503"/>
      <c r="B276" s="503" t="s">
        <v>1944</v>
      </c>
      <c r="C276" s="503" t="s">
        <v>1893</v>
      </c>
      <c r="D276" s="504">
        <v>2</v>
      </c>
      <c r="E276" s="504">
        <v>50</v>
      </c>
      <c r="F276" s="504">
        <f t="shared" si="17"/>
        <v>100</v>
      </c>
    </row>
    <row r="277" spans="1:6" s="388" customFormat="1">
      <c r="A277" s="503"/>
      <c r="B277" s="503" t="s">
        <v>1984</v>
      </c>
      <c r="C277" s="503" t="s">
        <v>1893</v>
      </c>
      <c r="D277" s="504">
        <v>1</v>
      </c>
      <c r="E277" s="504">
        <v>160</v>
      </c>
      <c r="F277" s="504">
        <f t="shared" si="17"/>
        <v>160</v>
      </c>
    </row>
    <row r="278" spans="1:6" s="388" customFormat="1">
      <c r="A278" s="503"/>
      <c r="B278" s="503" t="s">
        <v>1945</v>
      </c>
      <c r="C278" s="503" t="s">
        <v>1893</v>
      </c>
      <c r="D278" s="504">
        <v>1</v>
      </c>
      <c r="E278" s="504">
        <v>95</v>
      </c>
      <c r="F278" s="504">
        <f t="shared" si="17"/>
        <v>95</v>
      </c>
    </row>
    <row r="279" spans="1:6" s="388" customFormat="1">
      <c r="A279" s="503"/>
      <c r="B279" s="503" t="s">
        <v>1946</v>
      </c>
      <c r="C279" s="503" t="s">
        <v>1893</v>
      </c>
      <c r="D279" s="504">
        <v>2</v>
      </c>
      <c r="E279" s="504">
        <v>82</v>
      </c>
      <c r="F279" s="504">
        <f t="shared" si="17"/>
        <v>164</v>
      </c>
    </row>
    <row r="280" spans="1:6" s="388" customFormat="1">
      <c r="A280" s="503"/>
      <c r="B280" s="503" t="s">
        <v>1947</v>
      </c>
      <c r="C280" s="503" t="s">
        <v>1893</v>
      </c>
      <c r="D280" s="504">
        <v>3</v>
      </c>
      <c r="E280" s="504">
        <v>82</v>
      </c>
      <c r="F280" s="504">
        <f t="shared" si="17"/>
        <v>246</v>
      </c>
    </row>
    <row r="281" spans="1:6" s="388" customFormat="1" ht="26.4">
      <c r="A281" s="503"/>
      <c r="B281" s="503" t="s">
        <v>1948</v>
      </c>
      <c r="C281" s="503" t="s">
        <v>291</v>
      </c>
      <c r="D281" s="504">
        <v>1</v>
      </c>
      <c r="E281" s="504">
        <v>15.5</v>
      </c>
      <c r="F281" s="504">
        <f t="shared" si="17"/>
        <v>15.5</v>
      </c>
    </row>
    <row r="282" spans="1:6" s="388" customFormat="1" ht="26.4">
      <c r="A282" s="503"/>
      <c r="B282" s="503" t="s">
        <v>1949</v>
      </c>
      <c r="C282" s="503" t="s">
        <v>1893</v>
      </c>
      <c r="D282" s="504">
        <v>7</v>
      </c>
      <c r="E282" s="504">
        <v>14.5</v>
      </c>
      <c r="F282" s="504">
        <f t="shared" si="17"/>
        <v>101.5</v>
      </c>
    </row>
    <row r="283" spans="1:6" s="388" customFormat="1" ht="26.4">
      <c r="A283" s="503"/>
      <c r="B283" s="503" t="s">
        <v>1950</v>
      </c>
      <c r="C283" s="503" t="s">
        <v>1893</v>
      </c>
      <c r="D283" s="504">
        <v>4</v>
      </c>
      <c r="E283" s="504">
        <v>14.5</v>
      </c>
      <c r="F283" s="504">
        <f t="shared" si="17"/>
        <v>58</v>
      </c>
    </row>
    <row r="284" spans="1:6" s="388" customFormat="1" ht="26.4">
      <c r="A284" s="503"/>
      <c r="B284" s="503" t="s">
        <v>1951</v>
      </c>
      <c r="C284" s="503" t="s">
        <v>1893</v>
      </c>
      <c r="D284" s="504">
        <v>1</v>
      </c>
      <c r="E284" s="504">
        <v>14.5</v>
      </c>
      <c r="F284" s="504">
        <f t="shared" si="17"/>
        <v>14.5</v>
      </c>
    </row>
    <row r="285" spans="1:6" s="388" customFormat="1" ht="26.4">
      <c r="A285" s="503"/>
      <c r="B285" s="503" t="s">
        <v>1952</v>
      </c>
      <c r="C285" s="503" t="s">
        <v>1893</v>
      </c>
      <c r="D285" s="504">
        <v>12</v>
      </c>
      <c r="E285" s="504">
        <v>14.5</v>
      </c>
      <c r="F285" s="504">
        <f t="shared" si="17"/>
        <v>174</v>
      </c>
    </row>
    <row r="286" spans="1:6" s="388" customFormat="1" ht="26.4">
      <c r="A286" s="503"/>
      <c r="B286" s="503" t="s">
        <v>1953</v>
      </c>
      <c r="C286" s="503" t="s">
        <v>1893</v>
      </c>
      <c r="D286" s="504">
        <v>2</v>
      </c>
      <c r="E286" s="504">
        <v>80</v>
      </c>
      <c r="F286" s="504">
        <f t="shared" ref="F286:F287" si="18">SUM(D286*E286)</f>
        <v>160</v>
      </c>
    </row>
    <row r="287" spans="1:6" s="388" customFormat="1">
      <c r="A287" s="503"/>
      <c r="B287" s="503" t="s">
        <v>1954</v>
      </c>
      <c r="C287" s="503" t="s">
        <v>291</v>
      </c>
      <c r="D287" s="504">
        <v>1</v>
      </c>
      <c r="E287" s="504">
        <v>30</v>
      </c>
      <c r="F287" s="504">
        <f t="shared" si="18"/>
        <v>30</v>
      </c>
    </row>
    <row r="288" spans="1:6" s="388" customFormat="1" ht="39.6">
      <c r="A288" s="503"/>
      <c r="B288" s="503" t="s">
        <v>1955</v>
      </c>
      <c r="C288" s="503" t="s">
        <v>291</v>
      </c>
      <c r="D288" s="504">
        <v>1</v>
      </c>
      <c r="E288" s="504">
        <v>1250</v>
      </c>
      <c r="F288" s="504">
        <f t="shared" ref="F288:F290" si="19">D288*E288</f>
        <v>1250</v>
      </c>
    </row>
    <row r="289" spans="1:7" s="388" customFormat="1" ht="26.4">
      <c r="A289" s="503"/>
      <c r="B289" s="503" t="s">
        <v>1956</v>
      </c>
      <c r="C289" s="503" t="s">
        <v>1957</v>
      </c>
      <c r="D289" s="504">
        <v>1</v>
      </c>
      <c r="E289" s="504">
        <v>45</v>
      </c>
      <c r="F289" s="504">
        <f t="shared" si="19"/>
        <v>45</v>
      </c>
    </row>
    <row r="290" spans="1:7" s="388" customFormat="1" ht="26.4">
      <c r="A290" s="503"/>
      <c r="B290" s="503" t="s">
        <v>1958</v>
      </c>
      <c r="C290" s="503" t="s">
        <v>1957</v>
      </c>
      <c r="D290" s="504">
        <v>1</v>
      </c>
      <c r="E290" s="504">
        <v>19</v>
      </c>
      <c r="F290" s="504">
        <f t="shared" si="19"/>
        <v>19</v>
      </c>
    </row>
    <row r="291" spans="1:7" s="388" customFormat="1" ht="26.4">
      <c r="A291" s="503"/>
      <c r="B291" s="503" t="s">
        <v>1959</v>
      </c>
      <c r="C291" s="503" t="s">
        <v>1957</v>
      </c>
      <c r="D291" s="504">
        <v>1</v>
      </c>
      <c r="E291" s="504">
        <v>48</v>
      </c>
      <c r="F291" s="504">
        <f>D291*E291</f>
        <v>48</v>
      </c>
    </row>
    <row r="292" spans="1:7" s="388" customFormat="1">
      <c r="A292" s="503"/>
      <c r="B292" s="503" t="s">
        <v>1960</v>
      </c>
      <c r="C292" s="503" t="s">
        <v>1957</v>
      </c>
      <c r="D292" s="504">
        <v>1</v>
      </c>
      <c r="E292" s="504">
        <v>36</v>
      </c>
      <c r="F292" s="504">
        <f>D292*E292</f>
        <v>36</v>
      </c>
    </row>
    <row r="293" spans="1:7" s="388" customFormat="1">
      <c r="A293" s="503"/>
      <c r="B293" s="503" t="s">
        <v>1904</v>
      </c>
      <c r="C293" s="503" t="s">
        <v>291</v>
      </c>
      <c r="D293" s="504">
        <v>1</v>
      </c>
      <c r="E293" s="504">
        <v>5.5</v>
      </c>
      <c r="F293" s="504">
        <f t="shared" ref="F293" si="20">D293*E293</f>
        <v>5.5</v>
      </c>
    </row>
    <row r="294" spans="1:7" s="388" customFormat="1" ht="26.4">
      <c r="A294" s="503"/>
      <c r="B294" s="503" t="s">
        <v>1961</v>
      </c>
      <c r="C294" s="503" t="s">
        <v>1906</v>
      </c>
      <c r="D294" s="504">
        <v>1</v>
      </c>
      <c r="E294" s="504">
        <v>120</v>
      </c>
      <c r="F294" s="504">
        <f>D294*E294</f>
        <v>120</v>
      </c>
      <c r="G294" s="509"/>
    </row>
    <row r="295" spans="1:7" s="388" customFormat="1" ht="26.4">
      <c r="A295" s="503"/>
      <c r="B295" s="503" t="s">
        <v>1962</v>
      </c>
      <c r="C295" s="503" t="s">
        <v>1906</v>
      </c>
      <c r="D295" s="504">
        <v>1</v>
      </c>
      <c r="E295" s="504">
        <v>180</v>
      </c>
      <c r="F295" s="504">
        <f t="shared" ref="F295:F296" si="21">D295*E295</f>
        <v>180</v>
      </c>
      <c r="G295" s="510"/>
    </row>
    <row r="296" spans="1:7" s="388" customFormat="1">
      <c r="A296" s="503"/>
      <c r="B296" s="503" t="s">
        <v>1907</v>
      </c>
      <c r="C296" s="503" t="s">
        <v>1906</v>
      </c>
      <c r="D296" s="504">
        <v>1</v>
      </c>
      <c r="E296" s="504">
        <v>360</v>
      </c>
      <c r="F296" s="504">
        <f t="shared" si="21"/>
        <v>360</v>
      </c>
      <c r="G296" s="510"/>
    </row>
    <row r="297" spans="1:7" s="388" customFormat="1">
      <c r="A297" s="503"/>
      <c r="B297" s="503"/>
      <c r="C297" s="503"/>
      <c r="D297" s="504"/>
      <c r="E297" s="504"/>
      <c r="F297" s="504"/>
    </row>
    <row r="298" spans="1:7" s="388" customFormat="1" ht="52.8">
      <c r="A298" s="503" t="s">
        <v>49</v>
      </c>
      <c r="B298" s="503" t="s">
        <v>1985</v>
      </c>
      <c r="C298" s="503"/>
      <c r="D298" s="504"/>
      <c r="E298" s="504"/>
      <c r="F298" s="504"/>
    </row>
    <row r="299" spans="1:7" s="388" customFormat="1" ht="26.4">
      <c r="A299" s="503"/>
      <c r="B299" s="503" t="s">
        <v>1986</v>
      </c>
      <c r="C299" s="503" t="s">
        <v>1893</v>
      </c>
      <c r="D299" s="504">
        <v>1</v>
      </c>
      <c r="E299" s="504">
        <v>290</v>
      </c>
      <c r="F299" s="504">
        <f>D299*E299</f>
        <v>290</v>
      </c>
    </row>
    <row r="300" spans="1:7" s="349" customFormat="1" ht="26.4">
      <c r="A300" s="491"/>
      <c r="B300" s="491" t="s">
        <v>1987</v>
      </c>
      <c r="C300" s="491" t="s">
        <v>1893</v>
      </c>
      <c r="D300" s="493">
        <v>1</v>
      </c>
      <c r="E300" s="504">
        <v>78</v>
      </c>
      <c r="F300" s="493">
        <f t="shared" ref="F300:F348" si="22">D300*E300</f>
        <v>78</v>
      </c>
    </row>
    <row r="301" spans="1:7" s="349" customFormat="1" ht="26.4">
      <c r="A301" s="491"/>
      <c r="B301" s="491" t="s">
        <v>1988</v>
      </c>
      <c r="C301" s="491" t="s">
        <v>1893</v>
      </c>
      <c r="D301" s="493">
        <v>1</v>
      </c>
      <c r="E301" s="504">
        <v>158</v>
      </c>
      <c r="F301" s="493">
        <f t="shared" si="22"/>
        <v>158</v>
      </c>
    </row>
    <row r="302" spans="1:7" s="388" customFormat="1" ht="26.4">
      <c r="A302" s="503"/>
      <c r="B302" s="503" t="s">
        <v>1925</v>
      </c>
      <c r="C302" s="503" t="s">
        <v>1893</v>
      </c>
      <c r="D302" s="504">
        <v>2</v>
      </c>
      <c r="E302" s="504">
        <v>95</v>
      </c>
      <c r="F302" s="504">
        <f t="shared" si="22"/>
        <v>190</v>
      </c>
    </row>
    <row r="303" spans="1:7" s="349" customFormat="1">
      <c r="A303" s="491"/>
      <c r="B303" s="491" t="s">
        <v>1896</v>
      </c>
      <c r="C303" s="491" t="s">
        <v>291</v>
      </c>
      <c r="D303" s="493">
        <v>3</v>
      </c>
      <c r="E303" s="504">
        <v>4.3</v>
      </c>
      <c r="F303" s="493">
        <f>D303*E303</f>
        <v>12.899999999999999</v>
      </c>
      <c r="G303" s="508"/>
    </row>
    <row r="304" spans="1:7" s="349" customFormat="1">
      <c r="A304" s="491"/>
      <c r="B304" s="491" t="s">
        <v>1928</v>
      </c>
      <c r="C304" s="491" t="s">
        <v>291</v>
      </c>
      <c r="D304" s="493">
        <v>3</v>
      </c>
      <c r="E304" s="504">
        <v>4.3</v>
      </c>
      <c r="F304" s="493">
        <f t="shared" ref="F304" si="23">D304*E304</f>
        <v>12.899999999999999</v>
      </c>
      <c r="G304" s="508"/>
    </row>
    <row r="305" spans="1:6" s="349" customFormat="1">
      <c r="A305" s="491"/>
      <c r="B305" s="491" t="s">
        <v>1989</v>
      </c>
      <c r="C305" s="491" t="s">
        <v>1893</v>
      </c>
      <c r="D305" s="493">
        <v>1</v>
      </c>
      <c r="E305" s="504">
        <v>490</v>
      </c>
      <c r="F305" s="493">
        <f t="shared" si="22"/>
        <v>490</v>
      </c>
    </row>
    <row r="306" spans="1:6" s="349" customFormat="1">
      <c r="A306" s="491"/>
      <c r="B306" s="491" t="s">
        <v>1917</v>
      </c>
      <c r="C306" s="491" t="s">
        <v>1893</v>
      </c>
      <c r="D306" s="493">
        <v>1</v>
      </c>
      <c r="E306" s="504">
        <v>30</v>
      </c>
      <c r="F306" s="493">
        <f t="shared" si="22"/>
        <v>30</v>
      </c>
    </row>
    <row r="307" spans="1:6" s="349" customFormat="1">
      <c r="A307" s="491"/>
      <c r="B307" s="491" t="s">
        <v>1918</v>
      </c>
      <c r="C307" s="491" t="s">
        <v>1893</v>
      </c>
      <c r="D307" s="493">
        <v>1</v>
      </c>
      <c r="E307" s="504">
        <v>4.2</v>
      </c>
      <c r="F307" s="493">
        <f t="shared" si="22"/>
        <v>4.2</v>
      </c>
    </row>
    <row r="308" spans="1:6" s="349" customFormat="1">
      <c r="A308" s="491"/>
      <c r="B308" s="491" t="s">
        <v>1919</v>
      </c>
      <c r="C308" s="491" t="s">
        <v>1893</v>
      </c>
      <c r="D308" s="493">
        <v>1</v>
      </c>
      <c r="E308" s="504">
        <v>8.5</v>
      </c>
      <c r="F308" s="493">
        <f t="shared" si="22"/>
        <v>8.5</v>
      </c>
    </row>
    <row r="309" spans="1:6" s="349" customFormat="1">
      <c r="A309" s="491"/>
      <c r="B309" s="491" t="s">
        <v>1920</v>
      </c>
      <c r="C309" s="491" t="s">
        <v>1893</v>
      </c>
      <c r="D309" s="493">
        <v>1</v>
      </c>
      <c r="E309" s="504">
        <v>13.5</v>
      </c>
      <c r="F309" s="493">
        <f t="shared" si="22"/>
        <v>13.5</v>
      </c>
    </row>
    <row r="310" spans="1:6" s="388" customFormat="1" ht="26.4">
      <c r="A310" s="503"/>
      <c r="B310" s="503" t="s">
        <v>1940</v>
      </c>
      <c r="C310" s="503" t="s">
        <v>1893</v>
      </c>
      <c r="D310" s="504">
        <v>1</v>
      </c>
      <c r="E310" s="504">
        <v>40</v>
      </c>
      <c r="F310" s="504">
        <f t="shared" si="22"/>
        <v>40</v>
      </c>
    </row>
    <row r="311" spans="1:6" s="388" customFormat="1">
      <c r="A311" s="503"/>
      <c r="B311" s="503" t="s">
        <v>1941</v>
      </c>
      <c r="C311" s="503" t="s">
        <v>1893</v>
      </c>
      <c r="D311" s="504">
        <v>3</v>
      </c>
      <c r="E311" s="504">
        <v>2</v>
      </c>
      <c r="F311" s="504">
        <f t="shared" si="22"/>
        <v>6</v>
      </c>
    </row>
    <row r="312" spans="1:6" s="388" customFormat="1" ht="26.4">
      <c r="A312" s="503"/>
      <c r="B312" s="503" t="s">
        <v>1942</v>
      </c>
      <c r="C312" s="503" t="s">
        <v>291</v>
      </c>
      <c r="D312" s="504">
        <v>1</v>
      </c>
      <c r="E312" s="504">
        <v>50</v>
      </c>
      <c r="F312" s="504">
        <f t="shared" si="22"/>
        <v>50</v>
      </c>
    </row>
    <row r="313" spans="1:6" s="388" customFormat="1" ht="26.4">
      <c r="A313" s="503"/>
      <c r="B313" s="503" t="s">
        <v>1943</v>
      </c>
      <c r="C313" s="503" t="s">
        <v>1893</v>
      </c>
      <c r="D313" s="504">
        <v>1</v>
      </c>
      <c r="E313" s="504">
        <v>50</v>
      </c>
      <c r="F313" s="504">
        <f t="shared" si="22"/>
        <v>50</v>
      </c>
    </row>
    <row r="314" spans="1:6" s="388" customFormat="1" ht="26.4">
      <c r="A314" s="503"/>
      <c r="B314" s="503" t="s">
        <v>1944</v>
      </c>
      <c r="C314" s="503" t="s">
        <v>1893</v>
      </c>
      <c r="D314" s="504">
        <v>1</v>
      </c>
      <c r="E314" s="504">
        <v>50</v>
      </c>
      <c r="F314" s="504">
        <f t="shared" si="22"/>
        <v>50</v>
      </c>
    </row>
    <row r="315" spans="1:6" s="388" customFormat="1">
      <c r="A315" s="503"/>
      <c r="B315" s="503" t="s">
        <v>1946</v>
      </c>
      <c r="C315" s="503" t="s">
        <v>1893</v>
      </c>
      <c r="D315" s="504">
        <v>1</v>
      </c>
      <c r="E315" s="504">
        <v>82</v>
      </c>
      <c r="F315" s="504">
        <f t="shared" si="22"/>
        <v>82</v>
      </c>
    </row>
    <row r="316" spans="1:6" s="388" customFormat="1">
      <c r="A316" s="503"/>
      <c r="B316" s="503" t="s">
        <v>1947</v>
      </c>
      <c r="C316" s="503" t="s">
        <v>1893</v>
      </c>
      <c r="D316" s="504">
        <v>1</v>
      </c>
      <c r="E316" s="504">
        <v>82</v>
      </c>
      <c r="F316" s="504">
        <f t="shared" si="22"/>
        <v>82</v>
      </c>
    </row>
    <row r="317" spans="1:6" s="349" customFormat="1" ht="26.4">
      <c r="A317" s="491"/>
      <c r="B317" s="491" t="s">
        <v>1932</v>
      </c>
      <c r="C317" s="491" t="s">
        <v>1893</v>
      </c>
      <c r="D317" s="493">
        <v>1</v>
      </c>
      <c r="E317" s="504">
        <v>15.5</v>
      </c>
      <c r="F317" s="493">
        <f t="shared" si="22"/>
        <v>15.5</v>
      </c>
    </row>
    <row r="318" spans="1:6" s="388" customFormat="1" ht="26.4">
      <c r="A318" s="503"/>
      <c r="B318" s="503" t="s">
        <v>1933</v>
      </c>
      <c r="C318" s="503" t="s">
        <v>1893</v>
      </c>
      <c r="D318" s="504">
        <v>8</v>
      </c>
      <c r="E318" s="504">
        <v>15.5</v>
      </c>
      <c r="F318" s="504">
        <f t="shared" ref="F318" si="24">SUM(D318*E318)</f>
        <v>124</v>
      </c>
    </row>
    <row r="319" spans="1:6" s="349" customFormat="1" ht="26.4">
      <c r="A319" s="491"/>
      <c r="B319" s="491" t="s">
        <v>1990</v>
      </c>
      <c r="C319" s="491" t="s">
        <v>1893</v>
      </c>
      <c r="D319" s="493">
        <v>3</v>
      </c>
      <c r="E319" s="504">
        <v>20</v>
      </c>
      <c r="F319" s="493">
        <f t="shared" ref="F319:F320" si="25">D319*E319</f>
        <v>60</v>
      </c>
    </row>
    <row r="320" spans="1:6" s="349" customFormat="1" ht="26.4">
      <c r="A320" s="491"/>
      <c r="B320" s="491" t="s">
        <v>1991</v>
      </c>
      <c r="C320" s="491" t="s">
        <v>1893</v>
      </c>
      <c r="D320" s="493">
        <v>9</v>
      </c>
      <c r="E320" s="504">
        <v>20</v>
      </c>
      <c r="F320" s="493">
        <f t="shared" si="25"/>
        <v>180</v>
      </c>
    </row>
    <row r="321" spans="1:7" s="349" customFormat="1" ht="26.4">
      <c r="A321" s="491"/>
      <c r="B321" s="491" t="s">
        <v>1949</v>
      </c>
      <c r="C321" s="491" t="s">
        <v>1893</v>
      </c>
      <c r="D321" s="493">
        <v>4</v>
      </c>
      <c r="E321" s="504">
        <v>15.5</v>
      </c>
      <c r="F321" s="493">
        <f t="shared" si="22"/>
        <v>62</v>
      </c>
    </row>
    <row r="322" spans="1:7" s="349" customFormat="1" ht="26.4">
      <c r="A322" s="491"/>
      <c r="B322" s="491" t="s">
        <v>1950</v>
      </c>
      <c r="C322" s="491" t="s">
        <v>1893</v>
      </c>
      <c r="D322" s="493">
        <v>3</v>
      </c>
      <c r="E322" s="504">
        <v>15.5</v>
      </c>
      <c r="F322" s="493">
        <f t="shared" si="22"/>
        <v>46.5</v>
      </c>
    </row>
    <row r="323" spans="1:7" s="349" customFormat="1" ht="26.4">
      <c r="A323" s="491"/>
      <c r="B323" s="491" t="s">
        <v>1952</v>
      </c>
      <c r="C323" s="491" t="s">
        <v>1893</v>
      </c>
      <c r="D323" s="493">
        <v>6</v>
      </c>
      <c r="E323" s="504">
        <v>15.5</v>
      </c>
      <c r="F323" s="493">
        <f t="shared" si="22"/>
        <v>93</v>
      </c>
    </row>
    <row r="324" spans="1:7" s="349" customFormat="1" ht="26.4">
      <c r="A324" s="491"/>
      <c r="B324" s="491" t="s">
        <v>1966</v>
      </c>
      <c r="C324" s="491" t="s">
        <v>1893</v>
      </c>
      <c r="D324" s="493">
        <v>3</v>
      </c>
      <c r="E324" s="504">
        <v>15.5</v>
      </c>
      <c r="F324" s="493">
        <f t="shared" si="22"/>
        <v>46.5</v>
      </c>
    </row>
    <row r="325" spans="1:7" s="349" customFormat="1" ht="26.4">
      <c r="A325" s="491"/>
      <c r="B325" s="491" t="s">
        <v>1948</v>
      </c>
      <c r="C325" s="491" t="s">
        <v>1893</v>
      </c>
      <c r="D325" s="493">
        <v>1</v>
      </c>
      <c r="E325" s="504">
        <v>15.5</v>
      </c>
      <c r="F325" s="493">
        <f t="shared" si="22"/>
        <v>15.5</v>
      </c>
    </row>
    <row r="326" spans="1:7" s="349" customFormat="1" ht="26.4">
      <c r="A326" s="491"/>
      <c r="B326" s="491" t="s">
        <v>1975</v>
      </c>
      <c r="C326" s="491" t="s">
        <v>1893</v>
      </c>
      <c r="D326" s="493">
        <v>1</v>
      </c>
      <c r="E326" s="504">
        <v>82</v>
      </c>
      <c r="F326" s="493">
        <f t="shared" ref="F326:F332" si="26">SUM(D326*E326)</f>
        <v>82</v>
      </c>
      <c r="G326" s="508"/>
    </row>
    <row r="327" spans="1:7" s="388" customFormat="1">
      <c r="A327" s="503"/>
      <c r="B327" s="503" t="s">
        <v>1992</v>
      </c>
      <c r="C327" s="503" t="s">
        <v>291</v>
      </c>
      <c r="D327" s="504">
        <v>12</v>
      </c>
      <c r="E327" s="504">
        <v>45</v>
      </c>
      <c r="F327" s="504">
        <f t="shared" si="26"/>
        <v>540</v>
      </c>
    </row>
    <row r="328" spans="1:7" s="388" customFormat="1">
      <c r="A328" s="503"/>
      <c r="B328" s="503" t="s">
        <v>1993</v>
      </c>
      <c r="C328" s="503" t="s">
        <v>291</v>
      </c>
      <c r="D328" s="504">
        <v>12</v>
      </c>
      <c r="E328" s="504">
        <v>20</v>
      </c>
      <c r="F328" s="504">
        <f t="shared" si="26"/>
        <v>240</v>
      </c>
    </row>
    <row r="329" spans="1:7" s="388" customFormat="1">
      <c r="A329" s="503"/>
      <c r="B329" s="503" t="s">
        <v>1994</v>
      </c>
      <c r="C329" s="503" t="s">
        <v>291</v>
      </c>
      <c r="D329" s="504">
        <v>12</v>
      </c>
      <c r="E329" s="504">
        <v>42</v>
      </c>
      <c r="F329" s="504">
        <f t="shared" si="26"/>
        <v>504</v>
      </c>
    </row>
    <row r="330" spans="1:7" s="388" customFormat="1">
      <c r="A330" s="503"/>
      <c r="B330" s="503" t="s">
        <v>1954</v>
      </c>
      <c r="C330" s="503" t="s">
        <v>291</v>
      </c>
      <c r="D330" s="504">
        <v>12</v>
      </c>
      <c r="E330" s="504">
        <v>33</v>
      </c>
      <c r="F330" s="504">
        <f t="shared" si="26"/>
        <v>396</v>
      </c>
    </row>
    <row r="331" spans="1:7" s="388" customFormat="1" ht="26.4">
      <c r="A331" s="503"/>
      <c r="B331" s="503" t="s">
        <v>1995</v>
      </c>
      <c r="C331" s="503" t="s">
        <v>291</v>
      </c>
      <c r="D331" s="504">
        <v>12</v>
      </c>
      <c r="E331" s="504">
        <v>20</v>
      </c>
      <c r="F331" s="504">
        <f t="shared" si="26"/>
        <v>240</v>
      </c>
    </row>
    <row r="332" spans="1:7" s="388" customFormat="1" ht="26.4">
      <c r="A332" s="503"/>
      <c r="B332" s="503" t="s">
        <v>1934</v>
      </c>
      <c r="C332" s="503" t="s">
        <v>291</v>
      </c>
      <c r="D332" s="504">
        <v>12</v>
      </c>
      <c r="E332" s="504">
        <v>20</v>
      </c>
      <c r="F332" s="504">
        <f t="shared" si="26"/>
        <v>240</v>
      </c>
    </row>
    <row r="333" spans="1:7" s="349" customFormat="1" ht="26.4">
      <c r="A333" s="491"/>
      <c r="B333" s="491" t="s">
        <v>1972</v>
      </c>
      <c r="C333" s="491" t="s">
        <v>291</v>
      </c>
      <c r="D333" s="493">
        <v>6</v>
      </c>
      <c r="E333" s="504">
        <v>30</v>
      </c>
      <c r="F333" s="493">
        <f t="shared" si="22"/>
        <v>180</v>
      </c>
    </row>
    <row r="334" spans="1:7" s="349" customFormat="1" ht="26.4">
      <c r="A334" s="491"/>
      <c r="B334" s="491" t="s">
        <v>1973</v>
      </c>
      <c r="C334" s="491" t="s">
        <v>291</v>
      </c>
      <c r="D334" s="493">
        <v>6</v>
      </c>
      <c r="E334" s="504">
        <v>8.5</v>
      </c>
      <c r="F334" s="493">
        <f t="shared" si="22"/>
        <v>51</v>
      </c>
    </row>
    <row r="335" spans="1:7" s="349" customFormat="1">
      <c r="A335" s="491"/>
      <c r="B335" s="491" t="s">
        <v>1974</v>
      </c>
      <c r="C335" s="491" t="s">
        <v>291</v>
      </c>
      <c r="D335" s="493">
        <v>5</v>
      </c>
      <c r="E335" s="504">
        <v>33</v>
      </c>
      <c r="F335" s="493">
        <f t="shared" si="22"/>
        <v>165</v>
      </c>
    </row>
    <row r="336" spans="1:7" s="388" customFormat="1">
      <c r="A336" s="503"/>
      <c r="B336" s="503" t="s">
        <v>1996</v>
      </c>
      <c r="C336" s="503" t="s">
        <v>291</v>
      </c>
      <c r="D336" s="504">
        <v>1</v>
      </c>
      <c r="E336" s="504">
        <v>28</v>
      </c>
      <c r="F336" s="504">
        <f t="shared" ref="F336" si="27">SUM(D336*E336)</f>
        <v>28</v>
      </c>
    </row>
    <row r="337" spans="1:7" s="349" customFormat="1" ht="26.4">
      <c r="A337" s="491"/>
      <c r="B337" s="491" t="s">
        <v>1997</v>
      </c>
      <c r="C337" s="491" t="s">
        <v>1893</v>
      </c>
      <c r="D337" s="493">
        <v>1</v>
      </c>
      <c r="E337" s="504">
        <v>36</v>
      </c>
      <c r="F337" s="493">
        <f t="shared" si="22"/>
        <v>36</v>
      </c>
    </row>
    <row r="338" spans="1:7" s="349" customFormat="1" ht="26.4">
      <c r="A338" s="491"/>
      <c r="B338" s="491" t="s">
        <v>1998</v>
      </c>
      <c r="C338" s="491" t="s">
        <v>1893</v>
      </c>
      <c r="D338" s="493">
        <v>5</v>
      </c>
      <c r="E338" s="504">
        <v>36</v>
      </c>
      <c r="F338" s="493">
        <f t="shared" si="22"/>
        <v>180</v>
      </c>
    </row>
    <row r="339" spans="1:7" s="388" customFormat="1" ht="26.4">
      <c r="A339" s="503"/>
      <c r="B339" s="503" t="s">
        <v>1995</v>
      </c>
      <c r="C339" s="503" t="s">
        <v>291</v>
      </c>
      <c r="D339" s="504">
        <v>5</v>
      </c>
      <c r="E339" s="504">
        <v>18</v>
      </c>
      <c r="F339" s="504">
        <f t="shared" ref="F339:F340" si="28">SUM(D339*E339)</f>
        <v>90</v>
      </c>
    </row>
    <row r="340" spans="1:7" s="388" customFormat="1" ht="26.4">
      <c r="A340" s="503"/>
      <c r="B340" s="503" t="s">
        <v>1934</v>
      </c>
      <c r="C340" s="503" t="s">
        <v>291</v>
      </c>
      <c r="D340" s="504">
        <v>5</v>
      </c>
      <c r="E340" s="504">
        <v>18</v>
      </c>
      <c r="F340" s="504">
        <f t="shared" si="28"/>
        <v>90</v>
      </c>
    </row>
    <row r="341" spans="1:7" s="349" customFormat="1" ht="26.4">
      <c r="A341" s="491"/>
      <c r="B341" s="491" t="s">
        <v>1999</v>
      </c>
      <c r="C341" s="491" t="s">
        <v>1893</v>
      </c>
      <c r="D341" s="493">
        <v>1</v>
      </c>
      <c r="E341" s="504">
        <v>900</v>
      </c>
      <c r="F341" s="493">
        <f t="shared" si="22"/>
        <v>900</v>
      </c>
    </row>
    <row r="342" spans="1:7" s="349" customFormat="1">
      <c r="A342" s="491"/>
      <c r="B342" s="491" t="s">
        <v>2000</v>
      </c>
      <c r="C342" s="491" t="s">
        <v>1957</v>
      </c>
      <c r="D342" s="493">
        <v>1</v>
      </c>
      <c r="E342" s="504">
        <v>17.5</v>
      </c>
      <c r="F342" s="493">
        <f t="shared" si="22"/>
        <v>17.5</v>
      </c>
    </row>
    <row r="343" spans="1:7" s="349" customFormat="1" ht="26.4">
      <c r="A343" s="491"/>
      <c r="B343" s="491" t="s">
        <v>2001</v>
      </c>
      <c r="C343" s="491" t="s">
        <v>1893</v>
      </c>
      <c r="D343" s="493">
        <v>2</v>
      </c>
      <c r="E343" s="504">
        <v>9.5</v>
      </c>
      <c r="F343" s="493">
        <f t="shared" si="22"/>
        <v>19</v>
      </c>
    </row>
    <row r="344" spans="1:7" s="349" customFormat="1" ht="26.4">
      <c r="A344" s="491"/>
      <c r="B344" s="491" t="s">
        <v>2002</v>
      </c>
      <c r="C344" s="491" t="s">
        <v>1893</v>
      </c>
      <c r="D344" s="493">
        <v>8</v>
      </c>
      <c r="E344" s="504">
        <v>10.5</v>
      </c>
      <c r="F344" s="493">
        <f t="shared" si="22"/>
        <v>84</v>
      </c>
    </row>
    <row r="345" spans="1:7" s="349" customFormat="1">
      <c r="A345" s="491"/>
      <c r="B345" s="491" t="s">
        <v>1904</v>
      </c>
      <c r="C345" s="491" t="s">
        <v>1893</v>
      </c>
      <c r="D345" s="493">
        <v>1</v>
      </c>
      <c r="E345" s="504">
        <v>8</v>
      </c>
      <c r="F345" s="493">
        <f t="shared" si="22"/>
        <v>8</v>
      </c>
    </row>
    <row r="346" spans="1:7" s="388" customFormat="1" ht="26.4">
      <c r="A346" s="503"/>
      <c r="B346" s="503" t="s">
        <v>1961</v>
      </c>
      <c r="C346" s="503" t="s">
        <v>1906</v>
      </c>
      <c r="D346" s="504">
        <v>1</v>
      </c>
      <c r="E346" s="504">
        <v>120</v>
      </c>
      <c r="F346" s="504">
        <f t="shared" si="22"/>
        <v>120</v>
      </c>
      <c r="G346" s="509"/>
    </row>
    <row r="347" spans="1:7" s="388" customFormat="1" ht="26.4">
      <c r="A347" s="503"/>
      <c r="B347" s="503" t="s">
        <v>1905</v>
      </c>
      <c r="C347" s="503" t="s">
        <v>1906</v>
      </c>
      <c r="D347" s="504">
        <v>1</v>
      </c>
      <c r="E347" s="504">
        <v>180</v>
      </c>
      <c r="F347" s="504">
        <f t="shared" si="22"/>
        <v>180</v>
      </c>
      <c r="G347" s="510"/>
    </row>
    <row r="348" spans="1:7" s="388" customFormat="1">
      <c r="A348" s="503"/>
      <c r="B348" s="503" t="s">
        <v>1907</v>
      </c>
      <c r="C348" s="503" t="s">
        <v>1906</v>
      </c>
      <c r="D348" s="504">
        <v>1</v>
      </c>
      <c r="E348" s="504">
        <v>360</v>
      </c>
      <c r="F348" s="504">
        <f t="shared" si="22"/>
        <v>360</v>
      </c>
      <c r="G348" s="510"/>
    </row>
    <row r="349" spans="1:7" s="388" customFormat="1">
      <c r="A349" s="503"/>
      <c r="B349" s="503"/>
      <c r="C349" s="503"/>
      <c r="D349" s="504"/>
      <c r="E349" s="504"/>
      <c r="F349" s="504"/>
    </row>
    <row r="350" spans="1:7" s="388" customFormat="1" ht="66">
      <c r="A350" s="503" t="s">
        <v>58</v>
      </c>
      <c r="B350" s="503" t="s">
        <v>2003</v>
      </c>
      <c r="C350" s="503" t="s">
        <v>1906</v>
      </c>
      <c r="D350" s="504">
        <v>1</v>
      </c>
      <c r="E350" s="504">
        <v>4500</v>
      </c>
      <c r="F350" s="504">
        <f>D350*E350</f>
        <v>4500</v>
      </c>
    </row>
    <row r="351" spans="1:7" s="388" customFormat="1">
      <c r="A351" s="503"/>
      <c r="B351" s="503"/>
      <c r="C351" s="503"/>
      <c r="D351" s="504"/>
      <c r="E351" s="504"/>
      <c r="F351" s="504"/>
    </row>
    <row r="352" spans="1:7" s="388" customFormat="1" ht="26.4">
      <c r="A352" s="503" t="s">
        <v>141</v>
      </c>
      <c r="B352" s="503" t="s">
        <v>2004</v>
      </c>
      <c r="C352" s="503" t="s">
        <v>1893</v>
      </c>
      <c r="D352" s="504">
        <v>4</v>
      </c>
      <c r="E352" s="504">
        <v>200</v>
      </c>
      <c r="F352" s="504">
        <f t="shared" ref="F352:F354" si="29">D352*E352</f>
        <v>800</v>
      </c>
    </row>
    <row r="353" spans="1:10" s="388" customFormat="1">
      <c r="A353" s="503"/>
      <c r="B353" s="503"/>
      <c r="C353" s="503"/>
      <c r="D353" s="504"/>
      <c r="E353" s="504"/>
      <c r="F353" s="504"/>
    </row>
    <row r="354" spans="1:10" s="388" customFormat="1" ht="39.6">
      <c r="A354" s="503" t="s">
        <v>1191</v>
      </c>
      <c r="B354" s="503" t="s">
        <v>2005</v>
      </c>
      <c r="C354" s="503" t="s">
        <v>1893</v>
      </c>
      <c r="D354" s="504">
        <v>3</v>
      </c>
      <c r="E354" s="504">
        <v>135</v>
      </c>
      <c r="F354" s="504">
        <f t="shared" si="29"/>
        <v>405</v>
      </c>
    </row>
    <row r="355" spans="1:10" s="388" customFormat="1">
      <c r="A355" s="503"/>
      <c r="B355" s="503"/>
      <c r="C355" s="503"/>
      <c r="D355" s="504"/>
      <c r="E355" s="504"/>
      <c r="F355" s="504"/>
    </row>
    <row r="356" spans="1:10" s="507" customFormat="1">
      <c r="A356" s="505"/>
      <c r="B356" s="505" t="s">
        <v>2006</v>
      </c>
      <c r="C356" s="505"/>
      <c r="D356" s="506"/>
      <c r="E356" s="506"/>
      <c r="F356" s="506">
        <f>SUM(F141:F354)</f>
        <v>43769.5</v>
      </c>
      <c r="G356" s="388"/>
    </row>
    <row r="357" spans="1:10" s="388" customFormat="1">
      <c r="A357" s="503"/>
      <c r="B357" s="503"/>
      <c r="C357" s="503"/>
      <c r="D357" s="504"/>
      <c r="E357" s="504"/>
      <c r="F357" s="504"/>
    </row>
    <row r="358" spans="1:10" s="388" customFormat="1">
      <c r="A358" s="503"/>
      <c r="B358" s="503"/>
      <c r="C358" s="503"/>
      <c r="D358" s="504"/>
      <c r="E358" s="504"/>
      <c r="F358" s="504"/>
    </row>
    <row r="359" spans="1:10" s="496" customFormat="1">
      <c r="A359" s="494" t="s">
        <v>874</v>
      </c>
      <c r="B359" s="494" t="s">
        <v>2007</v>
      </c>
      <c r="C359" s="494"/>
      <c r="D359" s="495"/>
      <c r="E359" s="495"/>
      <c r="F359" s="511"/>
      <c r="G359" s="388"/>
    </row>
    <row r="360" spans="1:10" s="388" customFormat="1">
      <c r="A360" s="503"/>
      <c r="B360" s="503"/>
      <c r="C360" s="503"/>
      <c r="D360" s="504"/>
      <c r="E360" s="504"/>
      <c r="F360" s="504"/>
    </row>
    <row r="361" spans="1:10" s="388" customFormat="1">
      <c r="A361" s="503"/>
      <c r="B361" s="503" t="s">
        <v>2008</v>
      </c>
      <c r="C361" s="503"/>
      <c r="D361" s="504"/>
      <c r="E361" s="504"/>
      <c r="F361" s="504"/>
    </row>
    <row r="362" spans="1:10" s="388" customFormat="1">
      <c r="A362" s="503"/>
      <c r="B362" s="503"/>
      <c r="C362" s="503"/>
      <c r="D362" s="504"/>
      <c r="E362" s="504"/>
      <c r="F362" s="504"/>
    </row>
    <row r="363" spans="1:10" s="388" customFormat="1" ht="145.5" customHeight="1">
      <c r="A363" s="503"/>
      <c r="B363" s="503" t="s">
        <v>2009</v>
      </c>
      <c r="C363" s="503"/>
      <c r="D363" s="504"/>
      <c r="E363" s="504"/>
      <c r="F363" s="504"/>
    </row>
    <row r="364" spans="1:10" s="388" customFormat="1" ht="55.5" customHeight="1">
      <c r="A364" s="503"/>
      <c r="B364" s="503" t="s">
        <v>2010</v>
      </c>
      <c r="C364" s="503"/>
      <c r="D364" s="504"/>
      <c r="E364" s="504"/>
      <c r="F364" s="504"/>
    </row>
    <row r="365" spans="1:10" s="388" customFormat="1" ht="67.5" customHeight="1">
      <c r="A365" s="503"/>
      <c r="B365" s="503" t="s">
        <v>2011</v>
      </c>
      <c r="C365" s="503"/>
      <c r="D365" s="504"/>
      <c r="E365" s="504"/>
      <c r="F365" s="504"/>
    </row>
    <row r="366" spans="1:10" s="514" customFormat="1">
      <c r="A366" s="512"/>
      <c r="B366" s="512"/>
      <c r="C366" s="512"/>
      <c r="D366" s="513"/>
      <c r="E366" s="504"/>
      <c r="F366" s="513"/>
    </row>
    <row r="367" spans="1:10" s="349" customFormat="1" ht="92.4">
      <c r="A367" s="491" t="s">
        <v>0</v>
      </c>
      <c r="B367" s="491" t="s">
        <v>2012</v>
      </c>
      <c r="C367" s="491"/>
      <c r="D367" s="493"/>
      <c r="E367" s="504"/>
      <c r="F367" s="493"/>
      <c r="G367" s="508"/>
      <c r="H367" s="508"/>
      <c r="I367" s="508"/>
      <c r="J367" s="508"/>
    </row>
    <row r="368" spans="1:10" s="349" customFormat="1" ht="246" customHeight="1">
      <c r="A368" s="491"/>
      <c r="B368" s="491" t="s">
        <v>2628</v>
      </c>
      <c r="C368" s="491"/>
      <c r="D368" s="493"/>
      <c r="E368" s="504"/>
      <c r="F368" s="493"/>
      <c r="G368" s="508"/>
      <c r="H368" s="508"/>
      <c r="I368" s="508"/>
      <c r="J368" s="508"/>
    </row>
    <row r="369" spans="1:10" s="349" customFormat="1">
      <c r="A369" s="491"/>
      <c r="B369" s="491"/>
      <c r="C369" s="491" t="s">
        <v>291</v>
      </c>
      <c r="D369" s="493">
        <v>70</v>
      </c>
      <c r="E369" s="504">
        <v>100</v>
      </c>
      <c r="F369" s="493">
        <f>D369*E369</f>
        <v>7000</v>
      </c>
      <c r="G369" s="508"/>
      <c r="H369" s="508"/>
      <c r="I369" s="508"/>
      <c r="J369" s="508"/>
    </row>
    <row r="370" spans="1:10" s="349" customFormat="1">
      <c r="A370" s="491"/>
      <c r="B370" s="491"/>
      <c r="C370" s="491"/>
      <c r="D370" s="493"/>
      <c r="E370" s="504"/>
      <c r="F370" s="493"/>
      <c r="G370" s="508"/>
      <c r="H370" s="508"/>
      <c r="I370" s="508"/>
      <c r="J370" s="508"/>
    </row>
    <row r="371" spans="1:10" s="349" customFormat="1" ht="51.75" customHeight="1">
      <c r="A371" s="491" t="s">
        <v>4</v>
      </c>
      <c r="B371" s="491" t="s">
        <v>2014</v>
      </c>
      <c r="C371" s="491"/>
      <c r="D371" s="493"/>
      <c r="E371" s="504"/>
      <c r="F371" s="493"/>
    </row>
    <row r="372" spans="1:10" s="349" customFormat="1" ht="309.75" customHeight="1">
      <c r="A372" s="491"/>
      <c r="B372" s="491" t="s">
        <v>2627</v>
      </c>
      <c r="C372" s="491"/>
      <c r="D372" s="493"/>
      <c r="E372" s="504"/>
      <c r="F372" s="493"/>
    </row>
    <row r="373" spans="1:10" s="349" customFormat="1">
      <c r="A373" s="491"/>
      <c r="B373" s="491"/>
      <c r="C373" s="491" t="s">
        <v>291</v>
      </c>
      <c r="D373" s="493">
        <v>8</v>
      </c>
      <c r="E373" s="504">
        <v>150</v>
      </c>
      <c r="F373" s="493">
        <f>D373*E373</f>
        <v>1200</v>
      </c>
    </row>
    <row r="374" spans="1:10" s="349" customFormat="1">
      <c r="A374" s="491"/>
      <c r="B374" s="491"/>
      <c r="C374" s="491"/>
      <c r="D374" s="493"/>
      <c r="E374" s="504"/>
      <c r="F374" s="493"/>
    </row>
    <row r="375" spans="1:10" s="349" customFormat="1" ht="92.4">
      <c r="A375" s="491" t="s">
        <v>3</v>
      </c>
      <c r="B375" s="491" t="s">
        <v>2015</v>
      </c>
      <c r="C375" s="491"/>
      <c r="D375" s="493"/>
      <c r="E375" s="504"/>
      <c r="F375" s="493"/>
    </row>
    <row r="376" spans="1:10" s="349" customFormat="1" ht="208.5" customHeight="1">
      <c r="A376" s="491"/>
      <c r="B376" s="491" t="s">
        <v>2016</v>
      </c>
      <c r="C376" s="491"/>
      <c r="D376" s="493"/>
      <c r="E376" s="504"/>
      <c r="F376" s="493"/>
    </row>
    <row r="377" spans="1:10" s="349" customFormat="1">
      <c r="A377" s="491"/>
      <c r="B377" s="491"/>
      <c r="C377" s="491" t="s">
        <v>291</v>
      </c>
      <c r="D377" s="493">
        <v>20</v>
      </c>
      <c r="E377" s="504">
        <v>120</v>
      </c>
      <c r="F377" s="493">
        <f>D377*E377</f>
        <v>2400</v>
      </c>
    </row>
    <row r="378" spans="1:10" s="349" customFormat="1">
      <c r="A378" s="491"/>
      <c r="B378" s="491"/>
      <c r="C378" s="491"/>
      <c r="D378" s="493"/>
      <c r="E378" s="504"/>
      <c r="F378" s="493"/>
    </row>
    <row r="379" spans="1:10" s="349" customFormat="1" ht="92.4">
      <c r="A379" s="491" t="s">
        <v>5</v>
      </c>
      <c r="B379" s="491" t="s">
        <v>2017</v>
      </c>
      <c r="C379" s="491"/>
      <c r="D379" s="493"/>
      <c r="E379" s="504"/>
      <c r="F379" s="493"/>
    </row>
    <row r="380" spans="1:10" s="349" customFormat="1" ht="343.2">
      <c r="A380" s="491"/>
      <c r="B380" s="491" t="s">
        <v>2629</v>
      </c>
      <c r="C380" s="491"/>
      <c r="D380" s="493"/>
      <c r="E380" s="504"/>
      <c r="F380" s="493"/>
    </row>
    <row r="381" spans="1:10" s="349" customFormat="1">
      <c r="A381" s="491"/>
      <c r="B381" s="491"/>
      <c r="C381" s="491" t="s">
        <v>291</v>
      </c>
      <c r="D381" s="493">
        <v>10</v>
      </c>
      <c r="E381" s="504">
        <v>70</v>
      </c>
      <c r="F381" s="493">
        <f>D381*E381</f>
        <v>700</v>
      </c>
    </row>
    <row r="382" spans="1:10" s="349" customFormat="1">
      <c r="A382" s="491"/>
      <c r="B382" s="491"/>
      <c r="C382" s="491"/>
      <c r="D382" s="493"/>
      <c r="E382" s="504"/>
      <c r="F382" s="493"/>
    </row>
    <row r="383" spans="1:10" s="349" customFormat="1" ht="56.25" customHeight="1">
      <c r="A383" s="491" t="s">
        <v>49</v>
      </c>
      <c r="B383" s="491" t="s">
        <v>2018</v>
      </c>
      <c r="C383" s="491"/>
      <c r="D383" s="493"/>
      <c r="E383" s="504"/>
      <c r="F383" s="493"/>
    </row>
    <row r="384" spans="1:10" s="349" customFormat="1" ht="234" customHeight="1">
      <c r="A384" s="491"/>
      <c r="B384" s="491" t="s">
        <v>2630</v>
      </c>
      <c r="C384" s="491"/>
      <c r="D384" s="493"/>
      <c r="E384" s="504"/>
      <c r="F384" s="493"/>
    </row>
    <row r="385" spans="1:6" s="349" customFormat="1">
      <c r="A385" s="491"/>
      <c r="B385" s="491"/>
      <c r="C385" s="491" t="s">
        <v>291</v>
      </c>
      <c r="D385" s="493">
        <v>20</v>
      </c>
      <c r="E385" s="504">
        <v>80</v>
      </c>
      <c r="F385" s="493">
        <f>D385*E385</f>
        <v>1600</v>
      </c>
    </row>
    <row r="386" spans="1:6" s="349" customFormat="1">
      <c r="A386" s="491"/>
      <c r="B386" s="491"/>
      <c r="C386" s="491"/>
      <c r="D386" s="493"/>
      <c r="E386" s="504"/>
      <c r="F386" s="493"/>
    </row>
    <row r="387" spans="1:6" s="349" customFormat="1" ht="57.75" customHeight="1">
      <c r="A387" s="491" t="s">
        <v>58</v>
      </c>
      <c r="B387" s="491" t="s">
        <v>2019</v>
      </c>
      <c r="C387" s="491"/>
      <c r="D387" s="493"/>
      <c r="E387" s="504"/>
      <c r="F387" s="493"/>
    </row>
    <row r="388" spans="1:6" s="349" customFormat="1" ht="298.5" customHeight="1">
      <c r="A388" s="491"/>
      <c r="B388" s="491" t="s">
        <v>2631</v>
      </c>
      <c r="C388" s="491"/>
      <c r="D388" s="493"/>
      <c r="E388" s="504"/>
      <c r="F388" s="493"/>
    </row>
    <row r="389" spans="1:6" s="349" customFormat="1">
      <c r="A389" s="491"/>
      <c r="B389" s="491" t="s">
        <v>2013</v>
      </c>
      <c r="C389" s="491" t="s">
        <v>291</v>
      </c>
      <c r="D389" s="493">
        <v>11</v>
      </c>
      <c r="E389" s="504">
        <v>130</v>
      </c>
      <c r="F389" s="493">
        <f>D389*E389</f>
        <v>1430</v>
      </c>
    </row>
    <row r="390" spans="1:6" s="349" customFormat="1">
      <c r="A390" s="491"/>
      <c r="B390" s="491"/>
      <c r="C390" s="491"/>
      <c r="D390" s="493"/>
      <c r="E390" s="504"/>
      <c r="F390" s="493"/>
    </row>
    <row r="391" spans="1:6" s="349" customFormat="1" ht="54" customHeight="1">
      <c r="A391" s="491" t="s">
        <v>141</v>
      </c>
      <c r="B391" s="491" t="s">
        <v>2020</v>
      </c>
      <c r="C391" s="491"/>
      <c r="D391" s="493"/>
      <c r="E391" s="504"/>
      <c r="F391" s="493"/>
    </row>
    <row r="392" spans="1:6" s="349" customFormat="1" ht="218.25" customHeight="1">
      <c r="A392" s="491"/>
      <c r="B392" s="491" t="s">
        <v>2632</v>
      </c>
      <c r="C392" s="491"/>
      <c r="D392" s="493"/>
      <c r="E392" s="504"/>
      <c r="F392" s="493"/>
    </row>
    <row r="393" spans="1:6" s="349" customFormat="1">
      <c r="A393" s="491"/>
      <c r="B393" s="491"/>
      <c r="C393" s="491" t="s">
        <v>291</v>
      </c>
      <c r="D393" s="493">
        <v>10</v>
      </c>
      <c r="E393" s="504">
        <v>100</v>
      </c>
      <c r="F393" s="493">
        <f>D393*E393</f>
        <v>1000</v>
      </c>
    </row>
    <row r="394" spans="1:6" s="349" customFormat="1">
      <c r="A394" s="491"/>
      <c r="B394" s="491"/>
      <c r="C394" s="491"/>
      <c r="D394" s="493"/>
      <c r="E394" s="504"/>
      <c r="F394" s="493"/>
    </row>
    <row r="395" spans="1:6" s="349" customFormat="1" ht="54.75" customHeight="1">
      <c r="A395" s="491" t="s">
        <v>1191</v>
      </c>
      <c r="B395" s="491" t="s">
        <v>2021</v>
      </c>
      <c r="C395" s="491"/>
      <c r="D395" s="493"/>
      <c r="E395" s="504"/>
      <c r="F395" s="493"/>
    </row>
    <row r="396" spans="1:6" s="349" customFormat="1" ht="222" customHeight="1">
      <c r="A396" s="491"/>
      <c r="B396" s="491" t="s">
        <v>2633</v>
      </c>
      <c r="C396" s="491"/>
      <c r="D396" s="493"/>
      <c r="E396" s="504"/>
      <c r="F396" s="493"/>
    </row>
    <row r="397" spans="1:6" s="349" customFormat="1">
      <c r="A397" s="491"/>
      <c r="B397" s="491"/>
      <c r="C397" s="491" t="s">
        <v>291</v>
      </c>
      <c r="D397" s="493">
        <v>2</v>
      </c>
      <c r="E397" s="504">
        <v>100</v>
      </c>
      <c r="F397" s="493">
        <f>D397*E397</f>
        <v>200</v>
      </c>
    </row>
    <row r="398" spans="1:6" s="349" customFormat="1">
      <c r="A398" s="491"/>
      <c r="B398" s="491"/>
      <c r="C398" s="491"/>
      <c r="D398" s="493"/>
      <c r="E398" s="504"/>
      <c r="F398" s="493"/>
    </row>
    <row r="399" spans="1:6" s="349" customFormat="1" ht="54" customHeight="1">
      <c r="A399" s="491" t="s">
        <v>180</v>
      </c>
      <c r="B399" s="491" t="s">
        <v>2022</v>
      </c>
      <c r="C399" s="491"/>
      <c r="D399" s="493"/>
      <c r="E399" s="504"/>
      <c r="F399" s="493"/>
    </row>
    <row r="400" spans="1:6" s="349" customFormat="1" ht="207.75" customHeight="1">
      <c r="A400" s="491"/>
      <c r="B400" s="491" t="s">
        <v>2023</v>
      </c>
      <c r="C400" s="491"/>
      <c r="D400" s="493"/>
      <c r="E400" s="504"/>
      <c r="F400" s="493"/>
    </row>
    <row r="401" spans="1:6" s="349" customFormat="1">
      <c r="A401" s="491"/>
      <c r="B401" s="491"/>
      <c r="C401" s="491" t="s">
        <v>291</v>
      </c>
      <c r="D401" s="493">
        <v>2</v>
      </c>
      <c r="E401" s="504">
        <v>100</v>
      </c>
      <c r="F401" s="493">
        <f>D401*E401</f>
        <v>200</v>
      </c>
    </row>
    <row r="402" spans="1:6" s="349" customFormat="1">
      <c r="A402" s="491"/>
      <c r="B402" s="491"/>
      <c r="C402" s="491"/>
      <c r="D402" s="493"/>
      <c r="E402" s="504"/>
      <c r="F402" s="493"/>
    </row>
    <row r="403" spans="1:6" s="349" customFormat="1" ht="42.75" customHeight="1">
      <c r="A403" s="491" t="s">
        <v>1198</v>
      </c>
      <c r="B403" s="491" t="s">
        <v>2024</v>
      </c>
      <c r="C403" s="491"/>
      <c r="D403" s="493"/>
      <c r="E403" s="504"/>
      <c r="F403" s="493"/>
    </row>
    <row r="404" spans="1:6" s="349" customFormat="1" ht="207.75" customHeight="1">
      <c r="A404" s="491"/>
      <c r="B404" s="491" t="s">
        <v>2025</v>
      </c>
      <c r="C404" s="491"/>
      <c r="D404" s="493"/>
      <c r="E404" s="504"/>
      <c r="F404" s="493"/>
    </row>
    <row r="405" spans="1:6" s="349" customFormat="1">
      <c r="A405" s="491"/>
      <c r="B405" s="491"/>
      <c r="C405" s="491" t="s">
        <v>291</v>
      </c>
      <c r="D405" s="493">
        <v>5</v>
      </c>
      <c r="E405" s="504">
        <v>100</v>
      </c>
      <c r="F405" s="493">
        <f>D405*E405</f>
        <v>500</v>
      </c>
    </row>
    <row r="406" spans="1:6" s="349" customFormat="1">
      <c r="A406" s="491"/>
      <c r="B406" s="491"/>
      <c r="C406" s="491"/>
      <c r="D406" s="493"/>
      <c r="E406" s="504"/>
      <c r="F406" s="493"/>
    </row>
    <row r="407" spans="1:6" s="349" customFormat="1" ht="54" customHeight="1">
      <c r="A407" s="491" t="s">
        <v>231</v>
      </c>
      <c r="B407" s="491" t="s">
        <v>2026</v>
      </c>
      <c r="C407" s="491"/>
      <c r="D407" s="493"/>
      <c r="E407" s="504"/>
      <c r="F407" s="493"/>
    </row>
    <row r="408" spans="1:6" s="349" customFormat="1" ht="207" customHeight="1">
      <c r="A408" s="491"/>
      <c r="B408" s="491" t="s">
        <v>2027</v>
      </c>
      <c r="C408" s="491"/>
      <c r="D408" s="493"/>
      <c r="E408" s="504"/>
      <c r="F408" s="493"/>
    </row>
    <row r="409" spans="1:6" s="349" customFormat="1">
      <c r="A409" s="491"/>
      <c r="B409" s="491"/>
      <c r="C409" s="491" t="s">
        <v>291</v>
      </c>
      <c r="D409" s="493">
        <v>3</v>
      </c>
      <c r="E409" s="504">
        <v>80</v>
      </c>
      <c r="F409" s="493">
        <f>D409*E409</f>
        <v>240</v>
      </c>
    </row>
    <row r="410" spans="1:6" s="349" customFormat="1">
      <c r="A410" s="491"/>
      <c r="B410" s="491"/>
      <c r="C410" s="491"/>
      <c r="D410" s="493"/>
      <c r="E410" s="504"/>
      <c r="F410" s="493"/>
    </row>
    <row r="411" spans="1:6" s="349" customFormat="1" ht="53.25" customHeight="1">
      <c r="A411" s="491" t="s">
        <v>1202</v>
      </c>
      <c r="B411" s="491" t="s">
        <v>2028</v>
      </c>
      <c r="C411" s="491"/>
      <c r="D411" s="493"/>
      <c r="E411" s="504"/>
      <c r="F411" s="493"/>
    </row>
    <row r="412" spans="1:6" s="349" customFormat="1" ht="220.5" customHeight="1">
      <c r="A412" s="491"/>
      <c r="B412" s="491" t="s">
        <v>2634</v>
      </c>
      <c r="C412" s="491"/>
      <c r="D412" s="493"/>
      <c r="E412" s="504"/>
      <c r="F412" s="493"/>
    </row>
    <row r="413" spans="1:6" s="349" customFormat="1">
      <c r="A413" s="491"/>
      <c r="B413" s="491" t="s">
        <v>2013</v>
      </c>
      <c r="C413" s="491" t="s">
        <v>291</v>
      </c>
      <c r="D413" s="493">
        <v>5</v>
      </c>
      <c r="E413" s="504">
        <v>99</v>
      </c>
      <c r="F413" s="493">
        <f>D413*E413</f>
        <v>495</v>
      </c>
    </row>
    <row r="414" spans="1:6" s="349" customFormat="1">
      <c r="A414" s="491"/>
      <c r="B414" s="491"/>
      <c r="C414" s="491"/>
      <c r="D414" s="493"/>
      <c r="E414" s="504"/>
      <c r="F414" s="493"/>
    </row>
    <row r="415" spans="1:6" s="349" customFormat="1" ht="53.25" customHeight="1">
      <c r="A415" s="491" t="s">
        <v>1203</v>
      </c>
      <c r="B415" s="491" t="s">
        <v>2029</v>
      </c>
      <c r="C415" s="491"/>
      <c r="D415" s="493"/>
      <c r="E415" s="504"/>
      <c r="F415" s="493"/>
    </row>
    <row r="416" spans="1:6" s="349" customFormat="1" ht="220.5" customHeight="1">
      <c r="A416" s="491"/>
      <c r="B416" s="491" t="s">
        <v>2635</v>
      </c>
      <c r="C416" s="491"/>
      <c r="D416" s="493"/>
      <c r="E416" s="504"/>
      <c r="F416" s="493"/>
    </row>
    <row r="417" spans="1:7" s="349" customFormat="1">
      <c r="A417" s="491"/>
      <c r="B417" s="491"/>
      <c r="C417" s="491" t="s">
        <v>291</v>
      </c>
      <c r="D417" s="493">
        <v>2</v>
      </c>
      <c r="E417" s="504">
        <v>90</v>
      </c>
      <c r="F417" s="493">
        <f>D417*E417</f>
        <v>180</v>
      </c>
    </row>
    <row r="418" spans="1:7" s="349" customFormat="1">
      <c r="A418" s="491"/>
      <c r="B418" s="491"/>
      <c r="C418" s="491"/>
      <c r="D418" s="493"/>
      <c r="E418" s="504"/>
      <c r="F418" s="493"/>
    </row>
    <row r="419" spans="1:7" s="349" customFormat="1" ht="54.75" customHeight="1">
      <c r="A419" s="491" t="s">
        <v>1205</v>
      </c>
      <c r="B419" s="491" t="s">
        <v>2030</v>
      </c>
      <c r="C419" s="491"/>
      <c r="D419" s="493"/>
      <c r="E419" s="504"/>
      <c r="F419" s="493"/>
    </row>
    <row r="420" spans="1:7" s="349" customFormat="1" ht="222.75" customHeight="1">
      <c r="A420" s="491"/>
      <c r="B420" s="491" t="s">
        <v>2636</v>
      </c>
      <c r="C420" s="491"/>
      <c r="D420" s="493"/>
      <c r="E420" s="504"/>
      <c r="F420" s="493"/>
    </row>
    <row r="421" spans="1:7" s="349" customFormat="1">
      <c r="A421" s="491"/>
      <c r="B421" s="491"/>
      <c r="C421" s="491" t="s">
        <v>291</v>
      </c>
      <c r="D421" s="493">
        <v>13</v>
      </c>
      <c r="E421" s="504">
        <v>100</v>
      </c>
      <c r="F421" s="493">
        <f>D421*E421</f>
        <v>1300</v>
      </c>
    </row>
    <row r="422" spans="1:7" s="388" customFormat="1">
      <c r="A422" s="503"/>
      <c r="B422" s="503"/>
      <c r="C422" s="503"/>
      <c r="D422" s="504"/>
      <c r="E422" s="504"/>
      <c r="F422" s="504"/>
    </row>
    <row r="423" spans="1:7" s="388" customFormat="1" ht="57" customHeight="1">
      <c r="A423" s="503" t="s">
        <v>1206</v>
      </c>
      <c r="B423" s="503" t="s">
        <v>2031</v>
      </c>
      <c r="C423" s="503"/>
      <c r="D423" s="504"/>
      <c r="E423" s="504"/>
      <c r="F423" s="504"/>
    </row>
    <row r="424" spans="1:7" s="388" customFormat="1" ht="218.25" customHeight="1">
      <c r="A424" s="503"/>
      <c r="B424" s="503" t="s">
        <v>2637</v>
      </c>
      <c r="C424" s="503"/>
      <c r="D424" s="504"/>
      <c r="E424" s="504"/>
      <c r="F424" s="504"/>
    </row>
    <row r="425" spans="1:7" s="388" customFormat="1">
      <c r="A425" s="503"/>
      <c r="B425" s="503"/>
      <c r="C425" s="503" t="s">
        <v>291</v>
      </c>
      <c r="D425" s="504">
        <v>3</v>
      </c>
      <c r="E425" s="504">
        <v>100</v>
      </c>
      <c r="F425" s="504">
        <f>D425*E425</f>
        <v>300</v>
      </c>
    </row>
    <row r="426" spans="1:7" s="388" customFormat="1">
      <c r="A426" s="503"/>
      <c r="B426" s="503"/>
      <c r="C426" s="503"/>
      <c r="D426" s="504"/>
      <c r="E426" s="504"/>
      <c r="F426" s="504"/>
    </row>
    <row r="427" spans="1:7" s="388" customFormat="1" ht="105.6">
      <c r="A427" s="503" t="s">
        <v>1210</v>
      </c>
      <c r="B427" s="503" t="s">
        <v>2032</v>
      </c>
      <c r="C427" s="503"/>
      <c r="D427" s="504"/>
      <c r="E427" s="504"/>
      <c r="F427" s="504"/>
    </row>
    <row r="428" spans="1:7" s="388" customFormat="1" ht="26.4">
      <c r="A428" s="503"/>
      <c r="B428" s="503" t="s">
        <v>2033</v>
      </c>
      <c r="C428" s="503" t="s">
        <v>291</v>
      </c>
      <c r="D428" s="504">
        <v>1</v>
      </c>
      <c r="E428" s="504">
        <v>95</v>
      </c>
      <c r="F428" s="504">
        <f>D428*E428</f>
        <v>95</v>
      </c>
    </row>
    <row r="429" spans="1:7" s="388" customFormat="1">
      <c r="A429" s="503"/>
      <c r="B429" s="503"/>
      <c r="C429" s="503"/>
      <c r="D429" s="504"/>
      <c r="E429" s="504"/>
      <c r="F429" s="504"/>
    </row>
    <row r="430" spans="1:7" s="388" customFormat="1" ht="26.4">
      <c r="A430" s="503"/>
      <c r="B430" s="503" t="s">
        <v>2034</v>
      </c>
      <c r="C430" s="503"/>
      <c r="D430" s="504"/>
      <c r="E430" s="504"/>
      <c r="F430" s="504"/>
    </row>
    <row r="431" spans="1:7" s="388" customFormat="1">
      <c r="A431" s="503"/>
      <c r="B431" s="503"/>
      <c r="C431" s="503"/>
      <c r="D431" s="504"/>
      <c r="E431" s="504"/>
      <c r="F431" s="504"/>
    </row>
    <row r="432" spans="1:7" s="507" customFormat="1">
      <c r="A432" s="505"/>
      <c r="B432" s="505" t="s">
        <v>2035</v>
      </c>
      <c r="C432" s="505"/>
      <c r="D432" s="506"/>
      <c r="E432" s="506"/>
      <c r="F432" s="506">
        <f>SUM(F369:F428)</f>
        <v>18840</v>
      </c>
      <c r="G432" s="509"/>
    </row>
    <row r="433" spans="1:7" s="518" customFormat="1">
      <c r="A433" s="515"/>
      <c r="B433" s="515"/>
      <c r="C433" s="515"/>
      <c r="D433" s="516"/>
      <c r="E433" s="506"/>
      <c r="F433" s="517"/>
      <c r="G433" s="510"/>
    </row>
    <row r="434" spans="1:7" s="510" customFormat="1">
      <c r="A434" s="519"/>
      <c r="B434" s="519"/>
      <c r="C434" s="519"/>
      <c r="D434" s="517"/>
      <c r="E434" s="504"/>
      <c r="F434" s="517"/>
    </row>
    <row r="435" spans="1:7" s="496" customFormat="1" ht="26.4">
      <c r="A435" s="494" t="s">
        <v>939</v>
      </c>
      <c r="B435" s="494" t="s">
        <v>2036</v>
      </c>
      <c r="C435" s="494"/>
      <c r="D435" s="495"/>
      <c r="E435" s="495"/>
      <c r="F435" s="511"/>
      <c r="G435" s="388"/>
    </row>
    <row r="436" spans="1:7" s="388" customFormat="1">
      <c r="A436" s="503"/>
      <c r="B436" s="503"/>
      <c r="C436" s="503"/>
      <c r="D436" s="504"/>
      <c r="E436" s="504"/>
      <c r="F436" s="504"/>
    </row>
    <row r="437" spans="1:7" s="388" customFormat="1" ht="52.8">
      <c r="A437" s="503" t="s">
        <v>0</v>
      </c>
      <c r="B437" s="503" t="s">
        <v>2037</v>
      </c>
      <c r="C437" s="503"/>
      <c r="D437" s="504"/>
      <c r="E437" s="504"/>
      <c r="F437" s="504"/>
    </row>
    <row r="438" spans="1:7" s="388" customFormat="1">
      <c r="A438" s="503"/>
      <c r="B438" s="503" t="s">
        <v>2038</v>
      </c>
      <c r="C438" s="503" t="s">
        <v>291</v>
      </c>
      <c r="D438" s="504">
        <v>9</v>
      </c>
      <c r="E438" s="504">
        <v>12</v>
      </c>
      <c r="F438" s="504">
        <f>D438*E438</f>
        <v>108</v>
      </c>
    </row>
    <row r="439" spans="1:7" s="388" customFormat="1">
      <c r="A439" s="503"/>
      <c r="B439" s="503" t="s">
        <v>2039</v>
      </c>
      <c r="C439" s="503" t="s">
        <v>291</v>
      </c>
      <c r="D439" s="504">
        <v>6</v>
      </c>
      <c r="E439" s="504">
        <v>13</v>
      </c>
      <c r="F439" s="504">
        <f t="shared" ref="F439:F502" si="30">D439*E439</f>
        <v>78</v>
      </c>
    </row>
    <row r="440" spans="1:7" s="388" customFormat="1">
      <c r="A440" s="503"/>
      <c r="B440" s="503" t="s">
        <v>2040</v>
      </c>
      <c r="C440" s="503" t="s">
        <v>291</v>
      </c>
      <c r="D440" s="504">
        <v>6</v>
      </c>
      <c r="E440" s="504">
        <v>14</v>
      </c>
      <c r="F440" s="504">
        <f t="shared" si="30"/>
        <v>84</v>
      </c>
    </row>
    <row r="441" spans="1:7" s="388" customFormat="1">
      <c r="A441" s="503"/>
      <c r="B441" s="503" t="s">
        <v>2041</v>
      </c>
      <c r="C441" s="503" t="s">
        <v>291</v>
      </c>
      <c r="D441" s="504">
        <v>2</v>
      </c>
      <c r="E441" s="504">
        <v>15</v>
      </c>
      <c r="F441" s="504">
        <f t="shared" si="30"/>
        <v>30</v>
      </c>
    </row>
    <row r="442" spans="1:7" s="388" customFormat="1">
      <c r="A442" s="503"/>
      <c r="B442" s="503" t="s">
        <v>2042</v>
      </c>
      <c r="C442" s="503" t="s">
        <v>291</v>
      </c>
      <c r="D442" s="504">
        <f>D441</f>
        <v>2</v>
      </c>
      <c r="E442" s="504">
        <v>1</v>
      </c>
      <c r="F442" s="504">
        <f t="shared" si="30"/>
        <v>2</v>
      </c>
    </row>
    <row r="443" spans="1:7" s="388" customFormat="1">
      <c r="A443" s="503"/>
      <c r="B443" s="503" t="s">
        <v>2043</v>
      </c>
      <c r="C443" s="503" t="s">
        <v>291</v>
      </c>
      <c r="D443" s="504">
        <v>1</v>
      </c>
      <c r="E443" s="504">
        <v>36</v>
      </c>
      <c r="F443" s="504">
        <f t="shared" si="30"/>
        <v>36</v>
      </c>
    </row>
    <row r="444" spans="1:7" s="388" customFormat="1">
      <c r="A444" s="503"/>
      <c r="B444" s="503" t="s">
        <v>2044</v>
      </c>
      <c r="C444" s="503" t="s">
        <v>291</v>
      </c>
      <c r="D444" s="504">
        <f>D443</f>
        <v>1</v>
      </c>
      <c r="E444" s="504">
        <v>1</v>
      </c>
      <c r="F444" s="504">
        <f t="shared" si="30"/>
        <v>1</v>
      </c>
    </row>
    <row r="445" spans="1:7" s="388" customFormat="1" ht="26.4">
      <c r="A445" s="503"/>
      <c r="B445" s="503" t="s">
        <v>2045</v>
      </c>
      <c r="C445" s="503" t="s">
        <v>291</v>
      </c>
      <c r="D445" s="504">
        <v>2</v>
      </c>
      <c r="E445" s="504">
        <v>14</v>
      </c>
      <c r="F445" s="504">
        <f t="shared" si="30"/>
        <v>28</v>
      </c>
    </row>
    <row r="446" spans="1:7" s="388" customFormat="1" ht="26.4">
      <c r="A446" s="503"/>
      <c r="B446" s="503" t="s">
        <v>2046</v>
      </c>
      <c r="C446" s="503" t="s">
        <v>291</v>
      </c>
      <c r="D446" s="504">
        <v>18</v>
      </c>
      <c r="E446" s="504">
        <v>14</v>
      </c>
      <c r="F446" s="504">
        <f t="shared" si="30"/>
        <v>252</v>
      </c>
    </row>
    <row r="447" spans="1:7" s="388" customFormat="1" ht="26.4">
      <c r="A447" s="503"/>
      <c r="B447" s="503" t="s">
        <v>2047</v>
      </c>
      <c r="C447" s="503" t="s">
        <v>291</v>
      </c>
      <c r="D447" s="504">
        <v>20</v>
      </c>
      <c r="E447" s="504">
        <v>14</v>
      </c>
      <c r="F447" s="504">
        <f>E447*D447</f>
        <v>280</v>
      </c>
    </row>
    <row r="448" spans="1:7" s="388" customFormat="1">
      <c r="A448" s="503"/>
      <c r="B448" s="503" t="s">
        <v>2048</v>
      </c>
      <c r="C448" s="503" t="s">
        <v>291</v>
      </c>
      <c r="D448" s="504">
        <v>1</v>
      </c>
      <c r="E448" s="504">
        <v>14</v>
      </c>
      <c r="F448" s="504">
        <f t="shared" si="30"/>
        <v>14</v>
      </c>
    </row>
    <row r="449" spans="1:6" s="388" customFormat="1" ht="26.4">
      <c r="A449" s="503"/>
      <c r="B449" s="503" t="s">
        <v>2049</v>
      </c>
      <c r="C449" s="503" t="s">
        <v>291</v>
      </c>
      <c r="D449" s="504">
        <v>1</v>
      </c>
      <c r="E449" s="504">
        <v>28</v>
      </c>
      <c r="F449" s="504">
        <f t="shared" si="30"/>
        <v>28</v>
      </c>
    </row>
    <row r="450" spans="1:6" s="388" customFormat="1">
      <c r="A450" s="503"/>
      <c r="B450" s="503" t="s">
        <v>2050</v>
      </c>
      <c r="C450" s="503" t="s">
        <v>291</v>
      </c>
      <c r="D450" s="504">
        <v>15</v>
      </c>
      <c r="E450" s="504">
        <v>13</v>
      </c>
      <c r="F450" s="504">
        <f t="shared" si="30"/>
        <v>195</v>
      </c>
    </row>
    <row r="451" spans="1:6" s="388" customFormat="1">
      <c r="A451" s="503"/>
      <c r="B451" s="503" t="s">
        <v>2051</v>
      </c>
      <c r="C451" s="503" t="s">
        <v>291</v>
      </c>
      <c r="D451" s="504">
        <v>8</v>
      </c>
      <c r="E451" s="504">
        <v>26</v>
      </c>
      <c r="F451" s="504">
        <f t="shared" si="30"/>
        <v>208</v>
      </c>
    </row>
    <row r="452" spans="1:6" s="388" customFormat="1">
      <c r="A452" s="503"/>
      <c r="B452" s="503" t="s">
        <v>2052</v>
      </c>
      <c r="C452" s="503" t="s">
        <v>291</v>
      </c>
      <c r="D452" s="504">
        <v>5</v>
      </c>
      <c r="E452" s="504">
        <v>5</v>
      </c>
      <c r="F452" s="504">
        <f t="shared" si="30"/>
        <v>25</v>
      </c>
    </row>
    <row r="453" spans="1:6" s="388" customFormat="1">
      <c r="A453" s="503"/>
      <c r="B453" s="503" t="s">
        <v>2053</v>
      </c>
      <c r="C453" s="503" t="s">
        <v>291</v>
      </c>
      <c r="D453" s="504">
        <f>D452</f>
        <v>5</v>
      </c>
      <c r="E453" s="504">
        <v>1</v>
      </c>
      <c r="F453" s="504">
        <f t="shared" si="30"/>
        <v>5</v>
      </c>
    </row>
    <row r="454" spans="1:6" s="388" customFormat="1">
      <c r="A454" s="503"/>
      <c r="B454" s="503" t="s">
        <v>2054</v>
      </c>
      <c r="C454" s="503" t="s">
        <v>291</v>
      </c>
      <c r="D454" s="504">
        <v>8</v>
      </c>
      <c r="E454" s="504">
        <v>13</v>
      </c>
      <c r="F454" s="504">
        <f t="shared" si="30"/>
        <v>104</v>
      </c>
    </row>
    <row r="455" spans="1:6" s="388" customFormat="1">
      <c r="A455" s="503"/>
      <c r="B455" s="503" t="s">
        <v>2042</v>
      </c>
      <c r="C455" s="503" t="s">
        <v>291</v>
      </c>
      <c r="D455" s="504">
        <f>D454</f>
        <v>8</v>
      </c>
      <c r="E455" s="504">
        <v>1</v>
      </c>
      <c r="F455" s="504">
        <f t="shared" si="30"/>
        <v>8</v>
      </c>
    </row>
    <row r="456" spans="1:6" s="388" customFormat="1">
      <c r="A456" s="503"/>
      <c r="B456" s="503" t="s">
        <v>2055</v>
      </c>
      <c r="C456" s="503" t="s">
        <v>291</v>
      </c>
      <c r="D456" s="504">
        <v>2</v>
      </c>
      <c r="E456" s="504">
        <v>26</v>
      </c>
      <c r="F456" s="504">
        <f t="shared" si="30"/>
        <v>52</v>
      </c>
    </row>
    <row r="457" spans="1:6" s="388" customFormat="1">
      <c r="A457" s="503"/>
      <c r="B457" s="503" t="s">
        <v>2056</v>
      </c>
      <c r="C457" s="503" t="s">
        <v>291</v>
      </c>
      <c r="D457" s="504">
        <f>D456</f>
        <v>2</v>
      </c>
      <c r="E457" s="504">
        <v>1</v>
      </c>
      <c r="F457" s="504">
        <f t="shared" si="30"/>
        <v>2</v>
      </c>
    </row>
    <row r="458" spans="1:6" s="388" customFormat="1">
      <c r="A458" s="503"/>
      <c r="B458" s="503" t="s">
        <v>2057</v>
      </c>
      <c r="C458" s="503" t="s">
        <v>291</v>
      </c>
      <c r="D458" s="504">
        <v>4</v>
      </c>
      <c r="E458" s="504">
        <v>14</v>
      </c>
      <c r="F458" s="504">
        <f t="shared" si="30"/>
        <v>56</v>
      </c>
    </row>
    <row r="459" spans="1:6" s="388" customFormat="1" ht="26.4">
      <c r="A459" s="503"/>
      <c r="B459" s="503" t="s">
        <v>2058</v>
      </c>
      <c r="C459" s="503" t="s">
        <v>291</v>
      </c>
      <c r="D459" s="504">
        <v>30</v>
      </c>
      <c r="E459" s="504">
        <v>28</v>
      </c>
      <c r="F459" s="504">
        <f t="shared" si="30"/>
        <v>840</v>
      </c>
    </row>
    <row r="460" spans="1:6" s="388" customFormat="1" ht="26.4">
      <c r="A460" s="503"/>
      <c r="B460" s="503" t="s">
        <v>2059</v>
      </c>
      <c r="C460" s="503" t="s">
        <v>291</v>
      </c>
      <c r="D460" s="504">
        <v>2</v>
      </c>
      <c r="E460" s="504">
        <v>55</v>
      </c>
      <c r="F460" s="504">
        <f t="shared" si="30"/>
        <v>110</v>
      </c>
    </row>
    <row r="461" spans="1:6" s="388" customFormat="1" ht="26.4">
      <c r="A461" s="503"/>
      <c r="B461" s="503" t="s">
        <v>2060</v>
      </c>
      <c r="C461" s="503" t="s">
        <v>291</v>
      </c>
      <c r="D461" s="504">
        <v>2</v>
      </c>
      <c r="E461" s="504">
        <v>62</v>
      </c>
      <c r="F461" s="504">
        <f t="shared" si="30"/>
        <v>124</v>
      </c>
    </row>
    <row r="462" spans="1:6" s="388" customFormat="1" ht="26.4">
      <c r="A462" s="503"/>
      <c r="B462" s="503" t="s">
        <v>2061</v>
      </c>
      <c r="C462" s="503" t="s">
        <v>291</v>
      </c>
      <c r="D462" s="504">
        <v>6</v>
      </c>
      <c r="E462" s="504">
        <v>65</v>
      </c>
      <c r="F462" s="504">
        <f t="shared" si="30"/>
        <v>390</v>
      </c>
    </row>
    <row r="463" spans="1:6" s="388" customFormat="1" ht="26.4">
      <c r="A463" s="503"/>
      <c r="B463" s="503" t="s">
        <v>2062</v>
      </c>
      <c r="C463" s="503" t="s">
        <v>291</v>
      </c>
      <c r="D463" s="504">
        <v>1</v>
      </c>
      <c r="E463" s="504">
        <v>25</v>
      </c>
      <c r="F463" s="504">
        <f t="shared" si="30"/>
        <v>25</v>
      </c>
    </row>
    <row r="464" spans="1:6" s="388" customFormat="1" ht="26.4">
      <c r="A464" s="503"/>
      <c r="B464" s="503" t="s">
        <v>2063</v>
      </c>
      <c r="C464" s="503" t="s">
        <v>291</v>
      </c>
      <c r="D464" s="504">
        <v>8</v>
      </c>
      <c r="E464" s="504">
        <v>32</v>
      </c>
      <c r="F464" s="504">
        <f t="shared" si="30"/>
        <v>256</v>
      </c>
    </row>
    <row r="465" spans="1:6" s="388" customFormat="1" ht="26.4">
      <c r="A465" s="503"/>
      <c r="B465" s="503" t="s">
        <v>2064</v>
      </c>
      <c r="C465" s="503" t="s">
        <v>291</v>
      </c>
      <c r="D465" s="504">
        <v>1</v>
      </c>
      <c r="E465" s="504">
        <v>11</v>
      </c>
      <c r="F465" s="504">
        <f t="shared" si="30"/>
        <v>11</v>
      </c>
    </row>
    <row r="466" spans="1:6" s="388" customFormat="1" ht="26.4">
      <c r="A466" s="503"/>
      <c r="B466" s="503" t="s">
        <v>2065</v>
      </c>
      <c r="C466" s="503" t="s">
        <v>291</v>
      </c>
      <c r="D466" s="504">
        <v>8</v>
      </c>
      <c r="E466" s="504">
        <v>16</v>
      </c>
      <c r="F466" s="504">
        <f t="shared" si="30"/>
        <v>128</v>
      </c>
    </row>
    <row r="467" spans="1:6" s="388" customFormat="1">
      <c r="A467" s="503"/>
      <c r="B467" s="503"/>
      <c r="C467" s="503"/>
      <c r="D467" s="504"/>
      <c r="E467" s="504"/>
      <c r="F467" s="504"/>
    </row>
    <row r="468" spans="1:6" s="388" customFormat="1" ht="52.8">
      <c r="A468" s="503" t="s">
        <v>4</v>
      </c>
      <c r="B468" s="503" t="s">
        <v>2066</v>
      </c>
      <c r="C468" s="503" t="s">
        <v>291</v>
      </c>
      <c r="D468" s="504">
        <v>2</v>
      </c>
      <c r="E468" s="504">
        <v>175</v>
      </c>
      <c r="F468" s="504">
        <f t="shared" ref="F468" si="31">D468*E468</f>
        <v>350</v>
      </c>
    </row>
    <row r="469" spans="1:6" s="388" customFormat="1">
      <c r="A469" s="503"/>
      <c r="B469" s="503"/>
      <c r="C469" s="503"/>
      <c r="D469" s="504"/>
      <c r="E469" s="504"/>
      <c r="F469" s="504"/>
    </row>
    <row r="470" spans="1:6" s="388" customFormat="1" ht="52.8">
      <c r="A470" s="503" t="s">
        <v>3</v>
      </c>
      <c r="B470" s="503" t="s">
        <v>2067</v>
      </c>
      <c r="C470" s="503" t="s">
        <v>291</v>
      </c>
      <c r="D470" s="504">
        <v>15</v>
      </c>
      <c r="E470" s="504">
        <v>89</v>
      </c>
      <c r="F470" s="504">
        <f>E470*D470</f>
        <v>1335</v>
      </c>
    </row>
    <row r="471" spans="1:6" s="388" customFormat="1">
      <c r="A471" s="503"/>
      <c r="B471" s="503"/>
      <c r="C471" s="503"/>
      <c r="D471" s="504"/>
      <c r="E471" s="504"/>
      <c r="F471" s="504"/>
    </row>
    <row r="472" spans="1:6" s="388" customFormat="1" ht="52.8">
      <c r="A472" s="503" t="s">
        <v>5</v>
      </c>
      <c r="B472" s="503" t="s">
        <v>2068</v>
      </c>
      <c r="C472" s="503" t="s">
        <v>1778</v>
      </c>
      <c r="D472" s="504">
        <v>1</v>
      </c>
      <c r="E472" s="504">
        <v>55</v>
      </c>
      <c r="F472" s="504">
        <f t="shared" ref="F472" si="32">D472*E472</f>
        <v>55</v>
      </c>
    </row>
    <row r="473" spans="1:6" s="388" customFormat="1">
      <c r="A473" s="503"/>
      <c r="B473" s="503"/>
      <c r="C473" s="503"/>
      <c r="D473" s="504"/>
      <c r="E473" s="504"/>
      <c r="F473" s="504"/>
    </row>
    <row r="474" spans="1:6" s="388" customFormat="1" ht="26.4">
      <c r="A474" s="503" t="s">
        <v>49</v>
      </c>
      <c r="B474" s="503" t="s">
        <v>2069</v>
      </c>
      <c r="C474" s="503" t="s">
        <v>291</v>
      </c>
      <c r="D474" s="504">
        <v>75</v>
      </c>
      <c r="E474" s="504">
        <v>13</v>
      </c>
      <c r="F474" s="504">
        <f t="shared" si="30"/>
        <v>975</v>
      </c>
    </row>
    <row r="475" spans="1:6" s="388" customFormat="1">
      <c r="A475" s="503"/>
      <c r="B475" s="503"/>
      <c r="C475" s="503"/>
      <c r="D475" s="504"/>
      <c r="E475" s="504"/>
      <c r="F475" s="504"/>
    </row>
    <row r="476" spans="1:6" s="388" customFormat="1" ht="26.4">
      <c r="A476" s="503" t="s">
        <v>58</v>
      </c>
      <c r="B476" s="503" t="s">
        <v>2070</v>
      </c>
      <c r="C476" s="503" t="s">
        <v>291</v>
      </c>
      <c r="D476" s="504">
        <v>20</v>
      </c>
      <c r="E476" s="504">
        <v>12</v>
      </c>
      <c r="F476" s="504">
        <f t="shared" si="30"/>
        <v>240</v>
      </c>
    </row>
    <row r="477" spans="1:6" s="388" customFormat="1">
      <c r="A477" s="503"/>
      <c r="B477" s="503"/>
      <c r="C477" s="503"/>
      <c r="D477" s="504"/>
      <c r="E477" s="504"/>
      <c r="F477" s="504"/>
    </row>
    <row r="478" spans="1:6" s="388" customFormat="1" ht="26.4">
      <c r="A478" s="503" t="s">
        <v>141</v>
      </c>
      <c r="B478" s="503" t="s">
        <v>2071</v>
      </c>
      <c r="C478" s="503"/>
      <c r="D478" s="504"/>
      <c r="E478" s="504"/>
      <c r="F478" s="504"/>
    </row>
    <row r="479" spans="1:6" s="388" customFormat="1">
      <c r="A479" s="503"/>
      <c r="B479" s="503" t="s">
        <v>2072</v>
      </c>
      <c r="C479" s="503" t="s">
        <v>291</v>
      </c>
      <c r="D479" s="504">
        <v>55</v>
      </c>
      <c r="E479" s="504">
        <v>15</v>
      </c>
      <c r="F479" s="504">
        <f t="shared" si="30"/>
        <v>825</v>
      </c>
    </row>
    <row r="480" spans="1:6" s="388" customFormat="1">
      <c r="A480" s="503"/>
      <c r="B480" s="503" t="s">
        <v>2073</v>
      </c>
      <c r="C480" s="503" t="s">
        <v>291</v>
      </c>
      <c r="D480" s="504">
        <v>30</v>
      </c>
      <c r="E480" s="504">
        <v>25</v>
      </c>
      <c r="F480" s="504">
        <f t="shared" si="30"/>
        <v>750</v>
      </c>
    </row>
    <row r="481" spans="1:7" s="388" customFormat="1">
      <c r="A481" s="503"/>
      <c r="B481" s="503"/>
      <c r="C481" s="503"/>
      <c r="D481" s="504"/>
      <c r="E481" s="504"/>
      <c r="F481" s="504"/>
    </row>
    <row r="482" spans="1:7" s="388" customFormat="1" ht="79.2">
      <c r="A482" s="503" t="s">
        <v>1191</v>
      </c>
      <c r="B482" s="503" t="s">
        <v>2074</v>
      </c>
      <c r="C482" s="503" t="s">
        <v>2075</v>
      </c>
      <c r="D482" s="504">
        <v>1</v>
      </c>
      <c r="E482" s="504">
        <v>1600</v>
      </c>
      <c r="F482" s="504">
        <f t="shared" ref="F482" si="33">D482*E482</f>
        <v>1600</v>
      </c>
    </row>
    <row r="483" spans="1:7" s="388" customFormat="1">
      <c r="A483" s="503"/>
      <c r="B483" s="503"/>
      <c r="C483" s="503"/>
      <c r="D483" s="504"/>
      <c r="E483" s="504"/>
      <c r="F483" s="504"/>
    </row>
    <row r="484" spans="1:7" s="388" customFormat="1" ht="79.2">
      <c r="A484" s="503" t="s">
        <v>180</v>
      </c>
      <c r="B484" s="503" t="s">
        <v>2076</v>
      </c>
      <c r="C484" s="503" t="s">
        <v>291</v>
      </c>
      <c r="D484" s="504">
        <v>10</v>
      </c>
      <c r="E484" s="504">
        <v>45</v>
      </c>
      <c r="F484" s="504">
        <f>D484*E484</f>
        <v>450</v>
      </c>
    </row>
    <row r="485" spans="1:7" s="388" customFormat="1">
      <c r="A485" s="503"/>
      <c r="B485" s="503"/>
      <c r="C485" s="503"/>
      <c r="D485" s="504"/>
      <c r="E485" s="504"/>
      <c r="F485" s="504"/>
    </row>
    <row r="486" spans="1:7" s="388" customFormat="1" ht="39" customHeight="1">
      <c r="A486" s="503" t="s">
        <v>1198</v>
      </c>
      <c r="B486" s="503" t="s">
        <v>2077</v>
      </c>
      <c r="C486" s="503" t="s">
        <v>291</v>
      </c>
      <c r="D486" s="504">
        <v>5</v>
      </c>
      <c r="E486" s="504">
        <v>55</v>
      </c>
      <c r="F486" s="504">
        <f>D486*E486</f>
        <v>275</v>
      </c>
    </row>
    <row r="487" spans="1:7" s="388" customFormat="1">
      <c r="A487" s="503"/>
      <c r="B487" s="503"/>
      <c r="C487" s="503"/>
      <c r="D487" s="504"/>
      <c r="E487" s="504"/>
      <c r="F487" s="504"/>
    </row>
    <row r="488" spans="1:7" s="507" customFormat="1" ht="26.4">
      <c r="A488" s="505"/>
      <c r="B488" s="505" t="s">
        <v>2078</v>
      </c>
      <c r="C488" s="505"/>
      <c r="D488" s="506"/>
      <c r="E488" s="506"/>
      <c r="F488" s="506">
        <f>SUM(F438:F486)</f>
        <v>10335</v>
      </c>
      <c r="G488" s="388"/>
    </row>
    <row r="489" spans="1:7" s="388" customFormat="1">
      <c r="A489" s="503"/>
      <c r="B489" s="503"/>
      <c r="C489" s="503"/>
      <c r="D489" s="504"/>
      <c r="E489" s="504"/>
      <c r="F489" s="504"/>
    </row>
    <row r="490" spans="1:7" s="388" customFormat="1">
      <c r="A490" s="503"/>
      <c r="B490" s="503"/>
      <c r="C490" s="503"/>
      <c r="D490" s="504"/>
      <c r="E490" s="504"/>
      <c r="F490" s="504"/>
    </row>
    <row r="491" spans="1:7" s="496" customFormat="1">
      <c r="A491" s="494" t="s">
        <v>940</v>
      </c>
      <c r="B491" s="494" t="s">
        <v>2079</v>
      </c>
      <c r="C491" s="494"/>
      <c r="D491" s="495"/>
      <c r="E491" s="495"/>
      <c r="F491" s="511"/>
      <c r="G491" s="388"/>
    </row>
    <row r="492" spans="1:7" s="388" customFormat="1">
      <c r="A492" s="503"/>
      <c r="B492" s="503"/>
      <c r="C492" s="503"/>
      <c r="D492" s="504"/>
      <c r="E492" s="504"/>
      <c r="F492" s="504"/>
    </row>
    <row r="493" spans="1:7" s="388" customFormat="1" ht="52.8">
      <c r="A493" s="503" t="s">
        <v>0</v>
      </c>
      <c r="B493" s="503" t="s">
        <v>2080</v>
      </c>
      <c r="C493" s="503"/>
      <c r="D493" s="504"/>
      <c r="E493" s="504"/>
      <c r="F493" s="504"/>
    </row>
    <row r="494" spans="1:7" s="388" customFormat="1">
      <c r="A494" s="503"/>
      <c r="B494" s="503" t="s">
        <v>1879</v>
      </c>
      <c r="C494" s="503" t="s">
        <v>1484</v>
      </c>
      <c r="D494" s="504">
        <v>120</v>
      </c>
      <c r="E494" s="504">
        <v>166</v>
      </c>
      <c r="F494" s="504">
        <f>SUM(D494*E494)</f>
        <v>19920</v>
      </c>
    </row>
    <row r="495" spans="1:7" s="388" customFormat="1">
      <c r="A495" s="503"/>
      <c r="B495" s="503" t="s">
        <v>2081</v>
      </c>
      <c r="C495" s="503" t="s">
        <v>1484</v>
      </c>
      <c r="D495" s="504">
        <v>45</v>
      </c>
      <c r="E495" s="504">
        <v>106</v>
      </c>
      <c r="F495" s="504">
        <f t="shared" ref="F495:F501" si="34">D495*E495</f>
        <v>4770</v>
      </c>
    </row>
    <row r="496" spans="1:7" s="388" customFormat="1">
      <c r="A496" s="503"/>
      <c r="B496" s="503" t="s">
        <v>2082</v>
      </c>
      <c r="C496" s="503" t="s">
        <v>1484</v>
      </c>
      <c r="D496" s="504">
        <v>90</v>
      </c>
      <c r="E496" s="504">
        <v>97</v>
      </c>
      <c r="F496" s="504">
        <f t="shared" si="34"/>
        <v>8730</v>
      </c>
    </row>
    <row r="497" spans="1:6" s="388" customFormat="1">
      <c r="A497" s="503"/>
      <c r="B497" s="503" t="s">
        <v>2083</v>
      </c>
      <c r="C497" s="503" t="s">
        <v>1484</v>
      </c>
      <c r="D497" s="504">
        <v>45</v>
      </c>
      <c r="E497" s="504">
        <v>27</v>
      </c>
      <c r="F497" s="504">
        <f t="shared" si="34"/>
        <v>1215</v>
      </c>
    </row>
    <row r="498" spans="1:6" s="388" customFormat="1">
      <c r="A498" s="503"/>
      <c r="B498" s="503" t="s">
        <v>2084</v>
      </c>
      <c r="C498" s="503" t="s">
        <v>1484</v>
      </c>
      <c r="D498" s="504">
        <v>20</v>
      </c>
      <c r="E498" s="504">
        <v>51.06</v>
      </c>
      <c r="F498" s="504">
        <f t="shared" si="34"/>
        <v>1021.2</v>
      </c>
    </row>
    <row r="499" spans="1:6" s="388" customFormat="1">
      <c r="A499" s="503"/>
      <c r="B499" s="503" t="s">
        <v>2085</v>
      </c>
      <c r="C499" s="503" t="s">
        <v>1484</v>
      </c>
      <c r="D499" s="504">
        <v>75</v>
      </c>
      <c r="E499" s="504">
        <v>41</v>
      </c>
      <c r="F499" s="504">
        <f t="shared" si="34"/>
        <v>3075</v>
      </c>
    </row>
    <row r="500" spans="1:6" s="388" customFormat="1">
      <c r="A500" s="503"/>
      <c r="B500" s="503" t="s">
        <v>2086</v>
      </c>
      <c r="C500" s="503" t="s">
        <v>1484</v>
      </c>
      <c r="D500" s="504">
        <v>190</v>
      </c>
      <c r="E500" s="504">
        <v>25.51</v>
      </c>
      <c r="F500" s="504">
        <f t="shared" si="34"/>
        <v>4846.9000000000005</v>
      </c>
    </row>
    <row r="501" spans="1:6" s="388" customFormat="1">
      <c r="A501" s="503"/>
      <c r="B501" s="503" t="s">
        <v>2087</v>
      </c>
      <c r="C501" s="503" t="s">
        <v>1484</v>
      </c>
      <c r="D501" s="504">
        <v>60</v>
      </c>
      <c r="E501" s="504">
        <v>19.03</v>
      </c>
      <c r="F501" s="504">
        <f t="shared" si="34"/>
        <v>1141.8000000000002</v>
      </c>
    </row>
    <row r="502" spans="1:6" s="388" customFormat="1">
      <c r="A502" s="503"/>
      <c r="B502" s="503" t="s">
        <v>2088</v>
      </c>
      <c r="C502" s="503" t="s">
        <v>1484</v>
      </c>
      <c r="D502" s="504">
        <v>120</v>
      </c>
      <c r="E502" s="504">
        <v>10.63</v>
      </c>
      <c r="F502" s="504">
        <f t="shared" si="30"/>
        <v>1275.6000000000001</v>
      </c>
    </row>
    <row r="503" spans="1:6" s="388" customFormat="1">
      <c r="A503" s="503"/>
      <c r="B503" s="503" t="s">
        <v>2089</v>
      </c>
      <c r="C503" s="503" t="s">
        <v>1484</v>
      </c>
      <c r="D503" s="504">
        <v>450</v>
      </c>
      <c r="E503" s="504">
        <v>7.75</v>
      </c>
      <c r="F503" s="504">
        <f t="shared" ref="F503:F565" si="35">D503*E503</f>
        <v>3487.5</v>
      </c>
    </row>
    <row r="504" spans="1:6" s="388" customFormat="1">
      <c r="A504" s="503"/>
      <c r="B504" s="503" t="s">
        <v>2090</v>
      </c>
      <c r="C504" s="503" t="s">
        <v>1484</v>
      </c>
      <c r="D504" s="504">
        <v>280</v>
      </c>
      <c r="E504" s="504">
        <v>6.5</v>
      </c>
      <c r="F504" s="504">
        <f t="shared" si="35"/>
        <v>1820</v>
      </c>
    </row>
    <row r="505" spans="1:6" s="388" customFormat="1">
      <c r="A505" s="503"/>
      <c r="B505" s="503" t="s">
        <v>2091</v>
      </c>
      <c r="C505" s="503" t="s">
        <v>1484</v>
      </c>
      <c r="D505" s="504">
        <v>60</v>
      </c>
      <c r="E505" s="504">
        <v>4.9400000000000004</v>
      </c>
      <c r="F505" s="504">
        <f t="shared" si="35"/>
        <v>296.40000000000003</v>
      </c>
    </row>
    <row r="506" spans="1:6" s="388" customFormat="1">
      <c r="A506" s="503"/>
      <c r="B506" s="503" t="s">
        <v>2092</v>
      </c>
      <c r="C506" s="503" t="s">
        <v>1484</v>
      </c>
      <c r="D506" s="504">
        <v>180</v>
      </c>
      <c r="E506" s="504">
        <v>4.4400000000000004</v>
      </c>
      <c r="F506" s="504">
        <f t="shared" si="35"/>
        <v>799.2</v>
      </c>
    </row>
    <row r="507" spans="1:6" s="388" customFormat="1">
      <c r="A507" s="503"/>
      <c r="B507" s="503" t="s">
        <v>2093</v>
      </c>
      <c r="C507" s="503" t="s">
        <v>1484</v>
      </c>
      <c r="D507" s="504">
        <v>90</v>
      </c>
      <c r="E507" s="504">
        <v>4.1399999999999997</v>
      </c>
      <c r="F507" s="504">
        <f t="shared" si="35"/>
        <v>372.59999999999997</v>
      </c>
    </row>
    <row r="508" spans="1:6" s="388" customFormat="1">
      <c r="A508" s="503"/>
      <c r="B508" s="503" t="s">
        <v>2094</v>
      </c>
      <c r="C508" s="503" t="s">
        <v>1484</v>
      </c>
      <c r="D508" s="504">
        <v>2500</v>
      </c>
      <c r="E508" s="504">
        <v>3.28</v>
      </c>
      <c r="F508" s="504">
        <f t="shared" si="35"/>
        <v>8200</v>
      </c>
    </row>
    <row r="509" spans="1:6" s="388" customFormat="1">
      <c r="A509" s="503"/>
      <c r="B509" s="503" t="s">
        <v>2095</v>
      </c>
      <c r="C509" s="503" t="s">
        <v>1484</v>
      </c>
      <c r="D509" s="504">
        <v>2160</v>
      </c>
      <c r="E509" s="504">
        <v>3.1</v>
      </c>
      <c r="F509" s="504">
        <f t="shared" si="35"/>
        <v>6696</v>
      </c>
    </row>
    <row r="510" spans="1:6" s="388" customFormat="1">
      <c r="A510" s="503"/>
      <c r="B510" s="503" t="s">
        <v>2096</v>
      </c>
      <c r="C510" s="503" t="s">
        <v>1484</v>
      </c>
      <c r="D510" s="504">
        <v>1000</v>
      </c>
      <c r="E510" s="504">
        <v>3.8</v>
      </c>
      <c r="F510" s="504">
        <f t="shared" si="35"/>
        <v>3800</v>
      </c>
    </row>
    <row r="511" spans="1:6" s="388" customFormat="1">
      <c r="A511" s="503"/>
      <c r="B511" s="503" t="s">
        <v>2097</v>
      </c>
      <c r="C511" s="503" t="s">
        <v>1484</v>
      </c>
      <c r="D511" s="504">
        <v>120</v>
      </c>
      <c r="E511" s="504">
        <v>1.9</v>
      </c>
      <c r="F511" s="504">
        <f t="shared" si="35"/>
        <v>228</v>
      </c>
    </row>
    <row r="512" spans="1:6" s="388" customFormat="1">
      <c r="A512" s="503"/>
      <c r="B512" s="503" t="s">
        <v>2098</v>
      </c>
      <c r="C512" s="503" t="s">
        <v>1484</v>
      </c>
      <c r="D512" s="504">
        <v>100</v>
      </c>
      <c r="E512" s="504">
        <v>2.2000000000000002</v>
      </c>
      <c r="F512" s="504">
        <f t="shared" si="35"/>
        <v>220.00000000000003</v>
      </c>
    </row>
    <row r="513" spans="1:6" s="388" customFormat="1">
      <c r="A513" s="503"/>
      <c r="B513" s="503" t="s">
        <v>2099</v>
      </c>
      <c r="C513" s="503" t="s">
        <v>1484</v>
      </c>
      <c r="D513" s="504">
        <v>100</v>
      </c>
      <c r="E513" s="504">
        <v>2.2999999999999998</v>
      </c>
      <c r="F513" s="504">
        <f t="shared" si="35"/>
        <v>229.99999999999997</v>
      </c>
    </row>
    <row r="514" spans="1:6" s="388" customFormat="1">
      <c r="A514" s="503"/>
      <c r="B514" s="503" t="s">
        <v>2100</v>
      </c>
      <c r="C514" s="503" t="s">
        <v>1484</v>
      </c>
      <c r="D514" s="504">
        <v>100</v>
      </c>
      <c r="E514" s="504">
        <v>3.11</v>
      </c>
      <c r="F514" s="504">
        <f t="shared" si="35"/>
        <v>311</v>
      </c>
    </row>
    <row r="515" spans="1:6" s="388" customFormat="1">
      <c r="A515" s="503"/>
      <c r="B515" s="503" t="s">
        <v>2101</v>
      </c>
      <c r="C515" s="503" t="s">
        <v>1484</v>
      </c>
      <c r="D515" s="504">
        <v>400</v>
      </c>
      <c r="E515" s="504">
        <v>4.7</v>
      </c>
      <c r="F515" s="504">
        <f t="shared" si="35"/>
        <v>1880</v>
      </c>
    </row>
    <row r="516" spans="1:6" s="388" customFormat="1">
      <c r="A516" s="503"/>
      <c r="B516" s="503" t="s">
        <v>2102</v>
      </c>
      <c r="C516" s="503" t="s">
        <v>1484</v>
      </c>
      <c r="D516" s="504">
        <v>30</v>
      </c>
      <c r="E516" s="504">
        <v>4.9000000000000004</v>
      </c>
      <c r="F516" s="504">
        <f t="shared" si="35"/>
        <v>147</v>
      </c>
    </row>
    <row r="517" spans="1:6" s="388" customFormat="1">
      <c r="A517" s="503"/>
      <c r="B517" s="503" t="s">
        <v>2103</v>
      </c>
      <c r="C517" s="503" t="s">
        <v>1484</v>
      </c>
      <c r="D517" s="504">
        <v>60</v>
      </c>
      <c r="E517" s="504">
        <v>5.0999999999999996</v>
      </c>
      <c r="F517" s="504">
        <f t="shared" si="35"/>
        <v>306</v>
      </c>
    </row>
    <row r="518" spans="1:6" s="388" customFormat="1">
      <c r="A518" s="503"/>
      <c r="B518" s="503" t="s">
        <v>2104</v>
      </c>
      <c r="C518" s="503" t="s">
        <v>1484</v>
      </c>
      <c r="D518" s="504">
        <v>400</v>
      </c>
      <c r="E518" s="504">
        <v>2.2999999999999998</v>
      </c>
      <c r="F518" s="504">
        <f t="shared" si="35"/>
        <v>919.99999999999989</v>
      </c>
    </row>
    <row r="519" spans="1:6" s="388" customFormat="1">
      <c r="A519" s="503"/>
      <c r="B519" s="503" t="s">
        <v>2105</v>
      </c>
      <c r="C519" s="503" t="s">
        <v>1484</v>
      </c>
      <c r="D519" s="504">
        <v>100</v>
      </c>
      <c r="E519" s="504">
        <v>3</v>
      </c>
      <c r="F519" s="504">
        <f t="shared" si="35"/>
        <v>300</v>
      </c>
    </row>
    <row r="520" spans="1:6" s="388" customFormat="1">
      <c r="A520" s="503"/>
      <c r="B520" s="503" t="s">
        <v>2106</v>
      </c>
      <c r="C520" s="503" t="s">
        <v>1484</v>
      </c>
      <c r="D520" s="504">
        <v>240</v>
      </c>
      <c r="E520" s="504">
        <v>5.41</v>
      </c>
      <c r="F520" s="504">
        <f t="shared" si="35"/>
        <v>1298.4000000000001</v>
      </c>
    </row>
    <row r="521" spans="1:6" s="388" customFormat="1">
      <c r="A521" s="503"/>
      <c r="B521" s="503" t="s">
        <v>2107</v>
      </c>
      <c r="C521" s="503" t="s">
        <v>1484</v>
      </c>
      <c r="D521" s="504">
        <v>600</v>
      </c>
      <c r="E521" s="504">
        <v>2.2999999999999998</v>
      </c>
      <c r="F521" s="504">
        <f t="shared" si="35"/>
        <v>1380</v>
      </c>
    </row>
    <row r="522" spans="1:6" s="388" customFormat="1">
      <c r="A522" s="503"/>
      <c r="B522" s="503" t="s">
        <v>2108</v>
      </c>
      <c r="C522" s="503" t="s">
        <v>1484</v>
      </c>
      <c r="D522" s="504">
        <v>120</v>
      </c>
      <c r="E522" s="504">
        <v>3.1</v>
      </c>
      <c r="F522" s="504">
        <f t="shared" si="35"/>
        <v>372</v>
      </c>
    </row>
    <row r="523" spans="1:6" s="388" customFormat="1">
      <c r="A523" s="503"/>
      <c r="B523" s="503" t="s">
        <v>2109</v>
      </c>
      <c r="C523" s="503" t="s">
        <v>1484</v>
      </c>
      <c r="D523" s="504">
        <v>300</v>
      </c>
      <c r="E523" s="504">
        <v>2.16</v>
      </c>
      <c r="F523" s="504">
        <f t="shared" si="35"/>
        <v>648</v>
      </c>
    </row>
    <row r="524" spans="1:6" s="388" customFormat="1">
      <c r="A524" s="503"/>
      <c r="B524" s="503" t="s">
        <v>2110</v>
      </c>
      <c r="C524" s="503" t="s">
        <v>1484</v>
      </c>
      <c r="D524" s="504">
        <v>120</v>
      </c>
      <c r="E524" s="504">
        <v>5.0999999999999996</v>
      </c>
      <c r="F524" s="504">
        <f t="shared" si="35"/>
        <v>612</v>
      </c>
    </row>
    <row r="525" spans="1:6" s="388" customFormat="1">
      <c r="A525" s="503"/>
      <c r="B525" s="503" t="s">
        <v>2111</v>
      </c>
      <c r="C525" s="503" t="s">
        <v>1484</v>
      </c>
      <c r="D525" s="504">
        <v>60</v>
      </c>
      <c r="E525" s="504">
        <v>4.99</v>
      </c>
      <c r="F525" s="504">
        <f t="shared" si="35"/>
        <v>299.40000000000003</v>
      </c>
    </row>
    <row r="526" spans="1:6" s="388" customFormat="1">
      <c r="A526" s="503"/>
      <c r="B526" s="503" t="s">
        <v>2112</v>
      </c>
      <c r="C526" s="503" t="s">
        <v>1484</v>
      </c>
      <c r="D526" s="504">
        <v>300</v>
      </c>
      <c r="E526" s="504">
        <v>2.5</v>
      </c>
      <c r="F526" s="504">
        <f t="shared" si="35"/>
        <v>750</v>
      </c>
    </row>
    <row r="527" spans="1:6" s="388" customFormat="1">
      <c r="A527" s="503"/>
      <c r="B527" s="503" t="s">
        <v>2113</v>
      </c>
      <c r="C527" s="503" t="s">
        <v>1484</v>
      </c>
      <c r="D527" s="504">
        <v>300</v>
      </c>
      <c r="E527" s="504">
        <v>2.36</v>
      </c>
      <c r="F527" s="504">
        <f t="shared" si="35"/>
        <v>708</v>
      </c>
    </row>
    <row r="528" spans="1:6" s="388" customFormat="1">
      <c r="A528" s="503"/>
      <c r="B528" s="503" t="s">
        <v>2114</v>
      </c>
      <c r="C528" s="503" t="s">
        <v>1484</v>
      </c>
      <c r="D528" s="504">
        <v>100</v>
      </c>
      <c r="E528" s="504">
        <v>2.96</v>
      </c>
      <c r="F528" s="504">
        <f t="shared" si="35"/>
        <v>296</v>
      </c>
    </row>
    <row r="529" spans="1:7" s="388" customFormat="1">
      <c r="A529" s="503"/>
      <c r="B529" s="503" t="s">
        <v>2115</v>
      </c>
      <c r="C529" s="503" t="s">
        <v>1484</v>
      </c>
      <c r="D529" s="504">
        <v>200</v>
      </c>
      <c r="E529" s="504">
        <v>3.59</v>
      </c>
      <c r="F529" s="504">
        <f t="shared" si="35"/>
        <v>718</v>
      </c>
    </row>
    <row r="530" spans="1:7" s="388" customFormat="1">
      <c r="A530" s="503"/>
      <c r="B530" s="503" t="s">
        <v>2116</v>
      </c>
      <c r="C530" s="503" t="s">
        <v>1484</v>
      </c>
      <c r="D530" s="504">
        <v>200</v>
      </c>
      <c r="E530" s="504">
        <v>4.8</v>
      </c>
      <c r="F530" s="504">
        <f t="shared" si="35"/>
        <v>960</v>
      </c>
    </row>
    <row r="531" spans="1:7" s="388" customFormat="1">
      <c r="A531" s="503"/>
      <c r="B531" s="503" t="s">
        <v>2117</v>
      </c>
      <c r="C531" s="503" t="s">
        <v>1484</v>
      </c>
      <c r="D531" s="504">
        <v>200</v>
      </c>
      <c r="E531" s="504">
        <v>4.3</v>
      </c>
      <c r="F531" s="504">
        <f t="shared" si="35"/>
        <v>860</v>
      </c>
    </row>
    <row r="532" spans="1:7" s="388" customFormat="1">
      <c r="A532" s="503"/>
      <c r="B532" s="503" t="s">
        <v>2118</v>
      </c>
      <c r="C532" s="503" t="s">
        <v>1484</v>
      </c>
      <c r="D532" s="504">
        <v>200</v>
      </c>
      <c r="E532" s="504">
        <v>4.8</v>
      </c>
      <c r="F532" s="504">
        <f t="shared" si="35"/>
        <v>960</v>
      </c>
    </row>
    <row r="533" spans="1:7" s="388" customFormat="1">
      <c r="A533" s="503"/>
      <c r="B533" s="503"/>
      <c r="C533" s="503"/>
      <c r="D533" s="504"/>
      <c r="E533" s="504"/>
      <c r="F533" s="504"/>
    </row>
    <row r="534" spans="1:7" s="349" customFormat="1" ht="39.6">
      <c r="A534" s="491" t="s">
        <v>4</v>
      </c>
      <c r="B534" s="491" t="s">
        <v>2119</v>
      </c>
      <c r="C534" s="491" t="s">
        <v>1484</v>
      </c>
      <c r="D534" s="493">
        <v>15</v>
      </c>
      <c r="E534" s="504">
        <v>9.5</v>
      </c>
      <c r="F534" s="493">
        <f t="shared" ref="F534" si="36">D534*E534</f>
        <v>142.5</v>
      </c>
      <c r="G534" s="508"/>
    </row>
    <row r="535" spans="1:7" s="388" customFormat="1">
      <c r="A535" s="503"/>
      <c r="B535" s="503"/>
      <c r="C535" s="503"/>
      <c r="D535" s="504"/>
      <c r="E535" s="504"/>
      <c r="F535" s="504"/>
    </row>
    <row r="536" spans="1:7" s="388" customFormat="1">
      <c r="A536" s="503" t="s">
        <v>3</v>
      </c>
      <c r="B536" s="503" t="s">
        <v>2120</v>
      </c>
      <c r="C536" s="503"/>
      <c r="D536" s="504"/>
      <c r="E536" s="504"/>
      <c r="F536" s="504"/>
    </row>
    <row r="537" spans="1:7" s="388" customFormat="1">
      <c r="A537" s="503"/>
      <c r="B537" s="503" t="s">
        <v>2121</v>
      </c>
      <c r="C537" s="503" t="s">
        <v>1484</v>
      </c>
      <c r="D537" s="504">
        <f>(D521+D522+D523+D524+D525+D526)*0.3</f>
        <v>450</v>
      </c>
      <c r="E537" s="504">
        <v>2</v>
      </c>
      <c r="F537" s="504">
        <f t="shared" si="35"/>
        <v>900</v>
      </c>
    </row>
    <row r="538" spans="1:7" s="388" customFormat="1">
      <c r="A538" s="503"/>
      <c r="B538" s="503" t="s">
        <v>2122</v>
      </c>
      <c r="C538" s="503" t="s">
        <v>1484</v>
      </c>
      <c r="D538" s="504">
        <f>(D509+D510+D511+D512+D515+D518+D520+D516+D513+D514+D519)*0.2</f>
        <v>950</v>
      </c>
      <c r="E538" s="504">
        <v>2</v>
      </c>
      <c r="F538" s="504">
        <f t="shared" si="35"/>
        <v>1900</v>
      </c>
    </row>
    <row r="539" spans="1:7" s="388" customFormat="1">
      <c r="A539" s="503"/>
      <c r="B539" s="503" t="s">
        <v>2123</v>
      </c>
      <c r="C539" s="503" t="s">
        <v>1484</v>
      </c>
      <c r="D539" s="504">
        <f>(D505+D506+D508+D517+D527+D532+D507)*0.2+2</f>
        <v>680</v>
      </c>
      <c r="E539" s="504">
        <v>2.2999999999999998</v>
      </c>
      <c r="F539" s="504">
        <f t="shared" si="35"/>
        <v>1563.9999999999998</v>
      </c>
    </row>
    <row r="540" spans="1:7" s="388" customFormat="1">
      <c r="A540" s="503"/>
      <c r="B540" s="503" t="s">
        <v>2124</v>
      </c>
      <c r="C540" s="503" t="s">
        <v>1484</v>
      </c>
      <c r="D540" s="504">
        <v>400</v>
      </c>
      <c r="E540" s="504">
        <v>2.5</v>
      </c>
      <c r="F540" s="504">
        <f t="shared" si="35"/>
        <v>1000</v>
      </c>
    </row>
    <row r="541" spans="1:7" s="388" customFormat="1">
      <c r="A541" s="503"/>
      <c r="B541" s="503" t="s">
        <v>2125</v>
      </c>
      <c r="C541" s="503" t="s">
        <v>1484</v>
      </c>
      <c r="D541" s="504">
        <v>300</v>
      </c>
      <c r="E541" s="504">
        <v>2.8</v>
      </c>
      <c r="F541" s="504">
        <f t="shared" si="35"/>
        <v>840</v>
      </c>
    </row>
    <row r="542" spans="1:7" s="388" customFormat="1">
      <c r="A542" s="503"/>
      <c r="B542" s="503" t="s">
        <v>2126</v>
      </c>
      <c r="C542" s="503" t="s">
        <v>1484</v>
      </c>
      <c r="D542" s="504">
        <v>300</v>
      </c>
      <c r="E542" s="504">
        <v>3</v>
      </c>
      <c r="F542" s="504">
        <f t="shared" si="35"/>
        <v>900</v>
      </c>
    </row>
    <row r="543" spans="1:7" s="388" customFormat="1">
      <c r="A543" s="503"/>
      <c r="B543" s="503" t="s">
        <v>2127</v>
      </c>
      <c r="C543" s="503" t="s">
        <v>1484</v>
      </c>
      <c r="D543" s="504">
        <v>150</v>
      </c>
      <c r="E543" s="504">
        <v>4</v>
      </c>
      <c r="F543" s="504">
        <f t="shared" si="35"/>
        <v>600</v>
      </c>
    </row>
    <row r="544" spans="1:7" s="388" customFormat="1">
      <c r="A544" s="503"/>
      <c r="B544" s="503"/>
      <c r="C544" s="503"/>
      <c r="D544" s="504"/>
      <c r="E544" s="504"/>
      <c r="F544" s="504"/>
    </row>
    <row r="545" spans="1:6" s="388" customFormat="1">
      <c r="A545" s="503" t="s">
        <v>5</v>
      </c>
      <c r="B545" s="503" t="s">
        <v>2128</v>
      </c>
      <c r="C545" s="503"/>
      <c r="D545" s="504"/>
      <c r="E545" s="504"/>
      <c r="F545" s="504"/>
    </row>
    <row r="546" spans="1:6" s="388" customFormat="1">
      <c r="A546" s="503"/>
      <c r="B546" s="503" t="s">
        <v>2129</v>
      </c>
      <c r="C546" s="503" t="s">
        <v>1484</v>
      </c>
      <c r="D546" s="504">
        <v>90</v>
      </c>
      <c r="E546" s="504">
        <v>5</v>
      </c>
      <c r="F546" s="504">
        <f t="shared" si="35"/>
        <v>450</v>
      </c>
    </row>
    <row r="547" spans="1:6" s="388" customFormat="1">
      <c r="A547" s="503"/>
      <c r="B547" s="503" t="s">
        <v>2130</v>
      </c>
      <c r="C547" s="503" t="s">
        <v>1484</v>
      </c>
      <c r="D547" s="504">
        <v>180</v>
      </c>
      <c r="E547" s="504">
        <v>6</v>
      </c>
      <c r="F547" s="504">
        <f t="shared" si="35"/>
        <v>1080</v>
      </c>
    </row>
    <row r="548" spans="1:6" s="388" customFormat="1">
      <c r="A548" s="503"/>
      <c r="B548" s="503"/>
      <c r="C548" s="503"/>
      <c r="D548" s="504"/>
      <c r="E548" s="504"/>
      <c r="F548" s="504"/>
    </row>
    <row r="549" spans="1:6" s="388" customFormat="1">
      <c r="A549" s="503" t="s">
        <v>49</v>
      </c>
      <c r="B549" s="503" t="s">
        <v>2131</v>
      </c>
      <c r="C549" s="503"/>
      <c r="D549" s="504"/>
      <c r="E549" s="504"/>
      <c r="F549" s="504"/>
    </row>
    <row r="550" spans="1:6" s="388" customFormat="1" ht="26.4">
      <c r="A550" s="503"/>
      <c r="B550" s="503" t="s">
        <v>2132</v>
      </c>
      <c r="C550" s="503" t="s">
        <v>1484</v>
      </c>
      <c r="D550" s="504">
        <v>600</v>
      </c>
      <c r="E550" s="504">
        <v>4</v>
      </c>
      <c r="F550" s="504">
        <f t="shared" si="35"/>
        <v>2400</v>
      </c>
    </row>
    <row r="551" spans="1:6" s="388" customFormat="1" ht="26.4">
      <c r="A551" s="503"/>
      <c r="B551" s="503" t="s">
        <v>2133</v>
      </c>
      <c r="C551" s="503" t="s">
        <v>1484</v>
      </c>
      <c r="D551" s="504">
        <v>1400</v>
      </c>
      <c r="E551" s="504">
        <v>5</v>
      </c>
      <c r="F551" s="504">
        <f t="shared" si="35"/>
        <v>7000</v>
      </c>
    </row>
    <row r="552" spans="1:6" s="388" customFormat="1" ht="26.4">
      <c r="A552" s="503"/>
      <c r="B552" s="503" t="s">
        <v>2134</v>
      </c>
      <c r="C552" s="503" t="s">
        <v>1484</v>
      </c>
      <c r="D552" s="504">
        <v>1100</v>
      </c>
      <c r="E552" s="504">
        <v>6</v>
      </c>
      <c r="F552" s="504">
        <f t="shared" si="35"/>
        <v>6600</v>
      </c>
    </row>
    <row r="553" spans="1:6" s="388" customFormat="1" ht="26.4">
      <c r="A553" s="503"/>
      <c r="B553" s="503" t="s">
        <v>2135</v>
      </c>
      <c r="C553" s="503" t="s">
        <v>1484</v>
      </c>
      <c r="D553" s="504">
        <v>180</v>
      </c>
      <c r="E553" s="504">
        <v>7</v>
      </c>
      <c r="F553" s="504">
        <f t="shared" si="35"/>
        <v>1260</v>
      </c>
    </row>
    <row r="554" spans="1:6" s="388" customFormat="1" ht="52.8">
      <c r="A554" s="503"/>
      <c r="B554" s="503" t="s">
        <v>2136</v>
      </c>
      <c r="C554" s="503" t="s">
        <v>1484</v>
      </c>
      <c r="D554" s="504">
        <v>30</v>
      </c>
      <c r="E554" s="504">
        <v>35</v>
      </c>
      <c r="F554" s="504">
        <f t="shared" si="35"/>
        <v>1050</v>
      </c>
    </row>
    <row r="555" spans="1:6" s="388" customFormat="1" ht="26.4">
      <c r="A555" s="503"/>
      <c r="B555" s="503" t="s">
        <v>2137</v>
      </c>
      <c r="C555" s="503" t="s">
        <v>291</v>
      </c>
      <c r="D555" s="504">
        <v>30</v>
      </c>
      <c r="E555" s="504">
        <v>5</v>
      </c>
      <c r="F555" s="504">
        <f t="shared" si="35"/>
        <v>150</v>
      </c>
    </row>
    <row r="556" spans="1:6" s="388" customFormat="1">
      <c r="A556" s="503"/>
      <c r="B556" s="503"/>
      <c r="C556" s="503"/>
      <c r="D556" s="504"/>
      <c r="E556" s="504"/>
      <c r="F556" s="504"/>
    </row>
    <row r="557" spans="1:6" s="388" customFormat="1" ht="66">
      <c r="A557" s="503" t="s">
        <v>58</v>
      </c>
      <c r="B557" s="503" t="s">
        <v>2790</v>
      </c>
      <c r="C557" s="503"/>
      <c r="D557" s="504"/>
      <c r="E557" s="504"/>
      <c r="F557" s="504"/>
    </row>
    <row r="558" spans="1:6" s="388" customFormat="1">
      <c r="A558" s="503"/>
      <c r="B558" s="503" t="s">
        <v>2138</v>
      </c>
      <c r="C558" s="503" t="s">
        <v>1484</v>
      </c>
      <c r="D558" s="504">
        <v>150</v>
      </c>
      <c r="E558" s="504">
        <v>55</v>
      </c>
      <c r="F558" s="504">
        <f t="shared" si="35"/>
        <v>8250</v>
      </c>
    </row>
    <row r="559" spans="1:6" s="388" customFormat="1">
      <c r="A559" s="503"/>
      <c r="B559" s="503" t="s">
        <v>2139</v>
      </c>
      <c r="C559" s="503" t="s">
        <v>1484</v>
      </c>
      <c r="D559" s="504">
        <v>180</v>
      </c>
      <c r="E559" s="504">
        <v>45</v>
      </c>
      <c r="F559" s="504">
        <f t="shared" si="35"/>
        <v>8100</v>
      </c>
    </row>
    <row r="560" spans="1:6" s="388" customFormat="1">
      <c r="A560" s="503"/>
      <c r="B560" s="503" t="s">
        <v>2140</v>
      </c>
      <c r="C560" s="503" t="s">
        <v>1484</v>
      </c>
      <c r="D560" s="504">
        <v>105</v>
      </c>
      <c r="E560" s="504">
        <v>43</v>
      </c>
      <c r="F560" s="504">
        <f t="shared" si="35"/>
        <v>4515</v>
      </c>
    </row>
    <row r="561" spans="1:7" s="388" customFormat="1">
      <c r="A561" s="503"/>
      <c r="B561" s="503" t="s">
        <v>2141</v>
      </c>
      <c r="C561" s="503" t="s">
        <v>1484</v>
      </c>
      <c r="D561" s="504">
        <v>285</v>
      </c>
      <c r="E561" s="504">
        <v>38</v>
      </c>
      <c r="F561" s="504">
        <f t="shared" si="35"/>
        <v>10830</v>
      </c>
    </row>
    <row r="562" spans="1:7" s="388" customFormat="1">
      <c r="A562" s="503"/>
      <c r="B562" s="503"/>
      <c r="C562" s="503"/>
      <c r="D562" s="504"/>
      <c r="E562" s="504"/>
      <c r="F562" s="504"/>
    </row>
    <row r="563" spans="1:7" s="388" customFormat="1" ht="52.8">
      <c r="A563" s="503" t="s">
        <v>141</v>
      </c>
      <c r="B563" s="503" t="s">
        <v>2142</v>
      </c>
      <c r="C563" s="503" t="s">
        <v>291</v>
      </c>
      <c r="D563" s="504">
        <v>2</v>
      </c>
      <c r="E563" s="504">
        <v>55</v>
      </c>
      <c r="F563" s="504">
        <f t="shared" si="35"/>
        <v>110</v>
      </c>
    </row>
    <row r="564" spans="1:7" s="388" customFormat="1">
      <c r="A564" s="503"/>
      <c r="B564" s="503"/>
      <c r="C564" s="503"/>
      <c r="D564" s="504"/>
      <c r="E564" s="504"/>
      <c r="F564" s="504"/>
    </row>
    <row r="565" spans="1:7" s="388" customFormat="1" ht="26.4">
      <c r="A565" s="503" t="s">
        <v>1191</v>
      </c>
      <c r="B565" s="503" t="s">
        <v>2143</v>
      </c>
      <c r="C565" s="503" t="s">
        <v>291</v>
      </c>
      <c r="D565" s="504">
        <v>2</v>
      </c>
      <c r="E565" s="504">
        <v>35</v>
      </c>
      <c r="F565" s="504">
        <f t="shared" si="35"/>
        <v>70</v>
      </c>
    </row>
    <row r="566" spans="1:7" s="388" customFormat="1">
      <c r="A566" s="503"/>
      <c r="B566" s="503"/>
      <c r="C566" s="503"/>
      <c r="D566" s="504"/>
      <c r="E566" s="504"/>
      <c r="F566" s="504"/>
    </row>
    <row r="567" spans="1:7" s="388" customFormat="1" ht="26.4">
      <c r="A567" s="503" t="s">
        <v>180</v>
      </c>
      <c r="B567" s="503" t="s">
        <v>2144</v>
      </c>
      <c r="C567" s="503"/>
      <c r="D567" s="504"/>
      <c r="E567" s="504"/>
      <c r="F567" s="504"/>
    </row>
    <row r="568" spans="1:7" s="388" customFormat="1">
      <c r="A568" s="503"/>
      <c r="B568" s="503" t="s">
        <v>1883</v>
      </c>
      <c r="C568" s="503" t="s">
        <v>1484</v>
      </c>
      <c r="D568" s="504">
        <v>30</v>
      </c>
      <c r="E568" s="504">
        <v>5.8</v>
      </c>
      <c r="F568" s="504">
        <f>SUM(D568*E568)</f>
        <v>174</v>
      </c>
    </row>
    <row r="569" spans="1:7" s="388" customFormat="1">
      <c r="A569" s="503"/>
      <c r="B569" s="503" t="s">
        <v>2145</v>
      </c>
      <c r="C569" s="503" t="s">
        <v>1484</v>
      </c>
      <c r="D569" s="504">
        <v>30</v>
      </c>
      <c r="E569" s="504">
        <v>4.2</v>
      </c>
      <c r="F569" s="504">
        <f>SUM(D569*E569)</f>
        <v>126</v>
      </c>
    </row>
    <row r="570" spans="1:7" s="525" customFormat="1">
      <c r="A570" s="503"/>
      <c r="B570" s="520"/>
      <c r="C570" s="521"/>
      <c r="D570" s="522"/>
      <c r="E570" s="523"/>
      <c r="F570" s="523"/>
      <c r="G570" s="524"/>
    </row>
    <row r="571" spans="1:7" s="388" customFormat="1" ht="54.75" customHeight="1">
      <c r="A571" s="503" t="s">
        <v>1198</v>
      </c>
      <c r="B571" s="503" t="s">
        <v>2146</v>
      </c>
      <c r="C571" s="503" t="s">
        <v>291</v>
      </c>
      <c r="D571" s="504">
        <v>18</v>
      </c>
      <c r="E571" s="504">
        <v>50</v>
      </c>
      <c r="F571" s="504">
        <f t="shared" ref="F571:F590" si="37">D571*E571</f>
        <v>900</v>
      </c>
    </row>
    <row r="572" spans="1:7" s="388" customFormat="1">
      <c r="A572" s="503"/>
      <c r="B572" s="503"/>
      <c r="C572" s="503"/>
      <c r="D572" s="504"/>
      <c r="E572" s="504"/>
      <c r="F572" s="504"/>
    </row>
    <row r="573" spans="1:7" s="507" customFormat="1">
      <c r="A573" s="505"/>
      <c r="B573" s="505" t="s">
        <v>2147</v>
      </c>
      <c r="C573" s="505"/>
      <c r="D573" s="506"/>
      <c r="E573" s="506"/>
      <c r="F573" s="506">
        <f>SUM(F494:F571)</f>
        <v>146782.5</v>
      </c>
      <c r="G573" s="388"/>
    </row>
    <row r="574" spans="1:7" s="388" customFormat="1">
      <c r="A574" s="503"/>
      <c r="B574" s="503"/>
      <c r="C574" s="503"/>
      <c r="D574" s="504"/>
      <c r="E574" s="504"/>
      <c r="F574" s="504"/>
    </row>
    <row r="575" spans="1:7" s="388" customFormat="1">
      <c r="A575" s="503"/>
      <c r="B575" s="503"/>
      <c r="C575" s="503"/>
      <c r="D575" s="504"/>
      <c r="E575" s="504"/>
      <c r="F575" s="504"/>
    </row>
    <row r="576" spans="1:7" s="507" customFormat="1">
      <c r="A576" s="505"/>
      <c r="B576" s="505" t="s">
        <v>2148</v>
      </c>
      <c r="C576" s="505"/>
      <c r="D576" s="506"/>
      <c r="E576" s="506"/>
      <c r="F576" s="504"/>
      <c r="G576" s="388"/>
    </row>
    <row r="577" spans="1:7" s="388" customFormat="1">
      <c r="A577" s="503"/>
      <c r="B577" s="503"/>
      <c r="C577" s="503"/>
      <c r="D577" s="504"/>
      <c r="E577" s="504"/>
      <c r="F577" s="504"/>
    </row>
    <row r="578" spans="1:7" s="496" customFormat="1" ht="26.4">
      <c r="A578" s="494" t="s">
        <v>958</v>
      </c>
      <c r="B578" s="494" t="s">
        <v>2149</v>
      </c>
      <c r="C578" s="494"/>
      <c r="D578" s="495"/>
      <c r="E578" s="495"/>
      <c r="F578" s="511"/>
      <c r="G578" s="388"/>
    </row>
    <row r="579" spans="1:7" s="388" customFormat="1">
      <c r="A579" s="503"/>
      <c r="B579" s="503"/>
      <c r="C579" s="503"/>
      <c r="D579" s="504"/>
      <c r="E579" s="504"/>
      <c r="F579" s="504"/>
    </row>
    <row r="580" spans="1:7" s="388" customFormat="1" ht="118.8">
      <c r="A580" s="503" t="s">
        <v>0</v>
      </c>
      <c r="B580" s="503" t="s">
        <v>2150</v>
      </c>
      <c r="C580" s="503" t="s">
        <v>1893</v>
      </c>
      <c r="D580" s="504">
        <v>1</v>
      </c>
      <c r="E580" s="504">
        <v>353</v>
      </c>
      <c r="F580" s="504">
        <f t="shared" ref="F580" si="38">D580*E580</f>
        <v>353</v>
      </c>
    </row>
    <row r="581" spans="1:7" s="388" customFormat="1">
      <c r="A581" s="503"/>
      <c r="B581" s="503"/>
      <c r="C581" s="503"/>
      <c r="D581" s="504"/>
      <c r="E581" s="504"/>
      <c r="F581" s="504"/>
    </row>
    <row r="582" spans="1:7" s="388" customFormat="1" ht="126.75" customHeight="1">
      <c r="A582" s="503" t="s">
        <v>4</v>
      </c>
      <c r="B582" s="503" t="s">
        <v>2151</v>
      </c>
      <c r="C582" s="503" t="s">
        <v>2152</v>
      </c>
      <c r="D582" s="504">
        <v>1</v>
      </c>
      <c r="E582" s="504">
        <v>1525</v>
      </c>
      <c r="F582" s="504">
        <f t="shared" ref="F582" si="39">D582*E582</f>
        <v>1525</v>
      </c>
    </row>
    <row r="583" spans="1:7" s="388" customFormat="1" ht="39.6">
      <c r="A583" s="503" t="s">
        <v>260</v>
      </c>
      <c r="B583" s="503" t="s">
        <v>2153</v>
      </c>
      <c r="C583" s="503" t="s">
        <v>1893</v>
      </c>
      <c r="D583" s="504">
        <v>1</v>
      </c>
      <c r="E583" s="504">
        <v>35</v>
      </c>
      <c r="F583" s="504">
        <f t="shared" si="37"/>
        <v>35</v>
      </c>
    </row>
    <row r="584" spans="1:7" s="388" customFormat="1" ht="52.8">
      <c r="A584" s="503" t="s">
        <v>261</v>
      </c>
      <c r="B584" s="503" t="s">
        <v>2154</v>
      </c>
      <c r="C584" s="503" t="s">
        <v>1893</v>
      </c>
      <c r="D584" s="504">
        <v>7</v>
      </c>
      <c r="E584" s="504">
        <v>33.36</v>
      </c>
      <c r="F584" s="504">
        <f t="shared" si="37"/>
        <v>233.51999999999998</v>
      </c>
    </row>
    <row r="585" spans="1:7" s="388" customFormat="1" ht="30" customHeight="1">
      <c r="A585" s="503" t="s">
        <v>262</v>
      </c>
      <c r="B585" s="503" t="s">
        <v>2155</v>
      </c>
      <c r="C585" s="503" t="s">
        <v>1893</v>
      </c>
      <c r="D585" s="504">
        <v>120</v>
      </c>
      <c r="E585" s="504">
        <v>18</v>
      </c>
      <c r="F585" s="504">
        <f t="shared" si="37"/>
        <v>2160</v>
      </c>
    </row>
    <row r="586" spans="1:7" s="388" customFormat="1" ht="39.6">
      <c r="A586" s="503" t="s">
        <v>263</v>
      </c>
      <c r="B586" s="503" t="s">
        <v>2156</v>
      </c>
      <c r="C586" s="503" t="s">
        <v>1893</v>
      </c>
      <c r="D586" s="504">
        <v>2</v>
      </c>
      <c r="E586" s="504">
        <v>59</v>
      </c>
      <c r="F586" s="504">
        <f t="shared" si="37"/>
        <v>118</v>
      </c>
    </row>
    <row r="587" spans="1:7" s="388" customFormat="1" ht="52.8">
      <c r="A587" s="503" t="s">
        <v>264</v>
      </c>
      <c r="B587" s="503" t="s">
        <v>2157</v>
      </c>
      <c r="C587" s="503" t="s">
        <v>1893</v>
      </c>
      <c r="D587" s="504">
        <v>24</v>
      </c>
      <c r="E587" s="504">
        <v>25</v>
      </c>
      <c r="F587" s="504">
        <f t="shared" si="37"/>
        <v>600</v>
      </c>
    </row>
    <row r="588" spans="1:7" s="388" customFormat="1" ht="26.4">
      <c r="A588" s="503" t="s">
        <v>267</v>
      </c>
      <c r="B588" s="503" t="s">
        <v>2158</v>
      </c>
      <c r="C588" s="503" t="s">
        <v>1893</v>
      </c>
      <c r="D588" s="504">
        <v>60</v>
      </c>
      <c r="E588" s="504">
        <v>4.92</v>
      </c>
      <c r="F588" s="504">
        <f t="shared" si="37"/>
        <v>295.2</v>
      </c>
    </row>
    <row r="589" spans="1:7" s="388" customFormat="1" ht="39.6">
      <c r="A589" s="503" t="s">
        <v>269</v>
      </c>
      <c r="B589" s="503" t="s">
        <v>2159</v>
      </c>
      <c r="C589" s="503" t="s">
        <v>1893</v>
      </c>
      <c r="D589" s="504">
        <v>1</v>
      </c>
      <c r="E589" s="504">
        <v>146</v>
      </c>
      <c r="F589" s="504">
        <f t="shared" si="37"/>
        <v>146</v>
      </c>
    </row>
    <row r="590" spans="1:7" s="388" customFormat="1" ht="18.75" customHeight="1">
      <c r="A590" s="503" t="s">
        <v>271</v>
      </c>
      <c r="B590" s="503" t="s">
        <v>2160</v>
      </c>
      <c r="C590" s="503" t="s">
        <v>1893</v>
      </c>
      <c r="D590" s="504">
        <v>1</v>
      </c>
      <c r="E590" s="504">
        <v>946</v>
      </c>
      <c r="F590" s="504">
        <f t="shared" si="37"/>
        <v>946</v>
      </c>
    </row>
    <row r="591" spans="1:7" s="388" customFormat="1">
      <c r="A591" s="503"/>
      <c r="B591" s="503"/>
      <c r="C591" s="503"/>
      <c r="D591" s="504"/>
      <c r="E591" s="504"/>
      <c r="F591" s="504"/>
    </row>
    <row r="592" spans="1:7" s="388" customFormat="1" ht="52.8">
      <c r="A592" s="503" t="s">
        <v>3</v>
      </c>
      <c r="B592" s="503" t="s">
        <v>2161</v>
      </c>
      <c r="C592" s="503"/>
      <c r="D592" s="504"/>
      <c r="E592" s="504"/>
      <c r="F592" s="504"/>
    </row>
    <row r="593" spans="1:6" s="388" customFormat="1" ht="26.4">
      <c r="A593" s="503"/>
      <c r="B593" s="503" t="s">
        <v>2162</v>
      </c>
      <c r="C593" s="503" t="s">
        <v>1893</v>
      </c>
      <c r="D593" s="504">
        <v>10</v>
      </c>
      <c r="E593" s="504">
        <v>36</v>
      </c>
      <c r="F593" s="504">
        <f t="shared" ref="F593:F620" si="40">D593*E593</f>
        <v>360</v>
      </c>
    </row>
    <row r="594" spans="1:6" s="388" customFormat="1" ht="26.4">
      <c r="A594" s="503"/>
      <c r="B594" s="503" t="s">
        <v>2163</v>
      </c>
      <c r="C594" s="503" t="s">
        <v>1893</v>
      </c>
      <c r="D594" s="504">
        <f>D593*2</f>
        <v>20</v>
      </c>
      <c r="E594" s="504">
        <v>18</v>
      </c>
      <c r="F594" s="504">
        <f t="shared" si="40"/>
        <v>360</v>
      </c>
    </row>
    <row r="595" spans="1:6" s="388" customFormat="1">
      <c r="A595" s="503"/>
      <c r="B595" s="503" t="s">
        <v>2164</v>
      </c>
      <c r="C595" s="503" t="s">
        <v>1893</v>
      </c>
      <c r="D595" s="504">
        <f>D593</f>
        <v>10</v>
      </c>
      <c r="E595" s="504">
        <v>5</v>
      </c>
      <c r="F595" s="504">
        <f t="shared" si="40"/>
        <v>50</v>
      </c>
    </row>
    <row r="596" spans="1:6" s="388" customFormat="1">
      <c r="A596" s="503"/>
      <c r="B596" s="503"/>
      <c r="C596" s="503"/>
      <c r="D596" s="504"/>
      <c r="E596" s="504"/>
      <c r="F596" s="504"/>
    </row>
    <row r="597" spans="1:6" s="388" customFormat="1" ht="79.2">
      <c r="A597" s="503" t="s">
        <v>5</v>
      </c>
      <c r="B597" s="503" t="s">
        <v>2165</v>
      </c>
      <c r="C597" s="503" t="s">
        <v>1893</v>
      </c>
      <c r="D597" s="504">
        <v>15</v>
      </c>
      <c r="E597" s="504">
        <v>36</v>
      </c>
      <c r="F597" s="504">
        <f t="shared" ref="F597" si="41">D597*E597</f>
        <v>540</v>
      </c>
    </row>
    <row r="598" spans="1:6" s="388" customFormat="1">
      <c r="A598" s="503"/>
      <c r="B598" s="503"/>
      <c r="C598" s="503"/>
      <c r="D598" s="504"/>
      <c r="E598" s="504"/>
      <c r="F598" s="504"/>
    </row>
    <row r="599" spans="1:6" s="388" customFormat="1" ht="52.8">
      <c r="A599" s="503" t="s">
        <v>49</v>
      </c>
      <c r="B599" s="503" t="s">
        <v>2166</v>
      </c>
      <c r="C599" s="503" t="s">
        <v>1893</v>
      </c>
      <c r="D599" s="504">
        <v>5</v>
      </c>
      <c r="E599" s="504">
        <v>191</v>
      </c>
      <c r="F599" s="504">
        <f t="shared" si="40"/>
        <v>955</v>
      </c>
    </row>
    <row r="600" spans="1:6" s="388" customFormat="1">
      <c r="A600" s="503"/>
      <c r="B600" s="503"/>
      <c r="C600" s="503"/>
      <c r="D600" s="504"/>
      <c r="E600" s="504"/>
      <c r="F600" s="504"/>
    </row>
    <row r="601" spans="1:6" s="388" customFormat="1" ht="66">
      <c r="A601" s="503" t="s">
        <v>58</v>
      </c>
      <c r="B601" s="503" t="s">
        <v>2167</v>
      </c>
      <c r="C601" s="503" t="s">
        <v>1484</v>
      </c>
      <c r="D601" s="504">
        <v>6360</v>
      </c>
      <c r="E601" s="504">
        <v>2.5</v>
      </c>
      <c r="F601" s="504">
        <f t="shared" si="40"/>
        <v>15900</v>
      </c>
    </row>
    <row r="602" spans="1:6" s="388" customFormat="1">
      <c r="A602" s="503"/>
      <c r="B602" s="503"/>
      <c r="C602" s="503"/>
      <c r="D602" s="504"/>
      <c r="E602" s="504"/>
      <c r="F602" s="504"/>
    </row>
    <row r="603" spans="1:6" s="388" customFormat="1" ht="52.8">
      <c r="A603" s="503" t="s">
        <v>141</v>
      </c>
      <c r="B603" s="503" t="s">
        <v>2168</v>
      </c>
      <c r="C603" s="503" t="s">
        <v>1484</v>
      </c>
      <c r="D603" s="504">
        <v>60</v>
      </c>
      <c r="E603" s="504">
        <v>3</v>
      </c>
      <c r="F603" s="504">
        <f t="shared" si="40"/>
        <v>180</v>
      </c>
    </row>
    <row r="604" spans="1:6" s="388" customFormat="1">
      <c r="A604" s="503"/>
      <c r="B604" s="503"/>
      <c r="C604" s="503"/>
      <c r="D604" s="504"/>
      <c r="E604" s="504"/>
      <c r="F604" s="504"/>
    </row>
    <row r="605" spans="1:6" s="388" customFormat="1" ht="52.8">
      <c r="A605" s="503" t="s">
        <v>1191</v>
      </c>
      <c r="B605" s="503" t="s">
        <v>2169</v>
      </c>
      <c r="C605" s="503" t="s">
        <v>1484</v>
      </c>
      <c r="D605" s="504">
        <v>60</v>
      </c>
      <c r="E605" s="504">
        <v>2.5499999999999998</v>
      </c>
      <c r="F605" s="504">
        <f t="shared" ref="F605" si="42">D605*E605</f>
        <v>153</v>
      </c>
    </row>
    <row r="606" spans="1:6" s="388" customFormat="1">
      <c r="A606" s="503"/>
      <c r="B606" s="503"/>
      <c r="C606" s="503"/>
      <c r="D606" s="504"/>
      <c r="E606" s="504"/>
      <c r="F606" s="504"/>
    </row>
    <row r="607" spans="1:6" s="388" customFormat="1">
      <c r="A607" s="503" t="s">
        <v>180</v>
      </c>
      <c r="B607" s="503" t="s">
        <v>2120</v>
      </c>
      <c r="C607" s="503"/>
      <c r="D607" s="504"/>
      <c r="E607" s="504"/>
      <c r="F607" s="504"/>
    </row>
    <row r="608" spans="1:6" s="388" customFormat="1">
      <c r="A608" s="503"/>
      <c r="B608" s="503" t="s">
        <v>2121</v>
      </c>
      <c r="C608" s="503" t="s">
        <v>1484</v>
      </c>
      <c r="D608" s="504">
        <v>800</v>
      </c>
      <c r="E608" s="504">
        <v>2</v>
      </c>
      <c r="F608" s="504">
        <f t="shared" ref="F608:F609" si="43">D608*E608</f>
        <v>1600</v>
      </c>
    </row>
    <row r="609" spans="1:7" s="388" customFormat="1">
      <c r="A609" s="503"/>
      <c r="B609" s="503" t="s">
        <v>2123</v>
      </c>
      <c r="C609" s="503" t="s">
        <v>1484</v>
      </c>
      <c r="D609" s="504">
        <f>(D603+D605)*0.25+30</f>
        <v>60</v>
      </c>
      <c r="E609" s="504">
        <v>2.2000000000000002</v>
      </c>
      <c r="F609" s="504">
        <f t="shared" si="43"/>
        <v>132</v>
      </c>
    </row>
    <row r="610" spans="1:7" s="388" customFormat="1">
      <c r="A610" s="503"/>
      <c r="B610" s="503"/>
      <c r="C610" s="503"/>
      <c r="D610" s="504"/>
      <c r="E610" s="504"/>
      <c r="F610" s="504"/>
    </row>
    <row r="611" spans="1:7" s="388" customFormat="1">
      <c r="A611" s="503" t="s">
        <v>1198</v>
      </c>
      <c r="B611" s="503" t="s">
        <v>2131</v>
      </c>
      <c r="C611" s="503"/>
      <c r="D611" s="504"/>
      <c r="E611" s="504"/>
      <c r="F611" s="504"/>
    </row>
    <row r="612" spans="1:7" s="388" customFormat="1" ht="26.4">
      <c r="A612" s="503"/>
      <c r="B612" s="503" t="s">
        <v>2132</v>
      </c>
      <c r="C612" s="503" t="s">
        <v>1484</v>
      </c>
      <c r="D612" s="504">
        <v>600</v>
      </c>
      <c r="E612" s="504">
        <v>5</v>
      </c>
      <c r="F612" s="504">
        <f t="shared" ref="F612:F614" si="44">D612*E612</f>
        <v>3000</v>
      </c>
    </row>
    <row r="613" spans="1:7" s="388" customFormat="1" ht="26.4">
      <c r="A613" s="503"/>
      <c r="B613" s="503" t="s">
        <v>2134</v>
      </c>
      <c r="C613" s="503" t="s">
        <v>1484</v>
      </c>
      <c r="D613" s="504">
        <v>1200</v>
      </c>
      <c r="E613" s="504">
        <v>6</v>
      </c>
      <c r="F613" s="504">
        <f t="shared" si="44"/>
        <v>7200</v>
      </c>
    </row>
    <row r="614" spans="1:7" s="388" customFormat="1" ht="26.4">
      <c r="A614" s="503"/>
      <c r="B614" s="503" t="s">
        <v>2135</v>
      </c>
      <c r="C614" s="503" t="s">
        <v>1484</v>
      </c>
      <c r="D614" s="504">
        <v>250</v>
      </c>
      <c r="E614" s="504">
        <v>7</v>
      </c>
      <c r="F614" s="504">
        <f t="shared" si="44"/>
        <v>1750</v>
      </c>
    </row>
    <row r="615" spans="1:7" s="388" customFormat="1">
      <c r="A615" s="503"/>
      <c r="B615" s="503"/>
      <c r="C615" s="503"/>
      <c r="D615" s="504"/>
      <c r="E615" s="504"/>
      <c r="F615" s="504"/>
    </row>
    <row r="616" spans="1:7" s="388" customFormat="1" ht="66">
      <c r="A616" s="503" t="s">
        <v>231</v>
      </c>
      <c r="B616" s="503" t="s">
        <v>2791</v>
      </c>
      <c r="C616" s="503"/>
      <c r="D616" s="504"/>
      <c r="E616" s="504"/>
      <c r="F616" s="504"/>
    </row>
    <row r="617" spans="1:7" s="388" customFormat="1">
      <c r="A617" s="503"/>
      <c r="B617" s="503" t="s">
        <v>2140</v>
      </c>
      <c r="C617" s="503" t="s">
        <v>1484</v>
      </c>
      <c r="D617" s="504">
        <v>225</v>
      </c>
      <c r="E617" s="504">
        <v>43</v>
      </c>
      <c r="F617" s="504">
        <f t="shared" ref="F617:F618" si="45">D617*E617</f>
        <v>9675</v>
      </c>
    </row>
    <row r="618" spans="1:7" s="388" customFormat="1">
      <c r="A618" s="503"/>
      <c r="B618" s="503" t="s">
        <v>2141</v>
      </c>
      <c r="C618" s="503" t="s">
        <v>1484</v>
      </c>
      <c r="D618" s="504">
        <v>150</v>
      </c>
      <c r="E618" s="504">
        <v>38</v>
      </c>
      <c r="F618" s="504">
        <f t="shared" si="45"/>
        <v>5700</v>
      </c>
    </row>
    <row r="619" spans="1:7" s="388" customFormat="1">
      <c r="A619" s="503"/>
      <c r="B619" s="503"/>
      <c r="C619" s="503"/>
      <c r="D619" s="504"/>
      <c r="E619" s="504"/>
      <c r="F619" s="504">
        <f t="shared" si="40"/>
        <v>0</v>
      </c>
    </row>
    <row r="620" spans="1:7" s="388" customFormat="1" ht="66">
      <c r="A620" s="503" t="s">
        <v>1202</v>
      </c>
      <c r="B620" s="503" t="s">
        <v>2170</v>
      </c>
      <c r="C620" s="503" t="s">
        <v>2171</v>
      </c>
      <c r="D620" s="504">
        <v>24</v>
      </c>
      <c r="E620" s="504">
        <v>20</v>
      </c>
      <c r="F620" s="504">
        <f t="shared" si="40"/>
        <v>480</v>
      </c>
    </row>
    <row r="621" spans="1:7" s="388" customFormat="1">
      <c r="A621" s="503"/>
      <c r="B621" s="503"/>
      <c r="C621" s="503"/>
      <c r="D621" s="504"/>
      <c r="E621" s="504"/>
      <c r="F621" s="504"/>
    </row>
    <row r="622" spans="1:7" s="388" customFormat="1" ht="39.6">
      <c r="A622" s="503" t="s">
        <v>1203</v>
      </c>
      <c r="B622" s="503" t="s">
        <v>2172</v>
      </c>
      <c r="C622" s="503" t="s">
        <v>1893</v>
      </c>
      <c r="D622" s="504">
        <v>120</v>
      </c>
      <c r="E622" s="504">
        <v>10</v>
      </c>
      <c r="F622" s="504">
        <f t="shared" ref="F622" si="46">D622*E622</f>
        <v>1200</v>
      </c>
    </row>
    <row r="623" spans="1:7" s="388" customFormat="1">
      <c r="A623" s="503"/>
      <c r="B623" s="503"/>
      <c r="C623" s="503"/>
      <c r="D623" s="504"/>
      <c r="E623" s="504"/>
      <c r="F623" s="504"/>
    </row>
    <row r="624" spans="1:7" s="507" customFormat="1" ht="26.4">
      <c r="A624" s="505"/>
      <c r="B624" s="505" t="s">
        <v>2173</v>
      </c>
      <c r="C624" s="505"/>
      <c r="D624" s="506"/>
      <c r="E624" s="506"/>
      <c r="F624" s="506">
        <f>SUM(F580:F622)</f>
        <v>55646.720000000001</v>
      </c>
      <c r="G624" s="526"/>
    </row>
    <row r="625" spans="1:7" s="507" customFormat="1">
      <c r="A625" s="505"/>
      <c r="B625" s="505"/>
      <c r="C625" s="505"/>
      <c r="D625" s="506"/>
      <c r="E625" s="506"/>
      <c r="F625" s="506"/>
      <c r="G625" s="388"/>
    </row>
    <row r="626" spans="1:7" s="510" customFormat="1">
      <c r="A626" s="519"/>
      <c r="B626" s="519"/>
      <c r="C626" s="519"/>
      <c r="D626" s="517"/>
      <c r="E626" s="504"/>
      <c r="F626" s="517"/>
    </row>
    <row r="627" spans="1:7" s="496" customFormat="1">
      <c r="A627" s="494" t="s">
        <v>962</v>
      </c>
      <c r="B627" s="494" t="s">
        <v>2174</v>
      </c>
      <c r="C627" s="494"/>
      <c r="D627" s="495"/>
      <c r="E627" s="495"/>
      <c r="F627" s="511"/>
      <c r="G627" s="388"/>
    </row>
    <row r="628" spans="1:7" s="388" customFormat="1">
      <c r="A628" s="503"/>
      <c r="B628" s="503"/>
      <c r="C628" s="503"/>
      <c r="D628" s="504"/>
      <c r="E628" s="504"/>
      <c r="F628" s="504"/>
    </row>
    <row r="629" spans="1:7" s="388" customFormat="1" ht="118.8">
      <c r="A629" s="503" t="s">
        <v>0</v>
      </c>
      <c r="B629" s="503" t="s">
        <v>2175</v>
      </c>
      <c r="C629" s="503"/>
      <c r="D629" s="504"/>
      <c r="E629" s="923"/>
      <c r="F629" s="504"/>
    </row>
    <row r="630" spans="1:7" s="388" customFormat="1">
      <c r="A630" s="503"/>
      <c r="B630" s="503"/>
      <c r="C630" s="503" t="s">
        <v>291</v>
      </c>
      <c r="D630" s="504">
        <v>1</v>
      </c>
      <c r="E630" s="924">
        <v>320</v>
      </c>
      <c r="F630" s="504">
        <f t="shared" ref="F630:F642" si="47">D630*E630</f>
        <v>320</v>
      </c>
    </row>
    <row r="631" spans="1:7" s="388" customFormat="1">
      <c r="A631" s="503"/>
      <c r="B631" s="503"/>
      <c r="C631" s="503"/>
      <c r="D631" s="504"/>
      <c r="E631" s="924"/>
      <c r="F631" s="504"/>
    </row>
    <row r="632" spans="1:7" s="388" customFormat="1" ht="54.75" customHeight="1">
      <c r="A632" s="503" t="s">
        <v>4</v>
      </c>
      <c r="B632" s="503" t="s">
        <v>2176</v>
      </c>
      <c r="C632" s="503"/>
      <c r="D632" s="504"/>
      <c r="E632" s="534"/>
      <c r="F632" s="504"/>
    </row>
    <row r="633" spans="1:7" s="388" customFormat="1">
      <c r="A633" s="503"/>
      <c r="B633" s="503"/>
      <c r="C633" s="503" t="s">
        <v>291</v>
      </c>
      <c r="D633" s="504">
        <v>1</v>
      </c>
      <c r="E633" s="504">
        <v>55</v>
      </c>
      <c r="F633" s="504">
        <f t="shared" si="47"/>
        <v>55</v>
      </c>
    </row>
    <row r="634" spans="1:7" s="388" customFormat="1">
      <c r="A634" s="503"/>
      <c r="B634" s="503"/>
      <c r="C634" s="503"/>
      <c r="D634" s="504"/>
      <c r="E634" s="504"/>
      <c r="F634" s="504"/>
    </row>
    <row r="635" spans="1:7" s="388" customFormat="1" ht="52.8">
      <c r="A635" s="503" t="s">
        <v>3</v>
      </c>
      <c r="B635" s="503" t="s">
        <v>2177</v>
      </c>
      <c r="C635" s="503"/>
      <c r="D635" s="504"/>
      <c r="E635" s="504"/>
      <c r="F635" s="504"/>
    </row>
    <row r="636" spans="1:7" s="388" customFormat="1">
      <c r="A636" s="503"/>
      <c r="B636" s="503"/>
      <c r="C636" s="503" t="s">
        <v>291</v>
      </c>
      <c r="D636" s="504">
        <v>1</v>
      </c>
      <c r="E636" s="504">
        <v>125</v>
      </c>
      <c r="F636" s="504">
        <f t="shared" ref="F636" si="48">D636*E636</f>
        <v>125</v>
      </c>
    </row>
    <row r="637" spans="1:7" s="388" customFormat="1">
      <c r="A637" s="503"/>
      <c r="B637" s="503"/>
      <c r="C637" s="503"/>
      <c r="D637" s="504"/>
      <c r="E637" s="504"/>
      <c r="F637" s="504"/>
    </row>
    <row r="638" spans="1:7" s="388" customFormat="1">
      <c r="A638" s="503" t="s">
        <v>5</v>
      </c>
      <c r="B638" s="503" t="s">
        <v>2178</v>
      </c>
      <c r="C638" s="503"/>
      <c r="D638" s="504"/>
      <c r="E638" s="504"/>
      <c r="F638" s="504"/>
    </row>
    <row r="639" spans="1:7" s="388" customFormat="1">
      <c r="A639" s="503"/>
      <c r="B639" s="503" t="s">
        <v>2179</v>
      </c>
      <c r="C639" s="503" t="s">
        <v>1484</v>
      </c>
      <c r="D639" s="504">
        <v>30</v>
      </c>
      <c r="E639" s="504">
        <v>2.16</v>
      </c>
      <c r="F639" s="504">
        <f t="shared" si="47"/>
        <v>64.800000000000011</v>
      </c>
    </row>
    <row r="640" spans="1:7" s="388" customFormat="1">
      <c r="A640" s="503"/>
      <c r="B640" s="503"/>
      <c r="C640" s="503"/>
      <c r="D640" s="504"/>
      <c r="E640" s="504"/>
      <c r="F640" s="504"/>
    </row>
    <row r="641" spans="1:7" s="388" customFormat="1">
      <c r="A641" s="503" t="s">
        <v>49</v>
      </c>
      <c r="B641" s="503" t="s">
        <v>2178</v>
      </c>
      <c r="C641" s="503"/>
      <c r="D641" s="504"/>
      <c r="E641" s="504"/>
      <c r="F641" s="504"/>
    </row>
    <row r="642" spans="1:7" s="388" customFormat="1" ht="26.4">
      <c r="A642" s="503"/>
      <c r="B642" s="503" t="s">
        <v>2180</v>
      </c>
      <c r="C642" s="503" t="s">
        <v>1484</v>
      </c>
      <c r="D642" s="504">
        <v>30</v>
      </c>
      <c r="E642" s="504">
        <v>3</v>
      </c>
      <c r="F642" s="504">
        <f t="shared" si="47"/>
        <v>90</v>
      </c>
    </row>
    <row r="643" spans="1:7" s="388" customFormat="1">
      <c r="A643" s="503"/>
      <c r="B643" s="503"/>
      <c r="C643" s="503"/>
      <c r="D643" s="504"/>
      <c r="E643" s="504"/>
      <c r="F643" s="504"/>
    </row>
    <row r="644" spans="1:7" s="388" customFormat="1">
      <c r="A644" s="503" t="s">
        <v>58</v>
      </c>
      <c r="B644" s="503" t="s">
        <v>2120</v>
      </c>
      <c r="C644" s="503"/>
      <c r="D644" s="504"/>
      <c r="E644" s="504"/>
      <c r="F644" s="504"/>
    </row>
    <row r="645" spans="1:7" s="388" customFormat="1">
      <c r="A645" s="503"/>
      <c r="B645" s="503" t="s">
        <v>2122</v>
      </c>
      <c r="C645" s="503" t="s">
        <v>1484</v>
      </c>
      <c r="D645" s="504">
        <v>30</v>
      </c>
      <c r="E645" s="504">
        <v>2</v>
      </c>
      <c r="F645" s="504">
        <f t="shared" ref="F645" si="49">D645*E645</f>
        <v>60</v>
      </c>
    </row>
    <row r="646" spans="1:7" s="388" customFormat="1">
      <c r="A646" s="503"/>
      <c r="B646" s="503"/>
      <c r="C646" s="503"/>
      <c r="D646" s="504"/>
      <c r="E646" s="504"/>
      <c r="F646" s="504"/>
    </row>
    <row r="647" spans="1:7" s="507" customFormat="1">
      <c r="A647" s="505"/>
      <c r="B647" s="505" t="s">
        <v>2181</v>
      </c>
      <c r="C647" s="505"/>
      <c r="D647" s="506"/>
      <c r="E647" s="506"/>
      <c r="F647" s="506">
        <f>SUM(F630:F645)</f>
        <v>714.8</v>
      </c>
      <c r="G647" s="388"/>
    </row>
    <row r="648" spans="1:7" s="388" customFormat="1">
      <c r="A648" s="503"/>
      <c r="B648" s="503"/>
      <c r="C648" s="503"/>
      <c r="D648" s="504"/>
      <c r="E648" s="504"/>
      <c r="F648" s="504"/>
    </row>
    <row r="649" spans="1:7" s="388" customFormat="1">
      <c r="A649" s="503"/>
      <c r="B649" s="503"/>
      <c r="C649" s="503"/>
      <c r="D649" s="504"/>
      <c r="E649" s="504"/>
      <c r="F649" s="504"/>
    </row>
    <row r="650" spans="1:7" s="496" customFormat="1" ht="26.4">
      <c r="A650" s="494" t="s">
        <v>965</v>
      </c>
      <c r="B650" s="494" t="s">
        <v>2182</v>
      </c>
      <c r="C650" s="494"/>
      <c r="D650" s="495"/>
      <c r="E650" s="495"/>
      <c r="F650" s="511"/>
      <c r="G650" s="388"/>
    </row>
    <row r="651" spans="1:7" s="388" customFormat="1">
      <c r="A651" s="503"/>
      <c r="B651" s="503"/>
      <c r="C651" s="503"/>
      <c r="D651" s="504"/>
      <c r="E651" s="504"/>
      <c r="F651" s="504"/>
    </row>
    <row r="652" spans="1:7" s="388" customFormat="1" ht="184.8">
      <c r="A652" s="503" t="s">
        <v>0</v>
      </c>
      <c r="B652" s="503" t="s">
        <v>2183</v>
      </c>
      <c r="C652" s="503" t="s">
        <v>291</v>
      </c>
      <c r="D652" s="504">
        <v>1</v>
      </c>
      <c r="E652" s="504">
        <v>110</v>
      </c>
      <c r="F652" s="504">
        <f t="shared" ref="F652" si="50">D652*E652</f>
        <v>110</v>
      </c>
    </row>
    <row r="653" spans="1:7" s="532" customFormat="1">
      <c r="A653" s="527"/>
      <c r="B653" s="528"/>
      <c r="C653" s="529"/>
      <c r="D653" s="530"/>
      <c r="E653" s="531"/>
      <c r="F653" s="504"/>
      <c r="G653" s="388"/>
    </row>
    <row r="654" spans="1:7" s="388" customFormat="1" ht="79.2">
      <c r="A654" s="503" t="s">
        <v>4</v>
      </c>
      <c r="B654" s="503" t="s">
        <v>2184</v>
      </c>
      <c r="C654" s="503" t="s">
        <v>1906</v>
      </c>
      <c r="D654" s="504">
        <v>1</v>
      </c>
      <c r="E654" s="504">
        <v>80</v>
      </c>
      <c r="F654" s="504">
        <f t="shared" ref="F654" si="51">D654*E654</f>
        <v>80</v>
      </c>
    </row>
    <row r="655" spans="1:7" s="532" customFormat="1">
      <c r="A655" s="527"/>
      <c r="B655" s="528"/>
      <c r="C655" s="503"/>
      <c r="D655" s="530"/>
      <c r="E655" s="531"/>
      <c r="F655" s="504"/>
      <c r="G655" s="388"/>
    </row>
    <row r="656" spans="1:7" s="388" customFormat="1" ht="211.2">
      <c r="A656" s="503" t="s">
        <v>3</v>
      </c>
      <c r="B656" s="503" t="s">
        <v>2185</v>
      </c>
      <c r="C656" s="503" t="s">
        <v>1906</v>
      </c>
      <c r="D656" s="504">
        <v>1</v>
      </c>
      <c r="E656" s="504">
        <v>110</v>
      </c>
      <c r="F656" s="504">
        <f t="shared" ref="F656" si="52">D656*E656</f>
        <v>110</v>
      </c>
    </row>
    <row r="657" spans="1:7" s="532" customFormat="1">
      <c r="A657" s="527"/>
      <c r="B657" s="528"/>
      <c r="C657" s="503"/>
      <c r="D657" s="530"/>
      <c r="E657" s="531"/>
      <c r="F657" s="504"/>
      <c r="G657" s="388"/>
    </row>
    <row r="658" spans="1:7" s="388" customFormat="1" ht="18.75" customHeight="1">
      <c r="A658" s="503" t="s">
        <v>5</v>
      </c>
      <c r="B658" s="503" t="s">
        <v>2186</v>
      </c>
      <c r="C658" s="503" t="s">
        <v>1906</v>
      </c>
      <c r="D658" s="504">
        <v>2</v>
      </c>
      <c r="E658" s="504">
        <v>450</v>
      </c>
      <c r="F658" s="504">
        <f t="shared" ref="F658" si="53">D658*E658</f>
        <v>900</v>
      </c>
    </row>
    <row r="659" spans="1:7" s="532" customFormat="1">
      <c r="A659" s="527"/>
      <c r="B659" s="533"/>
      <c r="C659" s="529"/>
      <c r="D659" s="530"/>
      <c r="E659" s="531"/>
      <c r="F659" s="534"/>
      <c r="G659" s="388"/>
    </row>
    <row r="660" spans="1:7" s="388" customFormat="1" ht="16.5" customHeight="1">
      <c r="A660" s="503"/>
      <c r="B660" s="503" t="s">
        <v>2187</v>
      </c>
      <c r="C660" s="503"/>
      <c r="D660" s="504"/>
      <c r="E660" s="504"/>
      <c r="F660" s="504"/>
    </row>
    <row r="661" spans="1:7" s="388" customFormat="1">
      <c r="A661" s="503"/>
      <c r="B661" s="503"/>
      <c r="C661" s="503"/>
      <c r="D661" s="504"/>
      <c r="E661" s="534"/>
      <c r="F661" s="534"/>
    </row>
    <row r="662" spans="1:7" s="507" customFormat="1" ht="26.4">
      <c r="A662" s="505"/>
      <c r="B662" s="505" t="s">
        <v>2188</v>
      </c>
      <c r="C662" s="505"/>
      <c r="D662" s="506"/>
      <c r="E662" s="535"/>
      <c r="F662" s="535">
        <f>SUM(F652:F658)</f>
        <v>1200</v>
      </c>
      <c r="G662" s="388"/>
    </row>
    <row r="663" spans="1:7" s="507" customFormat="1">
      <c r="A663" s="505"/>
      <c r="B663" s="505"/>
      <c r="C663" s="505"/>
      <c r="D663" s="506"/>
      <c r="E663" s="535"/>
      <c r="F663" s="535"/>
      <c r="G663" s="388"/>
    </row>
    <row r="664" spans="1:7" s="388" customFormat="1">
      <c r="A664" s="503"/>
      <c r="B664" s="503"/>
      <c r="C664" s="503"/>
      <c r="D664" s="504"/>
      <c r="E664" s="504"/>
      <c r="F664" s="504"/>
    </row>
    <row r="665" spans="1:7" s="496" customFormat="1">
      <c r="A665" s="494" t="s">
        <v>972</v>
      </c>
      <c r="B665" s="494" t="s">
        <v>2189</v>
      </c>
      <c r="C665" s="494"/>
      <c r="D665" s="495"/>
      <c r="E665" s="495"/>
      <c r="F665" s="511"/>
      <c r="G665" s="388"/>
    </row>
    <row r="666" spans="1:7" s="388" customFormat="1">
      <c r="A666" s="503"/>
      <c r="B666" s="503"/>
      <c r="C666" s="503"/>
      <c r="D666" s="504"/>
      <c r="E666" s="504"/>
      <c r="F666" s="504"/>
    </row>
    <row r="667" spans="1:7" s="388" customFormat="1" ht="52.8">
      <c r="A667" s="503" t="s">
        <v>0</v>
      </c>
      <c r="B667" s="503" t="s">
        <v>2190</v>
      </c>
      <c r="C667" s="503" t="s">
        <v>291</v>
      </c>
      <c r="D667" s="504">
        <v>20</v>
      </c>
      <c r="E667" s="504">
        <v>15</v>
      </c>
      <c r="F667" s="504">
        <f t="shared" ref="F667" si="54">D667*E667</f>
        <v>300</v>
      </c>
    </row>
    <row r="668" spans="1:7" s="388" customFormat="1">
      <c r="A668" s="503"/>
      <c r="B668" s="503"/>
      <c r="C668" s="503"/>
      <c r="D668" s="504"/>
      <c r="E668" s="504"/>
      <c r="F668" s="504"/>
    </row>
    <row r="669" spans="1:7" s="388" customFormat="1" ht="52.8">
      <c r="A669" s="503" t="s">
        <v>4</v>
      </c>
      <c r="B669" s="503" t="s">
        <v>2191</v>
      </c>
      <c r="C669" s="503" t="s">
        <v>291</v>
      </c>
      <c r="D669" s="504">
        <v>52</v>
      </c>
      <c r="E669" s="504">
        <v>19</v>
      </c>
      <c r="F669" s="504">
        <f t="shared" ref="F669" si="55">D669*E669</f>
        <v>988</v>
      </c>
    </row>
    <row r="670" spans="1:7" s="388" customFormat="1">
      <c r="A670" s="503"/>
      <c r="B670" s="503"/>
      <c r="C670" s="503"/>
      <c r="D670" s="504"/>
      <c r="E670" s="504"/>
      <c r="F670" s="504"/>
    </row>
    <row r="671" spans="1:7" s="388" customFormat="1" ht="26.4">
      <c r="A671" s="503" t="s">
        <v>3</v>
      </c>
      <c r="B671" s="503" t="s">
        <v>2192</v>
      </c>
      <c r="C671" s="503" t="s">
        <v>291</v>
      </c>
      <c r="D671" s="504">
        <v>290</v>
      </c>
      <c r="E671" s="504">
        <v>1.5</v>
      </c>
      <c r="F671" s="504">
        <f t="shared" ref="F671:F687" si="56">D671*E671</f>
        <v>435</v>
      </c>
    </row>
    <row r="672" spans="1:7" s="388" customFormat="1">
      <c r="A672" s="503"/>
      <c r="B672" s="503"/>
      <c r="C672" s="503"/>
      <c r="D672" s="504"/>
      <c r="E672" s="504"/>
      <c r="F672" s="504"/>
    </row>
    <row r="673" spans="1:6" s="388" customFormat="1" ht="52.8">
      <c r="A673" s="503" t="s">
        <v>5</v>
      </c>
      <c r="B673" s="503" t="s">
        <v>2193</v>
      </c>
      <c r="C673" s="503" t="s">
        <v>291</v>
      </c>
      <c r="D673" s="504">
        <v>35</v>
      </c>
      <c r="E673" s="504">
        <v>15</v>
      </c>
      <c r="F673" s="504">
        <f t="shared" ref="F673" si="57">D673*E673</f>
        <v>525</v>
      </c>
    </row>
    <row r="674" spans="1:6" s="388" customFormat="1">
      <c r="A674" s="503"/>
      <c r="B674" s="503"/>
      <c r="C674" s="503"/>
      <c r="D674" s="504"/>
      <c r="E674" s="504"/>
      <c r="F674" s="504"/>
    </row>
    <row r="675" spans="1:6" s="388" customFormat="1" ht="39.6">
      <c r="A675" s="503" t="s">
        <v>49</v>
      </c>
      <c r="B675" s="503" t="s">
        <v>2194</v>
      </c>
      <c r="C675" s="503" t="s">
        <v>291</v>
      </c>
      <c r="D675" s="504">
        <v>30</v>
      </c>
      <c r="E675" s="504">
        <v>42</v>
      </c>
      <c r="F675" s="504">
        <f t="shared" ref="F675" si="58">D675*E675</f>
        <v>1260</v>
      </c>
    </row>
    <row r="676" spans="1:6" s="388" customFormat="1">
      <c r="A676" s="503"/>
      <c r="B676" s="503"/>
      <c r="C676" s="503"/>
      <c r="D676" s="504"/>
      <c r="E676" s="504"/>
      <c r="F676" s="504"/>
    </row>
    <row r="677" spans="1:6" s="388" customFormat="1" ht="52.8">
      <c r="A677" s="503" t="s">
        <v>58</v>
      </c>
      <c r="B677" s="503" t="s">
        <v>2195</v>
      </c>
      <c r="C677" s="503" t="s">
        <v>291</v>
      </c>
      <c r="D677" s="504">
        <v>12</v>
      </c>
      <c r="E677" s="504">
        <v>15</v>
      </c>
      <c r="F677" s="504">
        <f t="shared" ref="F677" si="59">D677*E677</f>
        <v>180</v>
      </c>
    </row>
    <row r="678" spans="1:6" s="388" customFormat="1">
      <c r="A678" s="503"/>
      <c r="B678" s="503"/>
      <c r="C678" s="503"/>
      <c r="D678" s="504"/>
      <c r="E678" s="504"/>
      <c r="F678" s="504"/>
    </row>
    <row r="679" spans="1:6" s="388" customFormat="1" ht="27.75" customHeight="1">
      <c r="A679" s="503" t="s">
        <v>141</v>
      </c>
      <c r="B679" s="503" t="s">
        <v>2196</v>
      </c>
      <c r="C679" s="503" t="s">
        <v>291</v>
      </c>
      <c r="D679" s="504">
        <v>12</v>
      </c>
      <c r="E679" s="504">
        <v>15</v>
      </c>
      <c r="F679" s="504">
        <f t="shared" si="56"/>
        <v>180</v>
      </c>
    </row>
    <row r="680" spans="1:6" s="388" customFormat="1">
      <c r="A680" s="503"/>
      <c r="B680" s="503"/>
      <c r="C680" s="503"/>
      <c r="D680" s="504"/>
      <c r="E680" s="504"/>
      <c r="F680" s="504"/>
    </row>
    <row r="681" spans="1:6" s="388" customFormat="1" ht="52.8">
      <c r="A681" s="503" t="s">
        <v>1191</v>
      </c>
      <c r="B681" s="503" t="s">
        <v>2197</v>
      </c>
      <c r="C681" s="503" t="s">
        <v>291</v>
      </c>
      <c r="D681" s="504">
        <v>12</v>
      </c>
      <c r="E681" s="504">
        <v>55</v>
      </c>
      <c r="F681" s="504">
        <f t="shared" ref="F681" si="60">D681*E681</f>
        <v>660</v>
      </c>
    </row>
    <row r="682" spans="1:6" s="388" customFormat="1">
      <c r="A682" s="503"/>
      <c r="B682" s="503"/>
      <c r="C682" s="503"/>
      <c r="D682" s="504"/>
      <c r="E682" s="504"/>
      <c r="F682" s="504"/>
    </row>
    <row r="683" spans="1:6" s="388" customFormat="1" ht="26.4">
      <c r="A683" s="503" t="s">
        <v>180</v>
      </c>
      <c r="B683" s="503" t="s">
        <v>2198</v>
      </c>
      <c r="C683" s="503" t="s">
        <v>291</v>
      </c>
      <c r="D683" s="504">
        <v>12</v>
      </c>
      <c r="E683" s="504">
        <v>5</v>
      </c>
      <c r="F683" s="504">
        <f t="shared" si="56"/>
        <v>60</v>
      </c>
    </row>
    <row r="684" spans="1:6" s="388" customFormat="1">
      <c r="A684" s="503"/>
      <c r="B684" s="503"/>
      <c r="C684" s="503"/>
      <c r="D684" s="504"/>
      <c r="E684" s="504"/>
      <c r="F684" s="504"/>
    </row>
    <row r="685" spans="1:6" s="388" customFormat="1" ht="39.6">
      <c r="A685" s="503" t="s">
        <v>1198</v>
      </c>
      <c r="B685" s="503" t="s">
        <v>2199</v>
      </c>
      <c r="C685" s="503" t="s">
        <v>1484</v>
      </c>
      <c r="D685" s="504">
        <v>350</v>
      </c>
      <c r="E685" s="504">
        <v>8.9</v>
      </c>
      <c r="F685" s="504">
        <f t="shared" si="56"/>
        <v>3115</v>
      </c>
    </row>
    <row r="686" spans="1:6" s="388" customFormat="1">
      <c r="A686" s="503"/>
      <c r="B686" s="503"/>
      <c r="C686" s="503"/>
      <c r="D686" s="504"/>
      <c r="E686" s="504"/>
      <c r="F686" s="504"/>
    </row>
    <row r="687" spans="1:6" s="388" customFormat="1" ht="39.6">
      <c r="A687" s="503" t="s">
        <v>231</v>
      </c>
      <c r="B687" s="503" t="s">
        <v>2200</v>
      </c>
      <c r="C687" s="503" t="s">
        <v>1484</v>
      </c>
      <c r="D687" s="504">
        <v>400</v>
      </c>
      <c r="E687" s="504">
        <v>9</v>
      </c>
      <c r="F687" s="504">
        <f t="shared" si="56"/>
        <v>3600</v>
      </c>
    </row>
    <row r="688" spans="1:6" s="388" customFormat="1">
      <c r="A688" s="503"/>
      <c r="B688" s="503"/>
      <c r="C688" s="503"/>
      <c r="D688" s="504"/>
      <c r="E688" s="504"/>
      <c r="F688" s="504"/>
    </row>
    <row r="689" spans="1:6" s="388" customFormat="1">
      <c r="A689" s="503" t="s">
        <v>1202</v>
      </c>
      <c r="B689" s="503" t="s">
        <v>2201</v>
      </c>
      <c r="C689" s="503" t="s">
        <v>291</v>
      </c>
      <c r="D689" s="504">
        <v>32</v>
      </c>
      <c r="E689" s="504">
        <v>5</v>
      </c>
      <c r="F689" s="504">
        <f t="shared" ref="F689" si="61">D689*E689</f>
        <v>160</v>
      </c>
    </row>
    <row r="690" spans="1:6" s="388" customFormat="1">
      <c r="A690" s="503"/>
      <c r="B690" s="503"/>
      <c r="C690" s="503"/>
      <c r="D690" s="504"/>
      <c r="E690" s="504"/>
      <c r="F690" s="504"/>
    </row>
    <row r="691" spans="1:6" s="388" customFormat="1" ht="26.4">
      <c r="A691" s="503" t="s">
        <v>1203</v>
      </c>
      <c r="B691" s="503" t="s">
        <v>2202</v>
      </c>
      <c r="C691" s="503" t="s">
        <v>291</v>
      </c>
      <c r="D691" s="504">
        <v>36</v>
      </c>
      <c r="E691" s="504">
        <v>15</v>
      </c>
      <c r="F691" s="504">
        <f t="shared" ref="F691" si="62">D691*E691</f>
        <v>540</v>
      </c>
    </row>
    <row r="692" spans="1:6" s="388" customFormat="1">
      <c r="A692" s="503"/>
      <c r="B692" s="503"/>
      <c r="C692" s="503"/>
      <c r="D692" s="504"/>
      <c r="E692" s="504"/>
      <c r="F692" s="504"/>
    </row>
    <row r="693" spans="1:6" s="388" customFormat="1" ht="52.8">
      <c r="A693" s="503" t="s">
        <v>1205</v>
      </c>
      <c r="B693" s="503" t="s">
        <v>2203</v>
      </c>
      <c r="C693" s="503" t="s">
        <v>291</v>
      </c>
      <c r="D693" s="504">
        <v>12</v>
      </c>
      <c r="E693" s="504">
        <v>75</v>
      </c>
      <c r="F693" s="504">
        <f t="shared" ref="F693" si="63">D693*E693</f>
        <v>900</v>
      </c>
    </row>
    <row r="694" spans="1:6" s="388" customFormat="1">
      <c r="A694" s="503"/>
      <c r="B694" s="503"/>
      <c r="C694" s="503"/>
      <c r="D694" s="504"/>
      <c r="E694" s="504"/>
      <c r="F694" s="504"/>
    </row>
    <row r="695" spans="1:6" s="388" customFormat="1" ht="39.6">
      <c r="A695" s="503" t="s">
        <v>1206</v>
      </c>
      <c r="B695" s="503" t="s">
        <v>2204</v>
      </c>
      <c r="C695" s="503" t="s">
        <v>291</v>
      </c>
      <c r="D695" s="504">
        <v>6</v>
      </c>
      <c r="E695" s="504">
        <v>15</v>
      </c>
      <c r="F695" s="504">
        <f t="shared" ref="F695" si="64">D695*E695</f>
        <v>90</v>
      </c>
    </row>
    <row r="696" spans="1:6" s="388" customFormat="1">
      <c r="A696" s="503"/>
      <c r="B696" s="503"/>
      <c r="C696" s="503"/>
      <c r="D696" s="504"/>
      <c r="E696" s="504"/>
      <c r="F696" s="504"/>
    </row>
    <row r="697" spans="1:6" s="388" customFormat="1" ht="39.6">
      <c r="A697" s="503" t="s">
        <v>1210</v>
      </c>
      <c r="B697" s="503" t="s">
        <v>2205</v>
      </c>
      <c r="C697" s="503" t="s">
        <v>291</v>
      </c>
      <c r="D697" s="504">
        <v>2</v>
      </c>
      <c r="E697" s="504">
        <v>350</v>
      </c>
      <c r="F697" s="504">
        <f>E697*D697</f>
        <v>700</v>
      </c>
    </row>
    <row r="698" spans="1:6" s="388" customFormat="1">
      <c r="A698" s="503"/>
      <c r="B698" s="503"/>
      <c r="C698" s="503"/>
      <c r="D698" s="504"/>
      <c r="E698" s="504"/>
      <c r="F698" s="504"/>
    </row>
    <row r="699" spans="1:6" s="388" customFormat="1" ht="39.6">
      <c r="A699" s="503" t="s">
        <v>1211</v>
      </c>
      <c r="B699" s="503" t="s">
        <v>2206</v>
      </c>
      <c r="C699" s="503" t="s">
        <v>291</v>
      </c>
      <c r="D699" s="504">
        <f>D697</f>
        <v>2</v>
      </c>
      <c r="E699" s="504">
        <v>15</v>
      </c>
      <c r="F699" s="504">
        <f>E699*D699</f>
        <v>30</v>
      </c>
    </row>
    <row r="700" spans="1:6" s="388" customFormat="1">
      <c r="A700" s="503"/>
      <c r="B700" s="503"/>
      <c r="C700" s="503"/>
      <c r="D700" s="504"/>
      <c r="E700" s="504"/>
      <c r="F700" s="504"/>
    </row>
    <row r="701" spans="1:6" s="388" customFormat="1" ht="39.6">
      <c r="A701" s="503" t="s">
        <v>1212</v>
      </c>
      <c r="B701" s="503" t="s">
        <v>2207</v>
      </c>
      <c r="C701" s="503" t="s">
        <v>291</v>
      </c>
      <c r="D701" s="504">
        <v>12</v>
      </c>
      <c r="E701" s="504">
        <v>15</v>
      </c>
      <c r="F701" s="504">
        <f t="shared" ref="F701" si="65">D701*E701</f>
        <v>180</v>
      </c>
    </row>
    <row r="702" spans="1:6" s="388" customFormat="1">
      <c r="A702" s="503"/>
      <c r="B702" s="503"/>
      <c r="C702" s="503"/>
      <c r="D702" s="504"/>
      <c r="E702" s="504"/>
      <c r="F702" s="504"/>
    </row>
    <row r="703" spans="1:6" s="388" customFormat="1" ht="38.25" customHeight="1">
      <c r="A703" s="503" t="s">
        <v>1213</v>
      </c>
      <c r="B703" s="503" t="s">
        <v>2208</v>
      </c>
      <c r="C703" s="503" t="s">
        <v>291</v>
      </c>
      <c r="D703" s="504">
        <v>132</v>
      </c>
      <c r="E703" s="504">
        <v>5.2</v>
      </c>
      <c r="F703" s="504">
        <f t="shared" ref="F703" si="66">D703*E703</f>
        <v>686.4</v>
      </c>
    </row>
    <row r="704" spans="1:6" s="388" customFormat="1">
      <c r="A704" s="503"/>
      <c r="B704" s="503"/>
      <c r="C704" s="503"/>
      <c r="D704" s="504"/>
      <c r="E704" s="504"/>
      <c r="F704" s="504"/>
    </row>
    <row r="705" spans="1:7" s="388" customFormat="1" ht="26.4">
      <c r="A705" s="503" t="s">
        <v>1214</v>
      </c>
      <c r="B705" s="503" t="s">
        <v>2209</v>
      </c>
      <c r="C705" s="503" t="s">
        <v>1778</v>
      </c>
      <c r="D705" s="504">
        <v>1</v>
      </c>
      <c r="E705" s="504">
        <v>850</v>
      </c>
      <c r="F705" s="504">
        <f t="shared" ref="F705" si="67">D705*E705</f>
        <v>850</v>
      </c>
    </row>
    <row r="706" spans="1:7" s="388" customFormat="1">
      <c r="A706" s="503"/>
      <c r="B706" s="503"/>
      <c r="C706" s="503"/>
      <c r="D706" s="504"/>
      <c r="E706" s="504"/>
      <c r="F706" s="504"/>
    </row>
    <row r="707" spans="1:7" s="507" customFormat="1">
      <c r="A707" s="505"/>
      <c r="B707" s="505" t="s">
        <v>2210</v>
      </c>
      <c r="C707" s="505"/>
      <c r="D707" s="506"/>
      <c r="E707" s="506"/>
      <c r="F707" s="506">
        <f>SUM(F667:F705)</f>
        <v>15439.4</v>
      </c>
      <c r="G707" s="388"/>
    </row>
    <row r="708" spans="1:7" s="507" customFormat="1">
      <c r="A708" s="505"/>
      <c r="B708" s="505"/>
      <c r="C708" s="505"/>
      <c r="D708" s="506"/>
      <c r="E708" s="506"/>
      <c r="F708" s="506"/>
      <c r="G708" s="388"/>
    </row>
    <row r="709" spans="1:7" s="388" customFormat="1">
      <c r="A709" s="503"/>
      <c r="B709" s="503"/>
      <c r="C709" s="503"/>
      <c r="D709" s="504"/>
      <c r="E709" s="504"/>
      <c r="F709" s="504"/>
    </row>
    <row r="710" spans="1:7" s="496" customFormat="1" ht="26.4">
      <c r="A710" s="494" t="s">
        <v>2211</v>
      </c>
      <c r="B710" s="494" t="s">
        <v>2212</v>
      </c>
      <c r="C710" s="494"/>
      <c r="D710" s="495"/>
      <c r="E710" s="495"/>
      <c r="F710" s="511"/>
      <c r="G710" s="388"/>
    </row>
    <row r="711" spans="1:7" s="388" customFormat="1">
      <c r="A711" s="503"/>
      <c r="B711" s="503"/>
      <c r="C711" s="503"/>
      <c r="D711" s="504"/>
      <c r="E711" s="504"/>
      <c r="F711" s="504"/>
    </row>
    <row r="712" spans="1:7" s="388" customFormat="1" ht="39.6">
      <c r="A712" s="503"/>
      <c r="B712" s="503" t="s">
        <v>2213</v>
      </c>
      <c r="C712" s="503"/>
      <c r="D712" s="504"/>
      <c r="E712" s="504"/>
      <c r="F712" s="504"/>
    </row>
    <row r="713" spans="1:7" s="388" customFormat="1">
      <c r="A713" s="503"/>
      <c r="B713" s="503"/>
      <c r="C713" s="503"/>
      <c r="D713" s="504"/>
      <c r="E713" s="504"/>
      <c r="F713" s="504"/>
    </row>
    <row r="714" spans="1:7" s="388" customFormat="1" ht="39.6">
      <c r="A714" s="503" t="s">
        <v>0</v>
      </c>
      <c r="B714" s="503" t="s">
        <v>2214</v>
      </c>
      <c r="C714" s="503" t="s">
        <v>1484</v>
      </c>
      <c r="D714" s="504">
        <v>35</v>
      </c>
      <c r="E714" s="504">
        <v>2</v>
      </c>
      <c r="F714" s="504">
        <f>SUM(D714*E714)</f>
        <v>70</v>
      </c>
    </row>
    <row r="715" spans="1:7" s="388" customFormat="1">
      <c r="A715" s="503"/>
      <c r="B715" s="503"/>
      <c r="C715" s="503"/>
      <c r="D715" s="504"/>
      <c r="E715" s="504"/>
      <c r="F715" s="504"/>
    </row>
    <row r="716" spans="1:7" s="388" customFormat="1" ht="39.6">
      <c r="A716" s="503" t="s">
        <v>4</v>
      </c>
      <c r="B716" s="503" t="s">
        <v>2215</v>
      </c>
      <c r="C716" s="503" t="s">
        <v>1873</v>
      </c>
      <c r="D716" s="504">
        <v>11.5</v>
      </c>
      <c r="E716" s="504">
        <v>40</v>
      </c>
      <c r="F716" s="504">
        <f>SUM(D716*E716)</f>
        <v>460</v>
      </c>
    </row>
    <row r="717" spans="1:7" s="388" customFormat="1">
      <c r="A717" s="503"/>
      <c r="B717" s="503"/>
      <c r="C717" s="503"/>
      <c r="D717" s="504"/>
      <c r="E717" s="504"/>
      <c r="F717" s="504"/>
    </row>
    <row r="718" spans="1:7" s="388" customFormat="1" ht="26.4">
      <c r="A718" s="503" t="s">
        <v>3</v>
      </c>
      <c r="B718" s="503" t="s">
        <v>2216</v>
      </c>
      <c r="C718" s="503" t="s">
        <v>1873</v>
      </c>
      <c r="D718" s="504">
        <v>1</v>
      </c>
      <c r="E718" s="504">
        <v>100</v>
      </c>
      <c r="F718" s="504">
        <f>SUM(D718*E718)</f>
        <v>100</v>
      </c>
    </row>
    <row r="719" spans="1:7" s="388" customFormat="1">
      <c r="A719" s="503"/>
      <c r="B719" s="503"/>
      <c r="C719" s="503"/>
      <c r="D719" s="504"/>
      <c r="E719" s="504"/>
      <c r="F719" s="504"/>
    </row>
    <row r="720" spans="1:7" s="388" customFormat="1" ht="26.4">
      <c r="A720" s="503" t="s">
        <v>5</v>
      </c>
      <c r="B720" s="503" t="s">
        <v>2217</v>
      </c>
      <c r="C720" s="503" t="s">
        <v>1484</v>
      </c>
      <c r="D720" s="504">
        <v>70</v>
      </c>
      <c r="E720" s="504">
        <v>8.4</v>
      </c>
      <c r="F720" s="504">
        <f>D720*E720</f>
        <v>588</v>
      </c>
    </row>
    <row r="721" spans="1:7" s="388" customFormat="1">
      <c r="A721" s="503"/>
      <c r="B721" s="503"/>
      <c r="C721" s="503"/>
      <c r="D721" s="504"/>
      <c r="E721" s="504"/>
      <c r="F721" s="504"/>
    </row>
    <row r="722" spans="1:7" s="388" customFormat="1" ht="26.4">
      <c r="A722" s="503" t="s">
        <v>49</v>
      </c>
      <c r="B722" s="503" t="s">
        <v>2218</v>
      </c>
      <c r="C722" s="503" t="s">
        <v>291</v>
      </c>
      <c r="D722" s="504">
        <v>18</v>
      </c>
      <c r="E722" s="504">
        <v>10</v>
      </c>
      <c r="F722" s="504">
        <f>D722*E722</f>
        <v>180</v>
      </c>
    </row>
    <row r="723" spans="1:7" s="388" customFormat="1">
      <c r="A723" s="503"/>
      <c r="B723" s="503"/>
      <c r="C723" s="503"/>
      <c r="D723" s="504"/>
      <c r="E723" s="504"/>
      <c r="F723" s="504"/>
    </row>
    <row r="724" spans="1:7" s="388" customFormat="1" ht="39.6">
      <c r="A724" s="503" t="s">
        <v>58</v>
      </c>
      <c r="B724" s="503" t="s">
        <v>2219</v>
      </c>
      <c r="C724" s="503" t="s">
        <v>1484</v>
      </c>
      <c r="D724" s="504">
        <v>35</v>
      </c>
      <c r="E724" s="504">
        <v>1.5</v>
      </c>
      <c r="F724" s="504">
        <f>D724*E724</f>
        <v>52.5</v>
      </c>
    </row>
    <row r="725" spans="1:7" s="388" customFormat="1">
      <c r="A725" s="503"/>
      <c r="B725" s="503"/>
      <c r="C725" s="503"/>
      <c r="D725" s="504"/>
      <c r="E725" s="504"/>
      <c r="F725" s="504"/>
    </row>
    <row r="726" spans="1:7" s="388" customFormat="1" ht="39.6">
      <c r="A726" s="503" t="s">
        <v>141</v>
      </c>
      <c r="B726" s="503" t="s">
        <v>1875</v>
      </c>
      <c r="C726" s="503" t="s">
        <v>1873</v>
      </c>
      <c r="D726" s="504">
        <v>11.5</v>
      </c>
      <c r="E726" s="504">
        <v>20</v>
      </c>
      <c r="F726" s="504">
        <f>D726*E726</f>
        <v>230</v>
      </c>
    </row>
    <row r="727" spans="1:7" s="388" customFormat="1">
      <c r="A727" s="503"/>
      <c r="B727" s="503"/>
      <c r="C727" s="503"/>
      <c r="D727" s="504"/>
      <c r="E727" s="504"/>
      <c r="F727" s="504"/>
    </row>
    <row r="728" spans="1:7" s="388" customFormat="1" ht="103.5" customHeight="1">
      <c r="A728" s="503" t="s">
        <v>1191</v>
      </c>
      <c r="B728" s="503" t="s">
        <v>2220</v>
      </c>
      <c r="C728" s="503" t="s">
        <v>291</v>
      </c>
      <c r="D728" s="504">
        <v>1</v>
      </c>
      <c r="E728" s="504">
        <v>800</v>
      </c>
      <c r="F728" s="504">
        <f>D728*E728</f>
        <v>800</v>
      </c>
    </row>
    <row r="729" spans="1:7" s="388" customFormat="1">
      <c r="A729" s="503"/>
      <c r="B729" s="503"/>
      <c r="C729" s="503"/>
      <c r="D729" s="504"/>
      <c r="E729" s="504"/>
      <c r="F729" s="504"/>
    </row>
    <row r="730" spans="1:7" s="388" customFormat="1" ht="103.5" customHeight="1">
      <c r="A730" s="503" t="s">
        <v>180</v>
      </c>
      <c r="B730" s="503" t="s">
        <v>2221</v>
      </c>
      <c r="C730" s="503" t="s">
        <v>291</v>
      </c>
      <c r="D730" s="504">
        <v>2</v>
      </c>
      <c r="E730" s="504">
        <v>1500</v>
      </c>
      <c r="F730" s="504">
        <f>D730*E730</f>
        <v>3000</v>
      </c>
    </row>
    <row r="731" spans="1:7" s="388" customFormat="1">
      <c r="A731" s="503"/>
      <c r="B731" s="503"/>
      <c r="C731" s="503"/>
      <c r="D731" s="504"/>
      <c r="E731" s="504"/>
      <c r="F731" s="504"/>
    </row>
    <row r="732" spans="1:7" s="388" customFormat="1" ht="52.8">
      <c r="A732" s="503" t="s">
        <v>1198</v>
      </c>
      <c r="B732" s="503" t="s">
        <v>2222</v>
      </c>
      <c r="C732" s="503" t="s">
        <v>291</v>
      </c>
      <c r="D732" s="504">
        <v>2</v>
      </c>
      <c r="E732" s="504">
        <v>72</v>
      </c>
      <c r="F732" s="504">
        <f>SUM(D732*E732)</f>
        <v>144</v>
      </c>
    </row>
    <row r="733" spans="1:7" s="388" customFormat="1">
      <c r="A733" s="503"/>
      <c r="B733" s="503"/>
      <c r="C733" s="503"/>
      <c r="D733" s="504"/>
      <c r="E733" s="504"/>
      <c r="F733" s="504"/>
    </row>
    <row r="734" spans="1:7" s="388" customFormat="1" ht="52.8">
      <c r="A734" s="503" t="s">
        <v>231</v>
      </c>
      <c r="B734" s="503" t="s">
        <v>2223</v>
      </c>
      <c r="C734" s="503" t="s">
        <v>1484</v>
      </c>
      <c r="D734" s="504">
        <v>35</v>
      </c>
      <c r="E734" s="504">
        <v>2</v>
      </c>
      <c r="F734" s="504">
        <f>D734*E734</f>
        <v>70</v>
      </c>
    </row>
    <row r="735" spans="1:7" s="388" customFormat="1">
      <c r="A735" s="503"/>
      <c r="B735" s="503"/>
      <c r="C735" s="503"/>
      <c r="D735" s="504"/>
      <c r="E735" s="504"/>
      <c r="F735" s="504"/>
    </row>
    <row r="736" spans="1:7" s="507" customFormat="1" ht="26.4">
      <c r="A736" s="505"/>
      <c r="B736" s="505" t="s">
        <v>2224</v>
      </c>
      <c r="C736" s="505"/>
      <c r="D736" s="506"/>
      <c r="E736" s="506"/>
      <c r="F736" s="506">
        <f>SUM(F714:F734)</f>
        <v>5694.5</v>
      </c>
      <c r="G736" s="388"/>
    </row>
    <row r="737" spans="1:7" s="507" customFormat="1">
      <c r="A737" s="505"/>
      <c r="B737" s="505"/>
      <c r="C737" s="505"/>
      <c r="D737" s="506"/>
      <c r="E737" s="506"/>
      <c r="F737" s="506"/>
      <c r="G737" s="388"/>
    </row>
    <row r="738" spans="1:7" s="510" customFormat="1">
      <c r="A738" s="519"/>
      <c r="B738" s="519"/>
      <c r="C738" s="519"/>
      <c r="D738" s="517"/>
      <c r="E738" s="504"/>
      <c r="F738" s="517"/>
    </row>
    <row r="739" spans="1:7" s="496" customFormat="1">
      <c r="A739" s="494" t="s">
        <v>2225</v>
      </c>
      <c r="B739" s="494" t="s">
        <v>1181</v>
      </c>
      <c r="C739" s="494"/>
      <c r="D739" s="495"/>
      <c r="E739" s="495"/>
      <c r="F739" s="511"/>
      <c r="G739" s="388"/>
    </row>
    <row r="740" spans="1:7" s="388" customFormat="1">
      <c r="A740" s="503"/>
      <c r="B740" s="503"/>
      <c r="C740" s="503"/>
      <c r="D740" s="504"/>
      <c r="E740" s="504"/>
      <c r="F740" s="504"/>
    </row>
    <row r="741" spans="1:7" s="388" customFormat="1" ht="26.4">
      <c r="A741" s="503" t="s">
        <v>0</v>
      </c>
      <c r="B741" s="503" t="s">
        <v>2226</v>
      </c>
      <c r="C741" s="503"/>
      <c r="D741" s="504"/>
      <c r="E741" s="504"/>
      <c r="F741" s="504">
        <f t="shared" ref="F741:F746" si="68">D741*E741</f>
        <v>0</v>
      </c>
    </row>
    <row r="742" spans="1:7" s="388" customFormat="1" ht="16.5" customHeight="1">
      <c r="A742" s="503"/>
      <c r="B742" s="503" t="s">
        <v>2227</v>
      </c>
      <c r="C742" s="503" t="s">
        <v>1484</v>
      </c>
      <c r="D742" s="504">
        <f>(D537+D538+D539+D608+D609)/2</f>
        <v>1470</v>
      </c>
      <c r="E742" s="504">
        <v>5</v>
      </c>
      <c r="F742" s="504">
        <f t="shared" si="68"/>
        <v>7350</v>
      </c>
    </row>
    <row r="743" spans="1:7" s="388" customFormat="1" ht="16.5" customHeight="1">
      <c r="A743" s="503"/>
      <c r="B743" s="503" t="s">
        <v>2228</v>
      </c>
      <c r="C743" s="503" t="s">
        <v>1484</v>
      </c>
      <c r="D743" s="504">
        <f>(D540+D541+D542+D543)/2</f>
        <v>575</v>
      </c>
      <c r="E743" s="504">
        <v>10</v>
      </c>
      <c r="F743" s="504">
        <f t="shared" si="68"/>
        <v>5750</v>
      </c>
    </row>
    <row r="744" spans="1:7" s="388" customFormat="1" ht="52.8">
      <c r="A744" s="503"/>
      <c r="B744" s="503" t="s">
        <v>2229</v>
      </c>
      <c r="C744" s="503" t="s">
        <v>291</v>
      </c>
      <c r="D744" s="504">
        <v>18</v>
      </c>
      <c r="E744" s="504">
        <v>55</v>
      </c>
      <c r="F744" s="504">
        <f>D744*E744</f>
        <v>990</v>
      </c>
    </row>
    <row r="745" spans="1:7" s="388" customFormat="1" ht="16.5" customHeight="1">
      <c r="A745" s="503"/>
      <c r="B745" s="503" t="s">
        <v>2230</v>
      </c>
      <c r="C745" s="503" t="s">
        <v>291</v>
      </c>
      <c r="D745" s="504">
        <v>8</v>
      </c>
      <c r="E745" s="504">
        <v>75</v>
      </c>
      <c r="F745" s="504">
        <f t="shared" si="68"/>
        <v>600</v>
      </c>
    </row>
    <row r="746" spans="1:7" s="388" customFormat="1">
      <c r="A746" s="503"/>
      <c r="B746" s="503"/>
      <c r="C746" s="503"/>
      <c r="D746" s="504"/>
      <c r="E746" s="504"/>
      <c r="F746" s="504">
        <f t="shared" si="68"/>
        <v>0</v>
      </c>
    </row>
    <row r="747" spans="1:7" s="388" customFormat="1" ht="26.4">
      <c r="A747" s="503" t="s">
        <v>4</v>
      </c>
      <c r="B747" s="503" t="s">
        <v>2231</v>
      </c>
      <c r="C747" s="503"/>
      <c r="D747" s="504"/>
      <c r="E747" s="504"/>
      <c r="F747" s="504"/>
    </row>
    <row r="748" spans="1:7" s="388" customFormat="1">
      <c r="A748" s="503"/>
      <c r="B748" s="503" t="s">
        <v>2232</v>
      </c>
      <c r="C748" s="503" t="s">
        <v>2233</v>
      </c>
      <c r="D748" s="504">
        <v>80</v>
      </c>
      <c r="E748" s="504">
        <v>20</v>
      </c>
      <c r="F748" s="504">
        <f t="shared" ref="F748:F755" si="69">D748*E748</f>
        <v>1600</v>
      </c>
    </row>
    <row r="749" spans="1:7" s="388" customFormat="1">
      <c r="A749" s="503"/>
      <c r="B749" s="503" t="s">
        <v>2234</v>
      </c>
      <c r="C749" s="503" t="s">
        <v>2233</v>
      </c>
      <c r="D749" s="504">
        <v>40</v>
      </c>
      <c r="E749" s="504">
        <v>25</v>
      </c>
      <c r="F749" s="504">
        <f t="shared" si="69"/>
        <v>1000</v>
      </c>
    </row>
    <row r="750" spans="1:7" s="388" customFormat="1">
      <c r="A750" s="503"/>
      <c r="B750" s="503"/>
      <c r="C750" s="503"/>
      <c r="D750" s="504"/>
      <c r="E750" s="504"/>
      <c r="F750" s="504">
        <f t="shared" si="69"/>
        <v>0</v>
      </c>
    </row>
    <row r="751" spans="1:7" s="388" customFormat="1" ht="55.5" customHeight="1">
      <c r="A751" s="503" t="s">
        <v>3</v>
      </c>
      <c r="B751" s="503" t="s">
        <v>2235</v>
      </c>
      <c r="C751" s="503" t="s">
        <v>2233</v>
      </c>
      <c r="D751" s="504">
        <v>40</v>
      </c>
      <c r="E751" s="504">
        <v>30</v>
      </c>
      <c r="F751" s="504">
        <f t="shared" si="69"/>
        <v>1200</v>
      </c>
    </row>
    <row r="752" spans="1:7" s="388" customFormat="1">
      <c r="A752" s="503"/>
      <c r="B752" s="503"/>
      <c r="C752" s="503"/>
      <c r="D752" s="504"/>
      <c r="E752" s="504"/>
      <c r="F752" s="504">
        <f t="shared" si="69"/>
        <v>0</v>
      </c>
    </row>
    <row r="753" spans="1:7" s="388" customFormat="1" ht="80.25" customHeight="1">
      <c r="A753" s="503" t="s">
        <v>5</v>
      </c>
      <c r="B753" s="503" t="s">
        <v>2236</v>
      </c>
      <c r="C753" s="503" t="s">
        <v>1778</v>
      </c>
      <c r="D753" s="504">
        <v>1</v>
      </c>
      <c r="E753" s="504">
        <v>1500</v>
      </c>
      <c r="F753" s="504">
        <f t="shared" si="69"/>
        <v>1500</v>
      </c>
    </row>
    <row r="754" spans="1:7" s="388" customFormat="1">
      <c r="A754" s="503"/>
      <c r="B754" s="503"/>
      <c r="C754" s="503"/>
      <c r="D754" s="504"/>
      <c r="E754" s="504"/>
      <c r="F754" s="504">
        <f t="shared" si="69"/>
        <v>0</v>
      </c>
    </row>
    <row r="755" spans="1:7" s="388" customFormat="1" ht="144.75" customHeight="1">
      <c r="A755" s="503" t="s">
        <v>49</v>
      </c>
      <c r="B755" s="503" t="s">
        <v>2237</v>
      </c>
      <c r="C755" s="503" t="s">
        <v>1778</v>
      </c>
      <c r="D755" s="504">
        <v>1</v>
      </c>
      <c r="E755" s="504">
        <v>1500</v>
      </c>
      <c r="F755" s="504">
        <f t="shared" si="69"/>
        <v>1500</v>
      </c>
    </row>
    <row r="756" spans="1:7" s="388" customFormat="1">
      <c r="A756" s="503"/>
      <c r="B756" s="503"/>
      <c r="C756" s="503"/>
      <c r="D756" s="504"/>
      <c r="E756" s="504"/>
      <c r="F756" s="504"/>
    </row>
    <row r="757" spans="1:7" s="507" customFormat="1">
      <c r="A757" s="505"/>
      <c r="B757" s="505" t="s">
        <v>2238</v>
      </c>
      <c r="C757" s="505"/>
      <c r="D757" s="506"/>
      <c r="E757" s="506"/>
      <c r="F757" s="506">
        <f>SUM(F742:F755)</f>
        <v>21490</v>
      </c>
      <c r="G757" s="536"/>
    </row>
    <row r="758" spans="1:7" s="507" customFormat="1">
      <c r="A758" s="505"/>
      <c r="B758" s="505"/>
      <c r="C758" s="505"/>
      <c r="D758" s="506"/>
      <c r="E758" s="506"/>
      <c r="F758" s="506"/>
    </row>
    <row r="759" spans="1:7" s="510" customFormat="1">
      <c r="A759" s="519"/>
      <c r="B759" s="519"/>
      <c r="C759" s="519"/>
      <c r="D759" s="517"/>
      <c r="E759" s="517"/>
      <c r="F759" s="517"/>
    </row>
    <row r="760" spans="1:7" s="510" customFormat="1">
      <c r="A760" s="519"/>
      <c r="B760" s="519"/>
      <c r="C760" s="519"/>
      <c r="D760" s="517"/>
      <c r="E760" s="517"/>
      <c r="F760" s="517"/>
    </row>
    <row r="761" spans="1:7" s="388" customFormat="1">
      <c r="A761" s="503"/>
      <c r="B761" s="503"/>
      <c r="C761" s="503"/>
      <c r="D761" s="504"/>
      <c r="E761" s="504"/>
      <c r="F761" s="504"/>
    </row>
    <row r="762" spans="1:7" s="388" customFormat="1">
      <c r="A762" s="503"/>
      <c r="B762" s="503"/>
      <c r="C762" s="503"/>
      <c r="D762" s="504"/>
      <c r="E762" s="504"/>
      <c r="F762" s="504"/>
    </row>
    <row r="763" spans="1:7" s="496" customFormat="1">
      <c r="A763" s="494"/>
      <c r="B763" s="494" t="s">
        <v>2239</v>
      </c>
      <c r="C763" s="494"/>
      <c r="D763" s="495"/>
      <c r="E763" s="495"/>
      <c r="F763" s="495"/>
    </row>
    <row r="764" spans="1:7" s="388" customFormat="1">
      <c r="A764" s="503"/>
      <c r="B764" s="503"/>
      <c r="C764" s="503"/>
      <c r="D764" s="504"/>
      <c r="E764" s="504"/>
      <c r="F764" s="504"/>
    </row>
    <row r="765" spans="1:7" s="507" customFormat="1">
      <c r="A765" s="505" t="str">
        <f>A101</f>
        <v>I.</v>
      </c>
      <c r="B765" s="505" t="str">
        <f>B101</f>
        <v>NN PRIKLJUČAK</v>
      </c>
      <c r="C765" s="505"/>
      <c r="D765" s="506"/>
      <c r="E765" s="506"/>
      <c r="F765" s="506">
        <f>F136</f>
        <v>36865</v>
      </c>
    </row>
    <row r="766" spans="1:7" s="507" customFormat="1">
      <c r="A766" s="505" t="str">
        <f>A139</f>
        <v>II.</v>
      </c>
      <c r="B766" s="505" t="str">
        <f>B139</f>
        <v>RAZVODNI ORMARI</v>
      </c>
      <c r="C766" s="505"/>
      <c r="D766" s="506"/>
      <c r="E766" s="506"/>
      <c r="F766" s="506">
        <f>F356</f>
        <v>43769.5</v>
      </c>
    </row>
    <row r="767" spans="1:7" s="507" customFormat="1">
      <c r="A767" s="505" t="str">
        <f>A359</f>
        <v>III.</v>
      </c>
      <c r="B767" s="505" t="str">
        <f>B359</f>
        <v>RASVJETA</v>
      </c>
      <c r="C767" s="505"/>
      <c r="D767" s="506"/>
      <c r="E767" s="506"/>
      <c r="F767" s="506">
        <f>F432</f>
        <v>18840</v>
      </c>
    </row>
    <row r="768" spans="1:7" s="507" customFormat="1" ht="26.4">
      <c r="A768" s="505" t="str">
        <f>A435</f>
        <v>IV.</v>
      </c>
      <c r="B768" s="505" t="str">
        <f>B435</f>
        <v>INSTALACIJSKI MATERIJAL I TEHNOLOŠKI PRIKLJUČCI</v>
      </c>
      <c r="C768" s="505"/>
      <c r="D768" s="506"/>
      <c r="E768" s="506"/>
      <c r="F768" s="506">
        <f>F488</f>
        <v>10335</v>
      </c>
    </row>
    <row r="769" spans="1:8" s="507" customFormat="1">
      <c r="A769" s="505" t="str">
        <f>A491</f>
        <v>V.</v>
      </c>
      <c r="B769" s="505" t="str">
        <f>B491</f>
        <v>KABELI I KABELSKE POLICE</v>
      </c>
      <c r="C769" s="505"/>
      <c r="D769" s="506"/>
      <c r="E769" s="506"/>
      <c r="F769" s="506">
        <f>F573</f>
        <v>146782.5</v>
      </c>
    </row>
    <row r="770" spans="1:8" s="507" customFormat="1" ht="26.4">
      <c r="A770" s="505" t="str">
        <f>A578</f>
        <v>VI.</v>
      </c>
      <c r="B770" s="505" t="str">
        <f>B578</f>
        <v>INSTALACIJA STRUKTURNOG KABLIRANJA</v>
      </c>
      <c r="C770" s="505"/>
      <c r="D770" s="506"/>
      <c r="E770" s="506"/>
      <c r="F770" s="506">
        <f>F624</f>
        <v>55646.720000000001</v>
      </c>
    </row>
    <row r="771" spans="1:8" s="507" customFormat="1">
      <c r="A771" s="505" t="str">
        <f>A627</f>
        <v>VII.</v>
      </c>
      <c r="B771" s="505" t="str">
        <f>B627</f>
        <v>SOS INSTALACIJA</v>
      </c>
      <c r="C771" s="505"/>
      <c r="D771" s="506"/>
      <c r="E771" s="506"/>
      <c r="F771" s="506">
        <f>F647</f>
        <v>714.8</v>
      </c>
    </row>
    <row r="772" spans="1:8" s="507" customFormat="1" ht="26.4">
      <c r="A772" s="505" t="str">
        <f>A650</f>
        <v>VIII.</v>
      </c>
      <c r="B772" s="505" t="str">
        <f>B650</f>
        <v>SUSTAV PORTAFONA I KONTROLE PRISTUPA</v>
      </c>
      <c r="C772" s="505"/>
      <c r="D772" s="506"/>
      <c r="E772" s="506"/>
      <c r="F772" s="506">
        <f>F662</f>
        <v>1200</v>
      </c>
    </row>
    <row r="773" spans="1:8" s="507" customFormat="1">
      <c r="A773" s="505" t="str">
        <f>A665</f>
        <v>IX.</v>
      </c>
      <c r="B773" s="505" t="str">
        <f>B665</f>
        <v>GROMOBRANSKA INSTALACIJA</v>
      </c>
      <c r="C773" s="505"/>
      <c r="D773" s="506"/>
      <c r="E773" s="506"/>
      <c r="F773" s="506">
        <f>F707</f>
        <v>15439.4</v>
      </c>
    </row>
    <row r="774" spans="1:8" s="507" customFormat="1" ht="26.4">
      <c r="A774" s="505" t="str">
        <f>A710</f>
        <v>X.</v>
      </c>
      <c r="B774" s="505" t="str">
        <f>B710</f>
        <v>ELEKTRONIČKA KOMUNIKACIJSKA INSTALACIJA (EKI)</v>
      </c>
      <c r="C774" s="505"/>
      <c r="D774" s="506"/>
      <c r="E774" s="506"/>
      <c r="F774" s="506">
        <f>F736</f>
        <v>5694.5</v>
      </c>
    </row>
    <row r="775" spans="1:8" s="507" customFormat="1">
      <c r="A775" s="505" t="str">
        <f>A739</f>
        <v>XI.</v>
      </c>
      <c r="B775" s="505" t="str">
        <f>B739</f>
        <v>OSTALI RADOVI</v>
      </c>
      <c r="C775" s="505"/>
      <c r="D775" s="506"/>
      <c r="E775" s="506"/>
      <c r="F775" s="506">
        <f>F757</f>
        <v>21490</v>
      </c>
    </row>
    <row r="776" spans="1:8" s="388" customFormat="1">
      <c r="A776" s="503"/>
      <c r="B776" s="503"/>
      <c r="C776" s="503"/>
      <c r="D776" s="504"/>
      <c r="E776" s="504"/>
      <c r="F776" s="504"/>
    </row>
    <row r="777" spans="1:8" s="496" customFormat="1">
      <c r="A777" s="494"/>
      <c r="B777" s="494" t="s">
        <v>1779</v>
      </c>
      <c r="C777" s="494"/>
      <c r="D777" s="495"/>
      <c r="E777" s="495"/>
      <c r="F777" s="495">
        <f>SUM(F765:F775)</f>
        <v>356777.42</v>
      </c>
      <c r="G777" s="537"/>
      <c r="H777" s="538"/>
    </row>
    <row r="778" spans="1:8" s="388" customFormat="1">
      <c r="A778" s="503"/>
      <c r="B778" s="505" t="s">
        <v>2240</v>
      </c>
      <c r="C778" s="505"/>
      <c r="D778" s="506"/>
      <c r="E778" s="506"/>
      <c r="F778" s="539">
        <f>F777*0.25</f>
        <v>89194.354999999996</v>
      </c>
      <c r="G778" s="526"/>
    </row>
    <row r="779" spans="1:8" s="388" customFormat="1">
      <c r="A779" s="503"/>
      <c r="B779" s="505" t="s">
        <v>1801</v>
      </c>
      <c r="C779" s="505"/>
      <c r="D779" s="506"/>
      <c r="E779" s="506"/>
      <c r="F779" s="539">
        <f>F777+F778</f>
        <v>445971.77499999997</v>
      </c>
      <c r="G779" s="526"/>
    </row>
    <row r="780" spans="1:8" s="388" customFormat="1">
      <c r="A780" s="503"/>
      <c r="B780" s="503"/>
      <c r="C780" s="503"/>
      <c r="D780" s="504"/>
      <c r="E780" s="504"/>
      <c r="F780" s="504"/>
    </row>
    <row r="781" spans="1:8" s="388" customFormat="1">
      <c r="A781" s="503"/>
      <c r="B781" s="503"/>
      <c r="C781" s="503"/>
      <c r="D781" s="504"/>
      <c r="E781" s="504"/>
      <c r="F781" s="504"/>
    </row>
    <row r="782" spans="1:8" s="349" customFormat="1">
      <c r="A782" s="491"/>
      <c r="B782" s="491"/>
      <c r="C782" s="491"/>
      <c r="D782" s="493"/>
      <c r="E782" s="493"/>
      <c r="F782" s="493"/>
    </row>
    <row r="783" spans="1:8" s="349" customFormat="1">
      <c r="A783" s="491"/>
      <c r="B783" s="491"/>
      <c r="C783" s="491"/>
      <c r="D783" s="493"/>
      <c r="E783" s="493"/>
      <c r="F783" s="493"/>
    </row>
    <row r="784" spans="1:8" s="349" customFormat="1">
      <c r="A784" s="491"/>
      <c r="B784" s="491"/>
      <c r="C784" s="491"/>
      <c r="D784" s="493"/>
      <c r="E784" s="493"/>
      <c r="F784" s="493"/>
    </row>
    <row r="785" spans="1:6">
      <c r="A785" s="540"/>
      <c r="B785" s="540"/>
      <c r="C785" s="540"/>
      <c r="D785" s="541"/>
      <c r="E785" s="541"/>
      <c r="F785" s="541"/>
    </row>
    <row r="786" spans="1:6">
      <c r="A786" s="540"/>
      <c r="B786" s="540"/>
      <c r="C786" s="540"/>
      <c r="D786" s="541"/>
      <c r="E786" s="541"/>
      <c r="F786" s="541"/>
    </row>
    <row r="787" spans="1:6">
      <c r="A787" s="540"/>
      <c r="B787" s="540"/>
      <c r="C787" s="540"/>
      <c r="D787" s="541"/>
      <c r="E787" s="541"/>
      <c r="F787" s="541"/>
    </row>
    <row r="788" spans="1:6">
      <c r="A788" s="540"/>
      <c r="B788" s="540"/>
      <c r="C788" s="540"/>
      <c r="D788" s="541"/>
      <c r="E788" s="541"/>
      <c r="F788" s="541"/>
    </row>
    <row r="789" spans="1:6">
      <c r="A789" s="540"/>
      <c r="B789" s="540"/>
      <c r="C789" s="540"/>
      <c r="D789" s="541"/>
      <c r="E789" s="541"/>
      <c r="F789" s="541"/>
    </row>
    <row r="790" spans="1:6">
      <c r="A790" s="540"/>
      <c r="B790" s="540"/>
      <c r="C790" s="540"/>
      <c r="D790" s="541"/>
      <c r="E790" s="541"/>
      <c r="F790" s="541"/>
    </row>
    <row r="791" spans="1:6">
      <c r="A791" s="540"/>
      <c r="B791" s="540"/>
      <c r="C791" s="540"/>
      <c r="D791" s="541"/>
      <c r="E791" s="541"/>
      <c r="F791" s="541"/>
    </row>
    <row r="792" spans="1:6">
      <c r="A792" s="540"/>
      <c r="B792" s="540"/>
      <c r="C792" s="540"/>
      <c r="D792" s="541"/>
      <c r="E792" s="541"/>
      <c r="F792" s="541"/>
    </row>
    <row r="793" spans="1:6">
      <c r="A793" s="540"/>
      <c r="B793" s="540"/>
      <c r="C793" s="540"/>
      <c r="D793" s="541"/>
      <c r="E793" s="541"/>
      <c r="F793" s="541"/>
    </row>
    <row r="794" spans="1:6">
      <c r="A794" s="540"/>
      <c r="B794" s="540"/>
      <c r="C794" s="540"/>
      <c r="D794" s="541"/>
      <c r="E794" s="541"/>
      <c r="F794" s="541"/>
    </row>
    <row r="795" spans="1:6">
      <c r="A795" s="540"/>
      <c r="B795" s="540"/>
      <c r="C795" s="540"/>
      <c r="D795" s="541"/>
      <c r="E795" s="541"/>
      <c r="F795" s="541"/>
    </row>
    <row r="796" spans="1:6">
      <c r="A796" s="540"/>
      <c r="B796" s="540"/>
      <c r="C796" s="540"/>
      <c r="D796" s="541"/>
      <c r="E796" s="541"/>
      <c r="F796" s="541"/>
    </row>
    <row r="797" spans="1:6">
      <c r="A797" s="540"/>
      <c r="B797" s="540"/>
      <c r="C797" s="540"/>
      <c r="D797" s="541"/>
      <c r="E797" s="541"/>
      <c r="F797" s="541"/>
    </row>
    <row r="798" spans="1:6">
      <c r="A798" s="540"/>
      <c r="B798" s="540"/>
      <c r="C798" s="540"/>
      <c r="D798" s="541"/>
      <c r="E798" s="541"/>
      <c r="F798" s="541"/>
    </row>
    <row r="799" spans="1:6">
      <c r="A799" s="540"/>
      <c r="B799" s="540"/>
      <c r="C799" s="540"/>
      <c r="D799" s="541"/>
      <c r="E799" s="541"/>
      <c r="F799" s="541"/>
    </row>
    <row r="800" spans="1:6">
      <c r="A800" s="540"/>
      <c r="B800" s="540"/>
      <c r="C800" s="540"/>
      <c r="D800" s="541"/>
      <c r="E800" s="541"/>
      <c r="F800" s="541"/>
    </row>
    <row r="801" spans="1:6">
      <c r="A801" s="540"/>
      <c r="B801" s="540"/>
      <c r="C801" s="540"/>
      <c r="D801" s="541"/>
      <c r="E801" s="541"/>
      <c r="F801" s="541"/>
    </row>
  </sheetData>
  <protectedRanges>
    <protectedRange sqref="F482:F483" name="Range1_23_2_5"/>
    <protectedRange sqref="F130:F131" name="Range1_23_2_4"/>
    <protectedRange sqref="E135:F135 F134" name="Range1_1_1_1"/>
    <protectedRange sqref="F727 F717 F723 F725 F731 F715 F719" name="Range1_4"/>
    <protectedRange sqref="F726 F720:F722 F724" name="Range1_23_2"/>
    <protectedRange sqref="F734" name="Range1_23_1_1"/>
    <protectedRange sqref="F733" name="Range1_23_2_1"/>
    <protectedRange sqref="F728:F730" name="Range1_23_2_4_1_1"/>
    <protectedRange sqref="F447" name="Range1_11_1_1_1"/>
    <protectedRange sqref="F554:F555" name="Range1_19_1_1"/>
    <protectedRange sqref="E134" name="Range1_1_1_1_1"/>
    <protectedRange sqref="E743:E744 E750:E751" name="Range1_1_1_2"/>
    <protectedRange sqref="E485" name="Range1_12_1"/>
    <protectedRange sqref="E474:E476 E468:E469" name="Range1_12_1_1_1"/>
    <protectedRange sqref="E748:E749 E754:E755 E741:E742" name="Range1_3_2_1"/>
    <protectedRange sqref="E484 E486" name="Range1_12_6_1"/>
    <protectedRange sqref="E438" name="Range1_11_1_1_2"/>
    <protectedRange sqref="E446" name="Range1_11_1_2_1_1"/>
    <protectedRange sqref="E482:E483" name="Range1_12_6_2_1"/>
  </protectedRanges>
  <mergeCells count="88">
    <mergeCell ref="B93:F93"/>
    <mergeCell ref="B87:F87"/>
    <mergeCell ref="B88:F88"/>
    <mergeCell ref="B89:F89"/>
    <mergeCell ref="B90:F90"/>
    <mergeCell ref="B91:F91"/>
    <mergeCell ref="B92:F92"/>
    <mergeCell ref="B86:F86"/>
    <mergeCell ref="B75:F75"/>
    <mergeCell ref="B76:F76"/>
    <mergeCell ref="B77:F77"/>
    <mergeCell ref="B78:F78"/>
    <mergeCell ref="B79:F79"/>
    <mergeCell ref="B80:F80"/>
    <mergeCell ref="B81:F81"/>
    <mergeCell ref="B82:F82"/>
    <mergeCell ref="B83:F83"/>
    <mergeCell ref="B84:F84"/>
    <mergeCell ref="B85:F85"/>
    <mergeCell ref="B74:F74"/>
    <mergeCell ref="B63:F63"/>
    <mergeCell ref="B64:F64"/>
    <mergeCell ref="B65:F65"/>
    <mergeCell ref="B66:F66"/>
    <mergeCell ref="B67:F67"/>
    <mergeCell ref="B68:F68"/>
    <mergeCell ref="B69:F69"/>
    <mergeCell ref="B70:F70"/>
    <mergeCell ref="B71:F71"/>
    <mergeCell ref="B72:F72"/>
    <mergeCell ref="B73:F73"/>
    <mergeCell ref="B62:F62"/>
    <mergeCell ref="B51:F51"/>
    <mergeCell ref="B52:F52"/>
    <mergeCell ref="B53:F53"/>
    <mergeCell ref="B54:F54"/>
    <mergeCell ref="B55:F55"/>
    <mergeCell ref="B56:F56"/>
    <mergeCell ref="B57:F57"/>
    <mergeCell ref="B58:F58"/>
    <mergeCell ref="B59:F59"/>
    <mergeCell ref="B60:F60"/>
    <mergeCell ref="B61:F61"/>
    <mergeCell ref="B50:F50"/>
    <mergeCell ref="B39:F39"/>
    <mergeCell ref="B40:F40"/>
    <mergeCell ref="B41:F41"/>
    <mergeCell ref="B42:F42"/>
    <mergeCell ref="B43:F43"/>
    <mergeCell ref="B44:F44"/>
    <mergeCell ref="B45:F45"/>
    <mergeCell ref="B46:F46"/>
    <mergeCell ref="B47:F47"/>
    <mergeCell ref="B48:F48"/>
    <mergeCell ref="B49:F49"/>
    <mergeCell ref="B38:F38"/>
    <mergeCell ref="B27:F27"/>
    <mergeCell ref="B28:F28"/>
    <mergeCell ref="B29:F29"/>
    <mergeCell ref="B30:F30"/>
    <mergeCell ref="B31:F31"/>
    <mergeCell ref="B32:F32"/>
    <mergeCell ref="B33:F33"/>
    <mergeCell ref="B34:F34"/>
    <mergeCell ref="B35:F35"/>
    <mergeCell ref="B36:F36"/>
    <mergeCell ref="B37:F37"/>
    <mergeCell ref="B26:F26"/>
    <mergeCell ref="B15:F15"/>
    <mergeCell ref="B16:F16"/>
    <mergeCell ref="B17:F17"/>
    <mergeCell ref="B18:F18"/>
    <mergeCell ref="B19:F19"/>
    <mergeCell ref="B20:F20"/>
    <mergeCell ref="B21:F21"/>
    <mergeCell ref="B22:F22"/>
    <mergeCell ref="B23:F23"/>
    <mergeCell ref="B24:F24"/>
    <mergeCell ref="B25:F25"/>
    <mergeCell ref="B14:F14"/>
    <mergeCell ref="A3:F3"/>
    <mergeCell ref="B7:F7"/>
    <mergeCell ref="B8:F8"/>
    <mergeCell ref="B9:F9"/>
    <mergeCell ref="B10:F10"/>
    <mergeCell ref="B11:F11"/>
    <mergeCell ref="B12:F12"/>
    <mergeCell ref="B13:F13"/>
  </mergeCells>
  <pageMargins left="0.70866141732283472" right="0.70866141732283472" top="0.74803149606299213" bottom="0.74803149606299213" header="0.31496062992125984" footer="0.31496062992125984"/>
  <pageSetup paperSize="9" scale="96" fitToHeight="0" orientation="portrait" useFirstPageNumber="1" r:id="rId1"/>
  <headerFooter alignWithMargins="0">
    <oddFooter>&amp;R&amp;P</oddFooter>
  </headerFooter>
  <rowBreaks count="24" manualBreakCount="24">
    <brk id="65" max="5" man="1"/>
    <brk id="94" max="5" man="1"/>
    <brk id="137" max="5" man="1"/>
    <brk id="207" max="5" man="1"/>
    <brk id="273" max="5" man="1"/>
    <brk id="351" max="5" man="1"/>
    <brk id="369" max="5" man="1"/>
    <brk id="377" max="5" man="1"/>
    <brk id="385" max="5" man="1"/>
    <brk id="393" max="5" man="1"/>
    <brk id="401" max="5" man="1"/>
    <brk id="414" max="5" man="1"/>
    <brk id="421" max="5" man="1"/>
    <brk id="432" max="5" man="1"/>
    <brk id="488" max="5" man="1"/>
    <brk id="547" max="5" man="1"/>
    <brk id="574" max="5" man="1"/>
    <brk id="605" max="5" man="1"/>
    <brk id="625" max="5" man="1"/>
    <brk id="648" max="5" man="1"/>
    <brk id="663" max="5" man="1"/>
    <brk id="708" max="5" man="1"/>
    <brk id="737" max="5" man="1"/>
    <brk id="758"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61"/>
  <sheetViews>
    <sheetView showZeros="0" view="pageBreakPreview" zoomScale="90" zoomScaleNormal="115" zoomScaleSheetLayoutView="90" workbookViewId="0">
      <selection activeCell="A27" sqref="A27:B27"/>
    </sheetView>
  </sheetViews>
  <sheetFormatPr defaultColWidth="9.109375" defaultRowHeight="13.2"/>
  <cols>
    <col min="1" max="1" width="5" style="554" customWidth="1"/>
    <col min="2" max="2" width="75.44140625" style="600" customWidth="1"/>
    <col min="3" max="3" width="7.5546875" style="556" customWidth="1"/>
    <col min="4" max="4" width="8.109375" style="556" customWidth="1"/>
    <col min="5" max="5" width="15.109375" style="557" customWidth="1"/>
    <col min="6" max="6" width="14.88671875" style="557" customWidth="1"/>
    <col min="7" max="7" width="17.88671875" style="490" customWidth="1"/>
    <col min="8" max="16384" width="9.109375" style="490"/>
  </cols>
  <sheetData>
    <row r="1" spans="1:6" s="349" customFormat="1">
      <c r="C1" s="544"/>
      <c r="D1" s="545"/>
      <c r="E1" s="546"/>
      <c r="F1" s="546"/>
    </row>
    <row r="2" spans="1:6" s="484" customFormat="1" ht="15.75" customHeight="1">
      <c r="A2" s="963" t="s">
        <v>1802</v>
      </c>
      <c r="B2" s="963"/>
      <c r="C2" s="963"/>
      <c r="D2" s="963"/>
      <c r="E2" s="963"/>
      <c r="F2" s="963"/>
    </row>
    <row r="3" spans="1:6" s="485" customFormat="1" ht="16.5" customHeight="1">
      <c r="A3" s="964" t="s">
        <v>1803</v>
      </c>
      <c r="B3" s="964"/>
      <c r="C3" s="964"/>
      <c r="D3" s="964"/>
      <c r="E3" s="964"/>
      <c r="F3" s="964"/>
    </row>
    <row r="4" spans="1:6" s="349" customFormat="1">
      <c r="A4" s="967"/>
      <c r="B4" s="967"/>
      <c r="C4" s="551"/>
      <c r="D4" s="552"/>
      <c r="E4" s="553"/>
      <c r="F4" s="553"/>
    </row>
    <row r="5" spans="1:6" s="349" customFormat="1" ht="15" customHeight="1">
      <c r="C5" s="544"/>
      <c r="D5" s="545"/>
      <c r="E5" s="547"/>
      <c r="F5" s="546"/>
    </row>
    <row r="6" spans="1:6" s="486" customFormat="1">
      <c r="A6" s="965" t="s">
        <v>1288</v>
      </c>
      <c r="B6" s="965"/>
      <c r="C6" s="548"/>
      <c r="D6" s="549"/>
      <c r="E6" s="550"/>
      <c r="F6" s="550"/>
    </row>
    <row r="7" spans="1:6" s="349" customFormat="1" ht="42.75" customHeight="1">
      <c r="A7" s="959" t="s">
        <v>2244</v>
      </c>
      <c r="B7" s="959"/>
      <c r="C7" s="551"/>
      <c r="D7" s="552"/>
      <c r="E7" s="553"/>
      <c r="F7" s="553"/>
    </row>
    <row r="8" spans="1:6" s="349" customFormat="1">
      <c r="A8" s="967"/>
      <c r="B8" s="967"/>
      <c r="C8" s="551"/>
      <c r="D8" s="552"/>
      <c r="E8" s="553"/>
      <c r="F8" s="553"/>
    </row>
    <row r="9" spans="1:6" s="349" customFormat="1">
      <c r="A9" s="508"/>
      <c r="B9" s="508"/>
      <c r="C9" s="551"/>
      <c r="D9" s="552"/>
      <c r="E9" s="553"/>
      <c r="F9" s="553"/>
    </row>
    <row r="10" spans="1:6" s="349" customFormat="1">
      <c r="A10" s="508"/>
      <c r="B10" s="508"/>
      <c r="C10" s="551"/>
      <c r="D10" s="552"/>
      <c r="E10" s="553"/>
      <c r="F10" s="553"/>
    </row>
    <row r="11" spans="1:6" s="349" customFormat="1">
      <c r="A11" s="508"/>
      <c r="B11" s="508"/>
      <c r="C11" s="551"/>
      <c r="D11" s="552"/>
      <c r="E11" s="553"/>
      <c r="F11" s="553"/>
    </row>
    <row r="12" spans="1:6" s="349" customFormat="1">
      <c r="A12" s="965" t="s">
        <v>1290</v>
      </c>
      <c r="B12" s="965"/>
      <c r="C12" s="544"/>
      <c r="D12" s="545"/>
      <c r="E12" s="546"/>
      <c r="F12" s="546"/>
    </row>
    <row r="13" spans="1:6" s="349" customFormat="1" ht="63.75" customHeight="1">
      <c r="A13" s="959" t="s">
        <v>2245</v>
      </c>
      <c r="B13" s="959"/>
      <c r="C13" s="959"/>
      <c r="D13" s="959"/>
      <c r="E13" s="959"/>
      <c r="F13" s="959"/>
    </row>
    <row r="14" spans="1:6" s="349" customFormat="1">
      <c r="A14" s="967"/>
      <c r="B14" s="967"/>
      <c r="C14" s="551"/>
      <c r="D14" s="552"/>
      <c r="E14" s="553"/>
      <c r="F14" s="553"/>
    </row>
    <row r="15" spans="1:6" s="349" customFormat="1">
      <c r="A15" s="967"/>
      <c r="B15" s="967"/>
      <c r="C15" s="551"/>
      <c r="D15" s="552"/>
      <c r="E15" s="553"/>
      <c r="F15" s="553"/>
    </row>
    <row r="16" spans="1:6" s="349" customFormat="1">
      <c r="A16" s="959"/>
      <c r="B16" s="959"/>
      <c r="C16" s="544"/>
      <c r="D16" s="545"/>
      <c r="E16" s="546"/>
      <c r="F16" s="546"/>
    </row>
    <row r="17" spans="1:6" s="349" customFormat="1">
      <c r="A17" s="959"/>
      <c r="B17" s="959"/>
      <c r="C17" s="969"/>
      <c r="D17" s="545"/>
      <c r="E17" s="546"/>
      <c r="F17" s="546"/>
    </row>
    <row r="18" spans="1:6" s="349" customFormat="1">
      <c r="A18" s="959" t="s">
        <v>1293</v>
      </c>
      <c r="B18" s="959"/>
      <c r="C18" s="969"/>
      <c r="D18" s="545"/>
      <c r="E18" s="546"/>
      <c r="F18" s="546"/>
    </row>
    <row r="19" spans="1:6" s="349" customFormat="1">
      <c r="A19" s="959" t="s">
        <v>1806</v>
      </c>
      <c r="B19" s="959"/>
      <c r="C19" s="544"/>
      <c r="D19" s="545"/>
      <c r="E19" s="546"/>
      <c r="F19" s="546"/>
    </row>
    <row r="20" spans="1:6" s="349" customFormat="1">
      <c r="A20" s="959" t="s">
        <v>2648</v>
      </c>
      <c r="B20" s="959"/>
      <c r="C20" s="544"/>
      <c r="D20" s="545"/>
      <c r="E20" s="546"/>
      <c r="F20" s="546"/>
    </row>
    <row r="21" spans="1:6" s="349" customFormat="1">
      <c r="A21" s="962" t="s">
        <v>2768</v>
      </c>
      <c r="B21" s="962"/>
      <c r="C21" s="544"/>
      <c r="D21" s="545"/>
      <c r="E21" s="546"/>
      <c r="F21" s="546"/>
    </row>
    <row r="22" spans="1:6" s="349" customFormat="1">
      <c r="C22" s="544"/>
      <c r="D22" s="545"/>
      <c r="E22" s="546"/>
      <c r="F22" s="546"/>
    </row>
    <row r="23" spans="1:6" s="349" customFormat="1">
      <c r="A23" s="959"/>
      <c r="B23" s="959"/>
      <c r="C23" s="544"/>
      <c r="D23" s="545"/>
      <c r="E23" s="546"/>
      <c r="F23" s="546"/>
    </row>
    <row r="24" spans="1:6" s="349" customFormat="1">
      <c r="A24" s="959"/>
      <c r="B24" s="959"/>
      <c r="C24" s="544"/>
      <c r="D24" s="545"/>
      <c r="E24" s="546"/>
      <c r="F24" s="546"/>
    </row>
    <row r="25" spans="1:6" s="542" customFormat="1" ht="15.6">
      <c r="A25" s="968" t="s">
        <v>2353</v>
      </c>
      <c r="B25" s="968"/>
      <c r="C25" s="968"/>
      <c r="D25" s="968"/>
      <c r="E25" s="968"/>
      <c r="F25" s="968"/>
    </row>
    <row r="26" spans="1:6" s="542" customFormat="1" ht="4.5" customHeight="1">
      <c r="A26" s="968"/>
      <c r="B26" s="968"/>
      <c r="C26" s="968"/>
      <c r="D26" s="968"/>
      <c r="E26" s="968"/>
      <c r="F26" s="968"/>
    </row>
    <row r="27" spans="1:6" s="349" customFormat="1">
      <c r="A27" s="959"/>
      <c r="B27" s="959"/>
      <c r="C27" s="544"/>
      <c r="D27" s="545"/>
      <c r="E27" s="546"/>
      <c r="F27" s="546"/>
    </row>
    <row r="28" spans="1:6" s="349" customFormat="1">
      <c r="A28" s="959"/>
      <c r="B28" s="959"/>
      <c r="C28" s="544"/>
      <c r="D28" s="545"/>
      <c r="E28" s="546"/>
      <c r="F28" s="546"/>
    </row>
    <row r="29" spans="1:6" s="349" customFormat="1">
      <c r="A29" s="959"/>
      <c r="B29" s="959"/>
      <c r="C29" s="544"/>
      <c r="D29" s="545"/>
      <c r="E29" s="546"/>
      <c r="F29" s="546"/>
    </row>
    <row r="30" spans="1:6" s="349" customFormat="1">
      <c r="C30" s="544"/>
      <c r="D30" s="545"/>
      <c r="E30" s="546"/>
      <c r="F30" s="546"/>
    </row>
    <row r="31" spans="1:6" s="349" customFormat="1">
      <c r="C31" s="544"/>
      <c r="D31" s="545"/>
      <c r="E31" s="546"/>
      <c r="F31" s="546"/>
    </row>
    <row r="32" spans="1:6" s="349" customFormat="1">
      <c r="C32" s="544"/>
      <c r="D32" s="545"/>
      <c r="E32" s="546"/>
      <c r="F32" s="546"/>
    </row>
    <row r="33" spans="1:6" s="349" customFormat="1">
      <c r="C33" s="544"/>
      <c r="D33" s="545"/>
      <c r="E33" s="546"/>
      <c r="F33" s="546"/>
    </row>
    <row r="34" spans="1:6" s="349" customFormat="1">
      <c r="C34" s="544"/>
      <c r="D34" s="545"/>
      <c r="E34" s="546"/>
      <c r="F34" s="546"/>
    </row>
    <row r="35" spans="1:6" s="349" customFormat="1">
      <c r="C35" s="544"/>
      <c r="D35" s="545"/>
      <c r="E35" s="546"/>
      <c r="F35" s="546"/>
    </row>
    <row r="36" spans="1:6" s="349" customFormat="1">
      <c r="C36" s="544"/>
      <c r="D36" s="545"/>
      <c r="E36" s="546"/>
      <c r="F36" s="546"/>
    </row>
    <row r="37" spans="1:6" s="349" customFormat="1">
      <c r="A37" s="959"/>
      <c r="B37" s="959"/>
      <c r="C37" s="544"/>
      <c r="D37" s="545"/>
      <c r="E37" s="546"/>
      <c r="F37" s="546"/>
    </row>
    <row r="38" spans="1:6" s="349" customFormat="1">
      <c r="A38" s="959"/>
      <c r="B38" s="959"/>
      <c r="C38" s="544"/>
      <c r="D38" s="545"/>
      <c r="E38" s="546"/>
      <c r="F38" s="546"/>
    </row>
    <row r="39" spans="1:6" s="349" customFormat="1">
      <c r="A39" s="959"/>
      <c r="B39" s="959"/>
      <c r="C39" s="544"/>
      <c r="D39" s="545"/>
      <c r="E39" s="546"/>
      <c r="F39" s="546"/>
    </row>
    <row r="40" spans="1:6" s="349" customFormat="1">
      <c r="C40" s="544"/>
      <c r="D40" s="545"/>
      <c r="E40" s="546"/>
      <c r="F40" s="546"/>
    </row>
    <row r="41" spans="1:6" s="349" customFormat="1">
      <c r="C41" s="544"/>
      <c r="D41" s="545"/>
      <c r="E41" s="546"/>
      <c r="F41" s="546"/>
    </row>
    <row r="42" spans="1:6" s="349" customFormat="1">
      <c r="C42" s="544"/>
      <c r="D42" s="545"/>
      <c r="E42" s="546"/>
      <c r="F42" s="546"/>
    </row>
    <row r="43" spans="1:6" s="349" customFormat="1">
      <c r="C43" s="544"/>
      <c r="D43" s="545"/>
      <c r="E43" s="546"/>
      <c r="F43" s="546"/>
    </row>
    <row r="44" spans="1:6" s="349" customFormat="1">
      <c r="C44" s="544"/>
      <c r="D44" s="545"/>
      <c r="E44" s="546"/>
      <c r="F44" s="546"/>
    </row>
    <row r="45" spans="1:6" s="349" customFormat="1">
      <c r="C45" s="544"/>
      <c r="D45" s="545"/>
      <c r="E45" s="546"/>
      <c r="F45" s="546"/>
    </row>
    <row r="46" spans="1:6" s="349" customFormat="1">
      <c r="C46" s="544"/>
      <c r="D46" s="545"/>
      <c r="E46" s="546"/>
      <c r="F46" s="546"/>
    </row>
    <row r="47" spans="1:6" s="349" customFormat="1">
      <c r="C47" s="544"/>
      <c r="D47" s="545"/>
      <c r="E47" s="546"/>
      <c r="F47" s="546"/>
    </row>
    <row r="48" spans="1:6" s="349" customFormat="1">
      <c r="C48" s="544"/>
      <c r="D48" s="545"/>
      <c r="E48" s="546"/>
      <c r="F48" s="546"/>
    </row>
    <row r="49" spans="1:6" s="349" customFormat="1">
      <c r="C49" s="544"/>
      <c r="D49" s="545"/>
      <c r="E49" s="546"/>
      <c r="F49" s="546"/>
    </row>
    <row r="50" spans="1:6" s="349" customFormat="1">
      <c r="A50" s="959"/>
      <c r="B50" s="959"/>
      <c r="C50" s="544"/>
      <c r="D50" s="545"/>
      <c r="E50" s="546"/>
      <c r="F50" s="546"/>
    </row>
    <row r="51" spans="1:6" s="349" customFormat="1">
      <c r="A51" s="959"/>
      <c r="B51" s="959"/>
      <c r="C51" s="544"/>
      <c r="D51" s="545"/>
      <c r="E51" s="546"/>
      <c r="F51" s="546"/>
    </row>
    <row r="52" spans="1:6" s="349" customFormat="1">
      <c r="A52" s="959"/>
      <c r="B52" s="959"/>
      <c r="C52" s="544"/>
      <c r="D52" s="545"/>
      <c r="E52" s="546"/>
      <c r="F52" s="546"/>
    </row>
    <row r="53" spans="1:6" s="349" customFormat="1">
      <c r="C53" s="544"/>
      <c r="D53" s="545"/>
      <c r="E53" s="546"/>
      <c r="F53" s="546"/>
    </row>
    <row r="54" spans="1:6" s="349" customFormat="1">
      <c r="C54" s="544"/>
      <c r="D54" s="545"/>
      <c r="E54" s="546"/>
      <c r="F54" s="546"/>
    </row>
    <row r="55" spans="1:6" s="349" customFormat="1">
      <c r="C55" s="544"/>
      <c r="D55" s="545"/>
      <c r="E55" s="546"/>
      <c r="F55" s="546"/>
    </row>
    <row r="56" spans="1:6" s="349" customFormat="1">
      <c r="C56" s="544"/>
      <c r="D56" s="545"/>
      <c r="E56" s="546"/>
      <c r="F56" s="546"/>
    </row>
    <row r="57" spans="1:6" s="349" customFormat="1">
      <c r="C57" s="544"/>
      <c r="D57" s="545"/>
      <c r="E57" s="546"/>
      <c r="F57" s="546"/>
    </row>
    <row r="58" spans="1:6" s="349" customFormat="1">
      <c r="C58" s="544"/>
      <c r="D58" s="545"/>
      <c r="E58" s="546"/>
      <c r="F58" s="546"/>
    </row>
    <row r="59" spans="1:6" s="349" customFormat="1">
      <c r="C59" s="544"/>
      <c r="D59" s="545"/>
      <c r="E59" s="546"/>
      <c r="F59" s="546"/>
    </row>
    <row r="60" spans="1:6" s="349" customFormat="1">
      <c r="C60" s="544"/>
      <c r="D60" s="545"/>
      <c r="E60" s="546"/>
      <c r="F60" s="546"/>
    </row>
    <row r="61" spans="1:6" s="349" customFormat="1">
      <c r="C61" s="544"/>
      <c r="D61" s="545"/>
      <c r="E61" s="546"/>
      <c r="F61" s="546"/>
    </row>
  </sheetData>
  <mergeCells count="29">
    <mergeCell ref="A51:B51"/>
    <mergeCell ref="A52:B52"/>
    <mergeCell ref="C17:C18"/>
    <mergeCell ref="A18:B18"/>
    <mergeCell ref="A28:B28"/>
    <mergeCell ref="A29:B29"/>
    <mergeCell ref="A50:B50"/>
    <mergeCell ref="A21:B21"/>
    <mergeCell ref="A12:B12"/>
    <mergeCell ref="A37:B37"/>
    <mergeCell ref="A38:B38"/>
    <mergeCell ref="A39:B39"/>
    <mergeCell ref="A4:B4"/>
    <mergeCell ref="A19:B19"/>
    <mergeCell ref="A20:B20"/>
    <mergeCell ref="A23:B23"/>
    <mergeCell ref="A24:B24"/>
    <mergeCell ref="A25:F26"/>
    <mergeCell ref="A27:B27"/>
    <mergeCell ref="A13:F13"/>
    <mergeCell ref="A14:B14"/>
    <mergeCell ref="A15:B15"/>
    <mergeCell ref="A16:B16"/>
    <mergeCell ref="A17:B17"/>
    <mergeCell ref="A2:F2"/>
    <mergeCell ref="A3:F3"/>
    <mergeCell ref="A6:B6"/>
    <mergeCell ref="A7:B7"/>
    <mergeCell ref="A8:B8"/>
  </mergeCells>
  <printOptions gridLines="1"/>
  <pageMargins left="0.55118110236220474" right="0.23622047244094491" top="0.70866141732283472" bottom="0.39370078740157483" header="0.27559055118110237" footer="0.19685039370078741"/>
  <pageSetup paperSize="9" scale="76" fitToHeight="0" orientation="portrait" useFirstPageNumber="1" r:id="rId1"/>
  <headerFooter alignWithMargins="0">
    <oddHeader>&amp;C
&amp;Rstr. &amp;P</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178"/>
  <sheetViews>
    <sheetView showZeros="0" view="pageBreakPreview" topLeftCell="C173" zoomScale="70" zoomScaleNormal="115" zoomScaleSheetLayoutView="70" workbookViewId="0">
      <selection activeCell="F207" sqref="F207"/>
    </sheetView>
  </sheetViews>
  <sheetFormatPr defaultColWidth="9.109375" defaultRowHeight="13.2"/>
  <cols>
    <col min="1" max="1" width="5" style="554" customWidth="1"/>
    <col min="2" max="2" width="75.44140625" style="600" customWidth="1"/>
    <col min="3" max="3" width="7.5546875" style="556" customWidth="1"/>
    <col min="4" max="4" width="8.109375" style="556" customWidth="1"/>
    <col min="5" max="5" width="15.109375" style="557" customWidth="1"/>
    <col min="6" max="6" width="14.88671875" style="557" customWidth="1"/>
    <col min="7" max="7" width="17.88671875" style="490" customWidth="1"/>
    <col min="8" max="16384" width="9.109375" style="490"/>
  </cols>
  <sheetData>
    <row r="1" spans="1:6" s="349" customFormat="1">
      <c r="A1" s="959"/>
      <c r="B1" s="959"/>
      <c r="C1" s="544"/>
      <c r="D1" s="545"/>
      <c r="E1" s="546"/>
      <c r="F1" s="546"/>
    </row>
    <row r="2" spans="1:6" s="542" customFormat="1" ht="15.6">
      <c r="A2" s="979" t="s">
        <v>2353</v>
      </c>
      <c r="B2" s="979"/>
      <c r="C2" s="979"/>
      <c r="D2" s="979"/>
      <c r="E2" s="979"/>
      <c r="F2" s="979"/>
    </row>
    <row r="3" spans="1:6" s="542" customFormat="1" ht="3" customHeight="1">
      <c r="A3" s="979"/>
      <c r="B3" s="979"/>
      <c r="C3" s="979"/>
      <c r="D3" s="979"/>
      <c r="E3" s="979"/>
      <c r="F3" s="979"/>
    </row>
    <row r="4" spans="1:6" ht="15">
      <c r="B4" s="555"/>
    </row>
    <row r="5" spans="1:6" s="562" customFormat="1" ht="12">
      <c r="A5" s="558"/>
      <c r="B5" s="559" t="s">
        <v>2246</v>
      </c>
      <c r="C5" s="560"/>
      <c r="D5" s="560"/>
      <c r="E5" s="561"/>
      <c r="F5" s="561"/>
    </row>
    <row r="6" spans="1:6" s="562" customFormat="1" ht="30" customHeight="1">
      <c r="A6" s="563" t="s">
        <v>0</v>
      </c>
      <c r="B6" s="971" t="s">
        <v>1809</v>
      </c>
      <c r="C6" s="971"/>
      <c r="D6" s="971"/>
      <c r="E6" s="971"/>
      <c r="F6" s="971"/>
    </row>
    <row r="7" spans="1:6" s="562" customFormat="1" ht="19.5" customHeight="1">
      <c r="A7" s="563" t="s">
        <v>4</v>
      </c>
      <c r="B7" s="971" t="s">
        <v>1810</v>
      </c>
      <c r="C7" s="971"/>
      <c r="D7" s="971"/>
      <c r="E7" s="971"/>
      <c r="F7" s="971"/>
    </row>
    <row r="8" spans="1:6" s="562" customFormat="1" ht="15.75" customHeight="1">
      <c r="A8" s="563"/>
      <c r="B8" s="971" t="s">
        <v>1811</v>
      </c>
      <c r="C8" s="971"/>
      <c r="D8" s="971"/>
      <c r="E8" s="971"/>
      <c r="F8" s="971"/>
    </row>
    <row r="9" spans="1:6" s="562" customFormat="1" ht="18.75" customHeight="1">
      <c r="A9" s="563" t="s">
        <v>3</v>
      </c>
      <c r="B9" s="971" t="s">
        <v>2247</v>
      </c>
      <c r="C9" s="971"/>
      <c r="D9" s="971"/>
      <c r="E9" s="971"/>
      <c r="F9" s="971"/>
    </row>
    <row r="10" spans="1:6" s="562" customFormat="1" ht="12.75" customHeight="1">
      <c r="A10" s="563" t="s">
        <v>5</v>
      </c>
      <c r="B10" s="971" t="s">
        <v>1812</v>
      </c>
      <c r="C10" s="971"/>
      <c r="D10" s="971"/>
      <c r="E10" s="971"/>
      <c r="F10" s="971"/>
    </row>
    <row r="11" spans="1:6" s="562" customFormat="1" ht="13.5" customHeight="1">
      <c r="A11" s="563"/>
      <c r="B11" s="971" t="s">
        <v>1813</v>
      </c>
      <c r="C11" s="971"/>
      <c r="D11" s="971"/>
      <c r="E11" s="971"/>
      <c r="F11" s="971"/>
    </row>
    <row r="12" spans="1:6" s="562" customFormat="1" ht="28.5" customHeight="1">
      <c r="A12" s="563" t="s">
        <v>49</v>
      </c>
      <c r="B12" s="971" t="s">
        <v>1814</v>
      </c>
      <c r="C12" s="971"/>
      <c r="D12" s="971"/>
      <c r="E12" s="971"/>
      <c r="F12" s="971"/>
    </row>
    <row r="13" spans="1:6" s="562" customFormat="1" ht="18" customHeight="1">
      <c r="A13" s="563" t="s">
        <v>58</v>
      </c>
      <c r="B13" s="971" t="s">
        <v>1815</v>
      </c>
      <c r="C13" s="971"/>
      <c r="D13" s="971"/>
      <c r="E13" s="971"/>
      <c r="F13" s="971"/>
    </row>
    <row r="14" spans="1:6" s="562" customFormat="1" ht="30" customHeight="1">
      <c r="A14" s="563" t="s">
        <v>141</v>
      </c>
      <c r="B14" s="971" t="s">
        <v>1816</v>
      </c>
      <c r="C14" s="971"/>
      <c r="D14" s="971"/>
      <c r="E14" s="971"/>
      <c r="F14" s="971"/>
    </row>
    <row r="15" spans="1:6" s="562" customFormat="1" ht="13.5" customHeight="1">
      <c r="A15" s="563"/>
      <c r="B15" s="971" t="s">
        <v>1817</v>
      </c>
      <c r="C15" s="971"/>
      <c r="D15" s="971"/>
      <c r="E15" s="971"/>
      <c r="F15" s="971"/>
    </row>
    <row r="16" spans="1:6" s="562" customFormat="1" ht="15" customHeight="1">
      <c r="A16" s="563" t="s">
        <v>1191</v>
      </c>
      <c r="B16" s="971" t="s">
        <v>1818</v>
      </c>
      <c r="C16" s="971"/>
      <c r="D16" s="971"/>
      <c r="E16" s="971"/>
      <c r="F16" s="971"/>
    </row>
    <row r="17" spans="1:6" s="562" customFormat="1" ht="27.75" customHeight="1">
      <c r="A17" s="563" t="s">
        <v>180</v>
      </c>
      <c r="B17" s="971" t="s">
        <v>1846</v>
      </c>
      <c r="C17" s="971"/>
      <c r="D17" s="971"/>
      <c r="E17" s="971"/>
      <c r="F17" s="971"/>
    </row>
    <row r="18" spans="1:6" s="562" customFormat="1" ht="19.5" customHeight="1">
      <c r="A18" s="563"/>
      <c r="B18" s="971" t="s">
        <v>1847</v>
      </c>
      <c r="C18" s="971"/>
      <c r="D18" s="971"/>
      <c r="E18" s="971"/>
      <c r="F18" s="971"/>
    </row>
    <row r="19" spans="1:6" s="562" customFormat="1" ht="29.25" customHeight="1">
      <c r="A19" s="563" t="s">
        <v>1198</v>
      </c>
      <c r="B19" s="971" t="s">
        <v>1848</v>
      </c>
      <c r="C19" s="971"/>
      <c r="D19" s="971"/>
      <c r="E19" s="971"/>
      <c r="F19" s="971"/>
    </row>
    <row r="20" spans="1:6" s="562" customFormat="1" ht="14.25" customHeight="1">
      <c r="A20" s="563" t="s">
        <v>231</v>
      </c>
      <c r="B20" s="971" t="s">
        <v>1849</v>
      </c>
      <c r="C20" s="971"/>
      <c r="D20" s="971"/>
      <c r="E20" s="971"/>
      <c r="F20" s="971"/>
    </row>
    <row r="21" spans="1:6" s="562" customFormat="1" ht="17.25" customHeight="1">
      <c r="A21" s="563" t="s">
        <v>1202</v>
      </c>
      <c r="B21" s="971" t="s">
        <v>1850</v>
      </c>
      <c r="C21" s="971"/>
      <c r="D21" s="971"/>
      <c r="E21" s="971"/>
      <c r="F21" s="971"/>
    </row>
    <row r="22" spans="1:6" s="562" customFormat="1" ht="16.5" customHeight="1">
      <c r="A22" s="563" t="s">
        <v>1203</v>
      </c>
      <c r="B22" s="971" t="s">
        <v>1851</v>
      </c>
      <c r="C22" s="971"/>
      <c r="D22" s="971"/>
      <c r="E22" s="971"/>
      <c r="F22" s="971"/>
    </row>
    <row r="23" spans="1:6" s="562" customFormat="1" ht="11.4">
      <c r="A23" s="563" t="s">
        <v>1205</v>
      </c>
      <c r="B23" s="977" t="s">
        <v>1852</v>
      </c>
      <c r="C23" s="977"/>
      <c r="D23" s="977"/>
      <c r="E23" s="977"/>
      <c r="F23" s="977"/>
    </row>
    <row r="24" spans="1:6" s="562" customFormat="1" ht="15" customHeight="1">
      <c r="A24" s="563"/>
      <c r="B24" s="971" t="s">
        <v>1853</v>
      </c>
      <c r="C24" s="971"/>
      <c r="D24" s="971"/>
      <c r="E24" s="971"/>
      <c r="F24" s="971"/>
    </row>
    <row r="25" spans="1:6" s="562" customFormat="1" ht="26.25" customHeight="1">
      <c r="A25" s="563" t="s">
        <v>1206</v>
      </c>
      <c r="B25" s="971" t="s">
        <v>1854</v>
      </c>
      <c r="C25" s="971"/>
      <c r="D25" s="971"/>
      <c r="E25" s="971"/>
      <c r="F25" s="971"/>
    </row>
    <row r="26" spans="1:6" s="562" customFormat="1" ht="30.75" customHeight="1">
      <c r="A26" s="563" t="s">
        <v>1210</v>
      </c>
      <c r="B26" s="978" t="s">
        <v>1855</v>
      </c>
      <c r="C26" s="978"/>
      <c r="D26" s="978"/>
      <c r="E26" s="978"/>
      <c r="F26" s="978"/>
    </row>
    <row r="27" spans="1:6" s="562" customFormat="1" ht="12.75" customHeight="1">
      <c r="A27" s="563" t="s">
        <v>1211</v>
      </c>
      <c r="B27" s="971" t="s">
        <v>1856</v>
      </c>
      <c r="C27" s="971"/>
      <c r="D27" s="971"/>
      <c r="E27" s="971"/>
      <c r="F27" s="971"/>
    </row>
    <row r="28" spans="1:6" s="562" customFormat="1" ht="26.25" customHeight="1">
      <c r="A28" s="563"/>
      <c r="B28" s="971" t="s">
        <v>2248</v>
      </c>
      <c r="C28" s="971"/>
      <c r="D28" s="971"/>
      <c r="E28" s="971"/>
      <c r="F28" s="971"/>
    </row>
    <row r="29" spans="1:6" s="562" customFormat="1" ht="15" customHeight="1">
      <c r="A29" s="563" t="s">
        <v>1212</v>
      </c>
      <c r="B29" s="971" t="s">
        <v>1858</v>
      </c>
      <c r="C29" s="971"/>
      <c r="D29" s="971"/>
      <c r="E29" s="971"/>
      <c r="F29" s="971"/>
    </row>
    <row r="30" spans="1:6" s="562" customFormat="1" ht="13.5" customHeight="1">
      <c r="A30" s="563" t="s">
        <v>1213</v>
      </c>
      <c r="B30" s="971" t="s">
        <v>1859</v>
      </c>
      <c r="C30" s="971"/>
      <c r="D30" s="971"/>
      <c r="E30" s="971"/>
      <c r="F30" s="971"/>
    </row>
    <row r="31" spans="1:6" s="562" customFormat="1" ht="27" customHeight="1">
      <c r="A31" s="563" t="s">
        <v>1214</v>
      </c>
      <c r="B31" s="971" t="s">
        <v>1860</v>
      </c>
      <c r="C31" s="971"/>
      <c r="D31" s="971"/>
      <c r="E31" s="971"/>
      <c r="F31" s="971"/>
    </row>
    <row r="32" spans="1:6" s="562" customFormat="1" ht="18.75" customHeight="1">
      <c r="A32" s="563" t="s">
        <v>1215</v>
      </c>
      <c r="B32" s="971" t="s">
        <v>2249</v>
      </c>
      <c r="C32" s="971"/>
      <c r="D32" s="971"/>
      <c r="E32" s="971"/>
      <c r="F32" s="971"/>
    </row>
    <row r="33" spans="1:6" s="562" customFormat="1" ht="41.25" customHeight="1">
      <c r="A33" s="563" t="s">
        <v>1263</v>
      </c>
      <c r="B33" s="971" t="s">
        <v>2250</v>
      </c>
      <c r="C33" s="971"/>
      <c r="D33" s="971"/>
      <c r="E33" s="971"/>
      <c r="F33" s="971"/>
    </row>
    <row r="34" spans="1:6" s="562" customFormat="1" ht="16.5" customHeight="1">
      <c r="A34" s="563" t="s">
        <v>1264</v>
      </c>
      <c r="B34" s="971" t="s">
        <v>2251</v>
      </c>
      <c r="C34" s="971"/>
      <c r="D34" s="971"/>
      <c r="E34" s="971"/>
      <c r="F34" s="971"/>
    </row>
    <row r="35" spans="1:6" s="562" customFormat="1" ht="27.75" customHeight="1">
      <c r="A35" s="563" t="s">
        <v>1563</v>
      </c>
      <c r="B35" s="971" t="s">
        <v>2252</v>
      </c>
      <c r="C35" s="971"/>
      <c r="D35" s="971"/>
      <c r="E35" s="971"/>
      <c r="F35" s="971"/>
    </row>
    <row r="36" spans="1:6" s="562" customFormat="1" ht="17.25" customHeight="1">
      <c r="A36" s="563" t="s">
        <v>1565</v>
      </c>
      <c r="B36" s="971" t="s">
        <v>2253</v>
      </c>
      <c r="C36" s="971"/>
      <c r="D36" s="971"/>
      <c r="E36" s="971"/>
      <c r="F36" s="971"/>
    </row>
    <row r="37" spans="1:6" s="562" customFormat="1" ht="26.25" customHeight="1">
      <c r="A37" s="563" t="s">
        <v>1567</v>
      </c>
      <c r="B37" s="971" t="s">
        <v>2254</v>
      </c>
      <c r="C37" s="971"/>
      <c r="D37" s="971"/>
      <c r="E37" s="971"/>
      <c r="F37" s="971"/>
    </row>
    <row r="38" spans="1:6" s="562" customFormat="1" ht="18.75" customHeight="1">
      <c r="A38" s="563" t="s">
        <v>1569</v>
      </c>
      <c r="B38" s="971" t="s">
        <v>2255</v>
      </c>
      <c r="C38" s="971"/>
      <c r="D38" s="971"/>
      <c r="E38" s="971"/>
      <c r="F38" s="971"/>
    </row>
    <row r="39" spans="1:6" s="562" customFormat="1" ht="15.75" customHeight="1">
      <c r="A39" s="563" t="s">
        <v>1572</v>
      </c>
      <c r="B39" s="971" t="s">
        <v>2256</v>
      </c>
      <c r="C39" s="971"/>
      <c r="D39" s="971"/>
      <c r="E39" s="971"/>
      <c r="F39" s="971"/>
    </row>
    <row r="40" spans="1:6" s="562" customFormat="1" ht="16.5" customHeight="1">
      <c r="A40" s="563" t="s">
        <v>1577</v>
      </c>
      <c r="B40" s="971" t="s">
        <v>2257</v>
      </c>
      <c r="C40" s="971"/>
      <c r="D40" s="971"/>
      <c r="E40" s="971"/>
      <c r="F40" s="971"/>
    </row>
    <row r="41" spans="1:6" s="562" customFormat="1" ht="18" customHeight="1">
      <c r="A41" s="563" t="s">
        <v>1579</v>
      </c>
      <c r="B41" s="971" t="s">
        <v>2258</v>
      </c>
      <c r="C41" s="971"/>
      <c r="D41" s="971"/>
      <c r="E41" s="971"/>
      <c r="F41" s="971"/>
    </row>
    <row r="42" spans="1:6" s="562" customFormat="1" ht="15.75" customHeight="1">
      <c r="A42" s="563" t="s">
        <v>1581</v>
      </c>
      <c r="B42" s="971" t="s">
        <v>2259</v>
      </c>
      <c r="C42" s="971"/>
      <c r="D42" s="971"/>
      <c r="E42" s="971"/>
      <c r="F42" s="971"/>
    </row>
    <row r="43" spans="1:6" s="562" customFormat="1" ht="20.25" customHeight="1">
      <c r="A43" s="563" t="s">
        <v>1583</v>
      </c>
      <c r="B43" s="971" t="s">
        <v>2260</v>
      </c>
      <c r="C43" s="971"/>
      <c r="D43" s="971"/>
      <c r="E43" s="971"/>
      <c r="F43" s="971"/>
    </row>
    <row r="44" spans="1:6" s="562" customFormat="1" ht="15" customHeight="1">
      <c r="A44" s="563" t="s">
        <v>1587</v>
      </c>
      <c r="B44" s="971" t="s">
        <v>2261</v>
      </c>
      <c r="C44" s="971"/>
      <c r="D44" s="971"/>
      <c r="E44" s="971"/>
      <c r="F44" s="971"/>
    </row>
    <row r="45" spans="1:6" s="562" customFormat="1" ht="19.5" customHeight="1">
      <c r="A45" s="563" t="s">
        <v>2262</v>
      </c>
      <c r="B45" s="971" t="s">
        <v>2263</v>
      </c>
      <c r="C45" s="971"/>
      <c r="D45" s="971"/>
      <c r="E45" s="971"/>
      <c r="F45" s="971"/>
    </row>
    <row r="46" spans="1:6" s="562" customFormat="1" ht="17.25" customHeight="1">
      <c r="A46" s="563" t="s">
        <v>2264</v>
      </c>
      <c r="B46" s="971" t="s">
        <v>2265</v>
      </c>
      <c r="C46" s="971"/>
      <c r="D46" s="971"/>
      <c r="E46" s="971"/>
      <c r="F46" s="971"/>
    </row>
    <row r="47" spans="1:6" s="562" customFormat="1" ht="17.25" customHeight="1">
      <c r="A47" s="563" t="s">
        <v>1777</v>
      </c>
      <c r="B47" s="971" t="s">
        <v>2266</v>
      </c>
      <c r="C47" s="971"/>
      <c r="D47" s="971"/>
      <c r="E47" s="971"/>
      <c r="F47" s="971"/>
    </row>
    <row r="48" spans="1:6" s="562" customFormat="1" ht="17.25" customHeight="1">
      <c r="A48" s="563" t="s">
        <v>2267</v>
      </c>
      <c r="B48" s="971" t="s">
        <v>2268</v>
      </c>
      <c r="C48" s="971"/>
      <c r="D48" s="971"/>
      <c r="E48" s="971"/>
      <c r="F48" s="971"/>
    </row>
    <row r="49" spans="1:6" s="562" customFormat="1" ht="27" customHeight="1">
      <c r="A49" s="563" t="s">
        <v>2269</v>
      </c>
      <c r="B49" s="971" t="s">
        <v>2270</v>
      </c>
      <c r="C49" s="971"/>
      <c r="D49" s="971"/>
      <c r="E49" s="971"/>
      <c r="F49" s="971"/>
    </row>
    <row r="50" spans="1:6" s="562" customFormat="1" ht="17.25" customHeight="1">
      <c r="A50" s="563" t="s">
        <v>2271</v>
      </c>
      <c r="B50" s="971" t="s">
        <v>2272</v>
      </c>
      <c r="C50" s="971"/>
      <c r="D50" s="971"/>
      <c r="E50" s="971"/>
      <c r="F50" s="971"/>
    </row>
    <row r="51" spans="1:6" s="562" customFormat="1" ht="17.25" customHeight="1">
      <c r="A51" s="563" t="s">
        <v>2273</v>
      </c>
      <c r="B51" s="971" t="s">
        <v>2274</v>
      </c>
      <c r="C51" s="971"/>
      <c r="D51" s="971"/>
      <c r="E51" s="971"/>
      <c r="F51" s="971"/>
    </row>
    <row r="52" spans="1:6" s="562" customFormat="1" ht="17.25" customHeight="1">
      <c r="A52" s="563" t="s">
        <v>2275</v>
      </c>
      <c r="B52" s="971" t="s">
        <v>2276</v>
      </c>
      <c r="C52" s="971"/>
      <c r="D52" s="971"/>
      <c r="E52" s="971"/>
      <c r="F52" s="971"/>
    </row>
    <row r="53" spans="1:6" s="562" customFormat="1" ht="17.25" customHeight="1">
      <c r="A53" s="563" t="s">
        <v>2277</v>
      </c>
      <c r="B53" s="971" t="s">
        <v>2278</v>
      </c>
      <c r="C53" s="971"/>
      <c r="D53" s="971"/>
      <c r="E53" s="971"/>
      <c r="F53" s="971"/>
    </row>
    <row r="54" spans="1:6" s="562" customFormat="1" ht="17.25" customHeight="1">
      <c r="A54" s="563" t="s">
        <v>2279</v>
      </c>
      <c r="B54" s="971" t="s">
        <v>2280</v>
      </c>
      <c r="C54" s="971"/>
      <c r="D54" s="971"/>
      <c r="E54" s="971"/>
      <c r="F54" s="971"/>
    </row>
    <row r="55" spans="1:6" s="562" customFormat="1" ht="30.75" customHeight="1">
      <c r="A55" s="563" t="s">
        <v>2281</v>
      </c>
      <c r="B55" s="971" t="s">
        <v>2282</v>
      </c>
      <c r="C55" s="971"/>
      <c r="D55" s="971"/>
      <c r="E55" s="971"/>
      <c r="F55" s="971"/>
    </row>
    <row r="56" spans="1:6" s="562" customFormat="1" ht="17.25" customHeight="1">
      <c r="A56" s="563" t="s">
        <v>2283</v>
      </c>
      <c r="B56" s="971" t="s">
        <v>2284</v>
      </c>
      <c r="C56" s="971"/>
      <c r="D56" s="971"/>
      <c r="E56" s="971"/>
      <c r="F56" s="971"/>
    </row>
    <row r="57" spans="1:6" s="562" customFormat="1" ht="17.25" customHeight="1">
      <c r="A57" s="563" t="s">
        <v>2285</v>
      </c>
      <c r="B57" s="971" t="s">
        <v>2286</v>
      </c>
      <c r="C57" s="971"/>
      <c r="D57" s="971"/>
      <c r="E57" s="971"/>
      <c r="F57" s="971"/>
    </row>
    <row r="58" spans="1:6" s="562" customFormat="1" ht="17.25" customHeight="1">
      <c r="A58" s="563" t="s">
        <v>2287</v>
      </c>
      <c r="B58" s="971" t="s">
        <v>2259</v>
      </c>
      <c r="C58" s="971"/>
      <c r="D58" s="971"/>
      <c r="E58" s="971"/>
      <c r="F58" s="971"/>
    </row>
    <row r="59" spans="1:6" s="562" customFormat="1" ht="17.25" customHeight="1">
      <c r="A59" s="563" t="s">
        <v>2288</v>
      </c>
      <c r="B59" s="971" t="s">
        <v>2289</v>
      </c>
      <c r="C59" s="971"/>
      <c r="D59" s="971"/>
      <c r="E59" s="971"/>
      <c r="F59" s="971"/>
    </row>
    <row r="60" spans="1:6" s="562" customFormat="1" ht="15.75" customHeight="1">
      <c r="A60" s="563" t="s">
        <v>2290</v>
      </c>
      <c r="B60" s="971" t="s">
        <v>2291</v>
      </c>
      <c r="C60" s="971"/>
      <c r="D60" s="971"/>
      <c r="E60" s="971"/>
      <c r="F60" s="971"/>
    </row>
    <row r="61" spans="1:6" s="562" customFormat="1" ht="16.5" customHeight="1">
      <c r="A61" s="563" t="s">
        <v>2292</v>
      </c>
      <c r="B61" s="971" t="s">
        <v>2293</v>
      </c>
      <c r="C61" s="971"/>
      <c r="D61" s="971"/>
      <c r="E61" s="971"/>
      <c r="F61" s="971"/>
    </row>
    <row r="62" spans="1:6" s="562" customFormat="1" ht="17.25" customHeight="1">
      <c r="A62" s="563" t="s">
        <v>2294</v>
      </c>
      <c r="B62" s="971" t="s">
        <v>2295</v>
      </c>
      <c r="C62" s="971"/>
      <c r="D62" s="971"/>
      <c r="E62" s="971"/>
      <c r="F62" s="971"/>
    </row>
    <row r="63" spans="1:6" s="562" customFormat="1" ht="20.25" customHeight="1">
      <c r="A63" s="563" t="s">
        <v>2296</v>
      </c>
      <c r="B63" s="971" t="s">
        <v>2297</v>
      </c>
      <c r="C63" s="971"/>
      <c r="D63" s="971"/>
      <c r="E63" s="971"/>
      <c r="F63" s="971"/>
    </row>
    <row r="64" spans="1:6" s="562" customFormat="1" ht="18" customHeight="1">
      <c r="A64" s="563" t="s">
        <v>2298</v>
      </c>
      <c r="B64" s="971" t="s">
        <v>2299</v>
      </c>
      <c r="C64" s="971"/>
      <c r="D64" s="971"/>
      <c r="E64" s="971"/>
      <c r="F64" s="971"/>
    </row>
    <row r="65" spans="1:6" s="562" customFormat="1" ht="17.25" customHeight="1">
      <c r="A65" s="563" t="s">
        <v>2300</v>
      </c>
      <c r="B65" s="971" t="s">
        <v>2301</v>
      </c>
      <c r="C65" s="971"/>
      <c r="D65" s="971"/>
      <c r="E65" s="971"/>
      <c r="F65" s="971"/>
    </row>
    <row r="66" spans="1:6" s="562" customFormat="1" ht="15" customHeight="1">
      <c r="A66" s="563" t="s">
        <v>2302</v>
      </c>
      <c r="B66" s="971" t="s">
        <v>2303</v>
      </c>
      <c r="C66" s="971"/>
      <c r="D66" s="971"/>
      <c r="E66" s="971"/>
      <c r="F66" s="971"/>
    </row>
    <row r="67" spans="1:6" s="562" customFormat="1" ht="17.25" customHeight="1">
      <c r="A67" s="563" t="s">
        <v>2304</v>
      </c>
      <c r="B67" s="971" t="s">
        <v>2305</v>
      </c>
      <c r="C67" s="971"/>
      <c r="D67" s="971"/>
      <c r="E67" s="971"/>
      <c r="F67" s="971"/>
    </row>
    <row r="68" spans="1:6" s="562" customFormat="1" ht="20.25" customHeight="1">
      <c r="A68" s="563" t="s">
        <v>2306</v>
      </c>
      <c r="B68" s="971" t="s">
        <v>2307</v>
      </c>
      <c r="C68" s="971"/>
      <c r="D68" s="971"/>
      <c r="E68" s="971"/>
      <c r="F68" s="971"/>
    </row>
    <row r="69" spans="1:6" s="562" customFormat="1" ht="15.75" customHeight="1">
      <c r="A69" s="563" t="s">
        <v>2308</v>
      </c>
      <c r="B69" s="971" t="s">
        <v>2309</v>
      </c>
      <c r="C69" s="971"/>
      <c r="D69" s="971"/>
      <c r="E69" s="971"/>
      <c r="F69" s="971"/>
    </row>
    <row r="70" spans="1:6" s="562" customFormat="1" ht="18.75" customHeight="1">
      <c r="A70" s="563" t="s">
        <v>2310</v>
      </c>
      <c r="B70" s="971" t="s">
        <v>1819</v>
      </c>
      <c r="C70" s="971"/>
      <c r="D70" s="971"/>
      <c r="E70" s="971"/>
      <c r="F70" s="971"/>
    </row>
    <row r="71" spans="1:6" s="562" customFormat="1" ht="12">
      <c r="A71" s="563"/>
      <c r="B71" s="571" t="s">
        <v>2311</v>
      </c>
      <c r="C71" s="564"/>
      <c r="D71" s="564"/>
      <c r="E71" s="565"/>
      <c r="F71" s="565"/>
    </row>
    <row r="72" spans="1:6" s="562" customFormat="1" ht="17.25" customHeight="1">
      <c r="A72" s="563"/>
      <c r="B72" s="569" t="s">
        <v>2312</v>
      </c>
      <c r="C72" s="564"/>
      <c r="D72" s="564"/>
      <c r="E72" s="570"/>
      <c r="F72" s="570"/>
    </row>
    <row r="73" spans="1:6" s="562" customFormat="1" ht="30" customHeight="1">
      <c r="A73" s="563"/>
      <c r="B73" s="569" t="s">
        <v>2313</v>
      </c>
      <c r="C73" s="564"/>
      <c r="D73" s="564"/>
      <c r="E73" s="570"/>
      <c r="F73" s="570"/>
    </row>
    <row r="74" spans="1:6" s="562" customFormat="1" ht="12.75" customHeight="1">
      <c r="A74" s="563" t="s">
        <v>2314</v>
      </c>
      <c r="B74" s="971" t="s">
        <v>1840</v>
      </c>
      <c r="C74" s="971"/>
      <c r="D74" s="971"/>
      <c r="E74" s="971"/>
      <c r="F74" s="971"/>
    </row>
    <row r="75" spans="1:6" s="562" customFormat="1" ht="26.25" customHeight="1">
      <c r="A75" s="563" t="s">
        <v>2315</v>
      </c>
      <c r="B75" s="971" t="s">
        <v>1841</v>
      </c>
      <c r="C75" s="971"/>
      <c r="D75" s="971"/>
      <c r="E75" s="971"/>
      <c r="F75" s="971"/>
    </row>
    <row r="76" spans="1:6" s="562" customFormat="1" ht="11.4">
      <c r="A76" s="563"/>
      <c r="B76" s="972" t="s">
        <v>1842</v>
      </c>
      <c r="C76" s="972"/>
      <c r="D76" s="972"/>
      <c r="E76" s="972"/>
      <c r="F76" s="972"/>
    </row>
    <row r="77" spans="1:6" s="562" customFormat="1" ht="15.75" customHeight="1">
      <c r="A77" s="563" t="s">
        <v>2316</v>
      </c>
      <c r="B77" s="971" t="s">
        <v>2317</v>
      </c>
      <c r="C77" s="971"/>
      <c r="D77" s="971"/>
      <c r="E77" s="971"/>
      <c r="F77" s="971"/>
    </row>
    <row r="78" spans="1:6" s="562" customFormat="1" ht="27.75" customHeight="1">
      <c r="A78" s="563" t="s">
        <v>2318</v>
      </c>
      <c r="B78" s="971" t="s">
        <v>2319</v>
      </c>
      <c r="C78" s="971"/>
      <c r="D78" s="971"/>
      <c r="E78" s="971"/>
      <c r="F78" s="971"/>
    </row>
    <row r="79" spans="1:6" s="562" customFormat="1" ht="20.25" customHeight="1">
      <c r="A79" s="563" t="s">
        <v>2320</v>
      </c>
      <c r="B79" s="971" t="s">
        <v>2321</v>
      </c>
      <c r="C79" s="971"/>
      <c r="D79" s="971"/>
      <c r="E79" s="971"/>
      <c r="F79" s="971"/>
    </row>
    <row r="80" spans="1:6" s="562" customFormat="1" ht="15.75" customHeight="1">
      <c r="A80" s="563" t="s">
        <v>2322</v>
      </c>
      <c r="B80" s="971" t="s">
        <v>2323</v>
      </c>
      <c r="C80" s="971"/>
      <c r="D80" s="971"/>
      <c r="E80" s="971"/>
      <c r="F80" s="971"/>
    </row>
    <row r="81" spans="1:6" s="562" customFormat="1" ht="16.5" customHeight="1">
      <c r="A81" s="563" t="s">
        <v>2324</v>
      </c>
      <c r="B81" s="971" t="s">
        <v>2325</v>
      </c>
      <c r="C81" s="971"/>
      <c r="D81" s="971"/>
      <c r="E81" s="971"/>
      <c r="F81" s="971"/>
    </row>
    <row r="82" spans="1:6" s="562" customFormat="1" ht="19.5" customHeight="1">
      <c r="A82" s="563" t="s">
        <v>2326</v>
      </c>
      <c r="B82" s="971" t="s">
        <v>2327</v>
      </c>
      <c r="C82" s="971"/>
      <c r="D82" s="971"/>
      <c r="E82" s="971"/>
      <c r="F82" s="971"/>
    </row>
    <row r="83" spans="1:6" s="562" customFormat="1" ht="11.4">
      <c r="A83" s="563" t="s">
        <v>2328</v>
      </c>
      <c r="B83" s="972" t="s">
        <v>1843</v>
      </c>
      <c r="C83" s="972"/>
      <c r="D83" s="972"/>
      <c r="E83" s="972"/>
      <c r="F83" s="972"/>
    </row>
    <row r="84" spans="1:6" s="562" customFormat="1" ht="14.25" customHeight="1">
      <c r="A84" s="563"/>
      <c r="B84" s="971" t="s">
        <v>1844</v>
      </c>
      <c r="C84" s="971"/>
      <c r="D84" s="971"/>
      <c r="E84" s="971"/>
      <c r="F84" s="971"/>
    </row>
    <row r="85" spans="1:6" s="562" customFormat="1" ht="27" customHeight="1">
      <c r="A85" s="563"/>
      <c r="B85" s="971" t="s">
        <v>1845</v>
      </c>
      <c r="C85" s="971"/>
      <c r="D85" s="971"/>
      <c r="E85" s="971"/>
      <c r="F85" s="971"/>
    </row>
    <row r="86" spans="1:6" s="562" customFormat="1" ht="11.4">
      <c r="A86" s="563"/>
      <c r="B86" s="566"/>
      <c r="C86" s="567"/>
      <c r="D86" s="567"/>
      <c r="E86" s="568"/>
      <c r="F86" s="568"/>
    </row>
    <row r="87" spans="1:6" s="562" customFormat="1" ht="12">
      <c r="A87" s="572"/>
      <c r="B87" s="573" t="s">
        <v>1861</v>
      </c>
      <c r="C87" s="574"/>
      <c r="D87" s="574"/>
      <c r="E87" s="575"/>
      <c r="F87" s="576"/>
    </row>
    <row r="88" spans="1:6" s="562" customFormat="1" ht="12.75" customHeight="1">
      <c r="A88" s="572"/>
      <c r="B88" s="973" t="s">
        <v>2329</v>
      </c>
      <c r="C88" s="973"/>
      <c r="D88" s="973"/>
      <c r="E88" s="973"/>
      <c r="F88" s="973"/>
    </row>
    <row r="89" spans="1:6" s="562" customFormat="1" ht="27" customHeight="1">
      <c r="A89" s="572"/>
      <c r="B89" s="974" t="s">
        <v>1863</v>
      </c>
      <c r="C89" s="974"/>
      <c r="D89" s="974"/>
      <c r="E89" s="974"/>
      <c r="F89" s="974"/>
    </row>
    <row r="90" spans="1:6" s="562" customFormat="1" ht="14.25" customHeight="1">
      <c r="A90" s="572"/>
      <c r="B90" s="975" t="s">
        <v>1864</v>
      </c>
      <c r="C90" s="975"/>
      <c r="D90" s="975"/>
      <c r="E90" s="975"/>
      <c r="F90" s="975"/>
    </row>
    <row r="91" spans="1:6" s="562" customFormat="1" ht="18" customHeight="1">
      <c r="A91" s="572"/>
      <c r="B91" s="976" t="s">
        <v>2330</v>
      </c>
      <c r="C91" s="976"/>
      <c r="D91" s="976"/>
      <c r="E91" s="976"/>
      <c r="F91" s="976"/>
    </row>
    <row r="92" spans="1:6" s="562" customFormat="1" ht="12">
      <c r="A92" s="572"/>
      <c r="B92" s="577"/>
      <c r="C92" s="578"/>
      <c r="D92" s="578"/>
      <c r="E92" s="579"/>
      <c r="F92" s="579"/>
    </row>
    <row r="93" spans="1:6" s="562" customFormat="1" ht="40.5" customHeight="1">
      <c r="A93" s="572"/>
      <c r="B93" s="970" t="s">
        <v>2331</v>
      </c>
      <c r="C93" s="970"/>
      <c r="D93" s="970"/>
      <c r="E93" s="970"/>
      <c r="F93" s="970"/>
    </row>
    <row r="94" spans="1:6" s="562" customFormat="1" ht="11.4">
      <c r="A94" s="563"/>
      <c r="B94" s="566"/>
      <c r="C94" s="567"/>
      <c r="D94" s="567"/>
      <c r="E94" s="568"/>
      <c r="F94" s="568"/>
    </row>
    <row r="95" spans="1:6" s="562" customFormat="1" ht="11.4">
      <c r="A95" s="563"/>
      <c r="B95" s="566"/>
      <c r="C95" s="567"/>
      <c r="D95" s="567"/>
      <c r="E95" s="568"/>
      <c r="F95" s="568"/>
    </row>
    <row r="96" spans="1:6" ht="15.6">
      <c r="A96" s="580"/>
      <c r="B96" s="581" t="s">
        <v>2332</v>
      </c>
    </row>
    <row r="97" spans="1:8" ht="13.8">
      <c r="A97" s="580"/>
      <c r="B97" s="582"/>
    </row>
    <row r="98" spans="1:8" ht="17.25" customHeight="1">
      <c r="A98" s="489" t="s">
        <v>2243</v>
      </c>
      <c r="B98" s="489" t="s">
        <v>1868</v>
      </c>
      <c r="C98" s="489" t="s">
        <v>1869</v>
      </c>
      <c r="D98" s="489" t="s">
        <v>1321</v>
      </c>
      <c r="E98" s="489" t="s">
        <v>2241</v>
      </c>
      <c r="F98" s="489" t="s">
        <v>2242</v>
      </c>
    </row>
    <row r="99" spans="1:8" ht="13.8">
      <c r="A99" s="583"/>
      <c r="B99" s="584"/>
      <c r="C99" s="585"/>
      <c r="D99" s="585"/>
      <c r="E99" s="586"/>
      <c r="F99" s="586"/>
    </row>
    <row r="100" spans="1:8" s="587" customFormat="1" ht="81.75" customHeight="1">
      <c r="A100" s="491"/>
      <c r="B100" s="491" t="s">
        <v>2333</v>
      </c>
      <c r="C100" s="491"/>
      <c r="D100" s="493"/>
      <c r="E100" s="493"/>
      <c r="F100" s="493"/>
    </row>
    <row r="101" spans="1:8" s="587" customFormat="1">
      <c r="A101" s="491"/>
      <c r="B101" s="491"/>
      <c r="C101" s="491"/>
      <c r="D101" s="493"/>
      <c r="E101" s="493"/>
      <c r="F101" s="493"/>
    </row>
    <row r="102" spans="1:8" s="590" customFormat="1" ht="319.5" customHeight="1">
      <c r="A102" s="491" t="s">
        <v>0</v>
      </c>
      <c r="B102" s="491" t="s">
        <v>2657</v>
      </c>
      <c r="C102" s="491" t="s">
        <v>291</v>
      </c>
      <c r="D102" s="493">
        <v>1</v>
      </c>
      <c r="E102" s="493">
        <v>1000</v>
      </c>
      <c r="F102" s="493">
        <f>D102*E102</f>
        <v>1000</v>
      </c>
      <c r="G102" s="588"/>
      <c r="H102" s="589"/>
    </row>
    <row r="103" spans="1:8" s="590" customFormat="1" ht="13.8">
      <c r="A103" s="491"/>
      <c r="B103" s="491"/>
      <c r="C103" s="491"/>
      <c r="D103" s="493"/>
      <c r="E103" s="493"/>
      <c r="F103" s="493"/>
      <c r="G103" s="588"/>
    </row>
    <row r="104" spans="1:8" s="590" customFormat="1" ht="137.25" customHeight="1">
      <c r="A104" s="491" t="s">
        <v>4</v>
      </c>
      <c r="B104" s="491" t="s">
        <v>2354</v>
      </c>
      <c r="C104" s="491" t="s">
        <v>291</v>
      </c>
      <c r="D104" s="493">
        <v>1</v>
      </c>
      <c r="E104" s="493">
        <v>400</v>
      </c>
      <c r="F104" s="493">
        <f>D104*E104</f>
        <v>400</v>
      </c>
      <c r="G104" s="588"/>
    </row>
    <row r="105" spans="1:8" s="590" customFormat="1" ht="13.8">
      <c r="A105" s="491"/>
      <c r="B105" s="491"/>
      <c r="C105" s="491"/>
      <c r="D105" s="493"/>
      <c r="E105" s="493"/>
      <c r="F105" s="493"/>
      <c r="G105" s="588"/>
    </row>
    <row r="106" spans="1:8" s="590" customFormat="1" ht="79.2">
      <c r="A106" s="591" t="s">
        <v>3</v>
      </c>
      <c r="B106" s="592" t="s">
        <v>2355</v>
      </c>
      <c r="C106" s="491" t="s">
        <v>291</v>
      </c>
      <c r="D106" s="493">
        <v>1</v>
      </c>
      <c r="E106" s="493">
        <v>350</v>
      </c>
      <c r="F106" s="493">
        <f t="shared" ref="F106:F108" si="0">D106*E106</f>
        <v>350</v>
      </c>
      <c r="G106" s="588"/>
    </row>
    <row r="107" spans="1:8" s="590" customFormat="1" ht="13.8">
      <c r="A107" s="591"/>
      <c r="B107" s="592"/>
      <c r="C107" s="491"/>
      <c r="D107" s="493"/>
      <c r="E107" s="493"/>
      <c r="F107" s="493"/>
      <c r="G107" s="588"/>
    </row>
    <row r="108" spans="1:8" s="590" customFormat="1" ht="53.25" customHeight="1">
      <c r="A108" s="591" t="s">
        <v>5</v>
      </c>
      <c r="B108" s="592" t="s">
        <v>2356</v>
      </c>
      <c r="C108" s="491" t="s">
        <v>291</v>
      </c>
      <c r="D108" s="493">
        <v>2</v>
      </c>
      <c r="E108" s="493">
        <v>110</v>
      </c>
      <c r="F108" s="493">
        <f t="shared" si="0"/>
        <v>220</v>
      </c>
      <c r="G108" s="588"/>
    </row>
    <row r="109" spans="1:8" s="590" customFormat="1" ht="13.8">
      <c r="A109" s="591"/>
      <c r="B109" s="592"/>
      <c r="C109" s="491"/>
      <c r="D109" s="493"/>
      <c r="E109" s="493"/>
      <c r="F109" s="493"/>
      <c r="G109" s="588"/>
    </row>
    <row r="110" spans="1:8" s="590" customFormat="1" ht="180" customHeight="1">
      <c r="A110" s="591" t="s">
        <v>49</v>
      </c>
      <c r="B110" s="592" t="s">
        <v>2357</v>
      </c>
      <c r="C110" s="491" t="s">
        <v>291</v>
      </c>
      <c r="D110" s="493">
        <v>1</v>
      </c>
      <c r="E110" s="493">
        <v>700</v>
      </c>
      <c r="F110" s="493">
        <f t="shared" ref="F110" si="1">D110*E110</f>
        <v>700</v>
      </c>
      <c r="G110" s="588"/>
    </row>
    <row r="111" spans="1:8" s="590" customFormat="1" ht="13.8">
      <c r="A111" s="591"/>
      <c r="B111" s="592"/>
      <c r="C111" s="491"/>
      <c r="D111" s="493"/>
      <c r="E111" s="493"/>
      <c r="F111" s="493"/>
      <c r="G111" s="588"/>
    </row>
    <row r="112" spans="1:8" s="590" customFormat="1" ht="243" customHeight="1">
      <c r="A112" s="591" t="s">
        <v>58</v>
      </c>
      <c r="B112" s="592" t="s">
        <v>2358</v>
      </c>
      <c r="C112" s="491" t="s">
        <v>291</v>
      </c>
      <c r="D112" s="493">
        <v>49</v>
      </c>
      <c r="E112" s="493">
        <v>45</v>
      </c>
      <c r="F112" s="493">
        <f>D112*E112</f>
        <v>2205</v>
      </c>
      <c r="G112" s="588"/>
    </row>
    <row r="113" spans="1:7" s="590" customFormat="1" ht="13.8">
      <c r="A113" s="591"/>
      <c r="B113" s="592"/>
      <c r="C113" s="491"/>
      <c r="D113" s="493"/>
      <c r="E113" s="493"/>
      <c r="F113" s="493"/>
      <c r="G113" s="588"/>
    </row>
    <row r="114" spans="1:7" s="590" customFormat="1" ht="255.75" customHeight="1">
      <c r="A114" s="591" t="s">
        <v>141</v>
      </c>
      <c r="B114" s="593" t="s">
        <v>2359</v>
      </c>
      <c r="C114" s="491" t="s">
        <v>291</v>
      </c>
      <c r="D114" s="493">
        <v>1</v>
      </c>
      <c r="E114" s="493">
        <v>40</v>
      </c>
      <c r="F114" s="493">
        <f t="shared" ref="F114" si="2">D114*E114</f>
        <v>40</v>
      </c>
      <c r="G114" s="588"/>
    </row>
    <row r="115" spans="1:7" s="590" customFormat="1" ht="13.8">
      <c r="A115" s="591"/>
      <c r="B115" s="593"/>
      <c r="C115" s="491"/>
      <c r="D115" s="493"/>
      <c r="E115" s="493"/>
      <c r="F115" s="493"/>
      <c r="G115" s="588"/>
    </row>
    <row r="116" spans="1:7" s="590" customFormat="1" ht="99.75" customHeight="1">
      <c r="A116" s="591" t="s">
        <v>1191</v>
      </c>
      <c r="B116" s="592" t="s">
        <v>2334</v>
      </c>
      <c r="C116" s="491" t="s">
        <v>291</v>
      </c>
      <c r="D116" s="493">
        <f>D112+D114</f>
        <v>50</v>
      </c>
      <c r="E116" s="493">
        <v>5</v>
      </c>
      <c r="F116" s="493">
        <f t="shared" ref="F116:F120" si="3">D116*E116</f>
        <v>250</v>
      </c>
      <c r="G116" s="588"/>
    </row>
    <row r="117" spans="1:7" s="590" customFormat="1" ht="13.8">
      <c r="A117" s="591"/>
      <c r="B117" s="592"/>
      <c r="C117" s="491"/>
      <c r="D117" s="493"/>
      <c r="E117" s="493"/>
      <c r="F117" s="493"/>
      <c r="G117" s="588"/>
    </row>
    <row r="118" spans="1:7" s="590" customFormat="1" ht="131.25" customHeight="1">
      <c r="A118" s="591" t="s">
        <v>180</v>
      </c>
      <c r="B118" s="593" t="s">
        <v>2638</v>
      </c>
      <c r="C118" s="491" t="s">
        <v>291</v>
      </c>
      <c r="D118" s="493">
        <v>8</v>
      </c>
      <c r="E118" s="493">
        <v>60</v>
      </c>
      <c r="F118" s="493">
        <f t="shared" si="3"/>
        <v>480</v>
      </c>
      <c r="G118" s="588"/>
    </row>
    <row r="119" spans="1:7" s="590" customFormat="1" ht="13.8">
      <c r="A119" s="591"/>
      <c r="B119" s="593"/>
      <c r="C119" s="491"/>
      <c r="D119" s="493"/>
      <c r="E119" s="493"/>
      <c r="F119" s="493"/>
      <c r="G119" s="588"/>
    </row>
    <row r="120" spans="1:7" s="590" customFormat="1" ht="155.25" customHeight="1">
      <c r="A120" s="591" t="s">
        <v>1198</v>
      </c>
      <c r="B120" s="594" t="s">
        <v>2360</v>
      </c>
      <c r="C120" s="491" t="s">
        <v>291</v>
      </c>
      <c r="D120" s="493">
        <v>4</v>
      </c>
      <c r="E120" s="493">
        <v>100</v>
      </c>
      <c r="F120" s="493">
        <f t="shared" si="3"/>
        <v>400</v>
      </c>
      <c r="G120" s="588"/>
    </row>
    <row r="121" spans="1:7" s="590" customFormat="1" ht="13.8">
      <c r="A121" s="591"/>
      <c r="B121" s="594"/>
      <c r="C121" s="491"/>
      <c r="D121" s="493"/>
      <c r="E121" s="493"/>
      <c r="F121" s="493"/>
      <c r="G121" s="588"/>
    </row>
    <row r="122" spans="1:7" s="590" customFormat="1" ht="180.75" customHeight="1">
      <c r="A122" s="591" t="s">
        <v>231</v>
      </c>
      <c r="B122" s="593" t="s">
        <v>2639</v>
      </c>
      <c r="C122" s="491" t="s">
        <v>291</v>
      </c>
      <c r="D122" s="493">
        <v>7</v>
      </c>
      <c r="E122" s="493">
        <v>190</v>
      </c>
      <c r="F122" s="493">
        <f t="shared" ref="F122:F124" si="4">D122*E122</f>
        <v>1330</v>
      </c>
      <c r="G122" s="588"/>
    </row>
    <row r="123" spans="1:7" s="590" customFormat="1" ht="13.8">
      <c r="A123" s="591"/>
      <c r="B123" s="594"/>
      <c r="C123" s="491"/>
      <c r="D123" s="493"/>
      <c r="E123" s="493"/>
      <c r="F123" s="493"/>
      <c r="G123" s="588"/>
    </row>
    <row r="124" spans="1:7" s="590" customFormat="1" ht="156.75" customHeight="1">
      <c r="A124" s="595" t="s">
        <v>1202</v>
      </c>
      <c r="B124" s="594" t="s">
        <v>2640</v>
      </c>
      <c r="C124" s="491" t="s">
        <v>291</v>
      </c>
      <c r="D124" s="493">
        <v>1</v>
      </c>
      <c r="E124" s="493">
        <v>1450</v>
      </c>
      <c r="F124" s="493">
        <f t="shared" si="4"/>
        <v>1450</v>
      </c>
      <c r="G124" s="588"/>
    </row>
    <row r="125" spans="1:7" s="590" customFormat="1" ht="13.8">
      <c r="A125" s="595"/>
      <c r="B125" s="594"/>
      <c r="C125" s="491"/>
      <c r="D125" s="493"/>
      <c r="E125" s="493"/>
      <c r="F125" s="493"/>
      <c r="G125" s="588"/>
    </row>
    <row r="126" spans="1:7" s="590" customFormat="1" ht="315.75" customHeight="1">
      <c r="A126" s="595" t="s">
        <v>1203</v>
      </c>
      <c r="B126" s="594" t="s">
        <v>2641</v>
      </c>
      <c r="C126" s="491" t="s">
        <v>291</v>
      </c>
      <c r="D126" s="493">
        <v>1</v>
      </c>
      <c r="E126" s="493">
        <v>400</v>
      </c>
      <c r="F126" s="493">
        <f t="shared" ref="F126:F138" si="5">D126*E126</f>
        <v>400</v>
      </c>
      <c r="G126" s="588"/>
    </row>
    <row r="127" spans="1:7" s="590" customFormat="1" ht="13.8">
      <c r="A127" s="595"/>
      <c r="B127" s="594"/>
      <c r="C127" s="491"/>
      <c r="D127" s="493"/>
      <c r="E127" s="493"/>
      <c r="F127" s="493"/>
      <c r="G127" s="588"/>
    </row>
    <row r="128" spans="1:7" s="590" customFormat="1" ht="66">
      <c r="A128" s="595" t="s">
        <v>1205</v>
      </c>
      <c r="B128" s="593" t="s">
        <v>2642</v>
      </c>
      <c r="C128" s="491" t="s">
        <v>291</v>
      </c>
      <c r="D128" s="493">
        <v>1</v>
      </c>
      <c r="E128" s="925">
        <v>2500</v>
      </c>
      <c r="F128" s="493">
        <f t="shared" si="5"/>
        <v>2500</v>
      </c>
      <c r="G128" s="588"/>
    </row>
    <row r="129" spans="1:7" s="590" customFormat="1" ht="13.8">
      <c r="A129" s="595"/>
      <c r="B129" s="593"/>
      <c r="C129" s="491"/>
      <c r="D129" s="493"/>
      <c r="E129" s="493"/>
      <c r="F129" s="493"/>
      <c r="G129" s="588"/>
    </row>
    <row r="130" spans="1:7" s="590" customFormat="1" ht="184.8">
      <c r="A130" s="595" t="s">
        <v>1206</v>
      </c>
      <c r="B130" s="593" t="s">
        <v>2643</v>
      </c>
      <c r="C130" s="491" t="s">
        <v>2152</v>
      </c>
      <c r="D130" s="493">
        <v>1</v>
      </c>
      <c r="E130" s="493">
        <v>1500</v>
      </c>
      <c r="F130" s="493">
        <f t="shared" si="5"/>
        <v>1500</v>
      </c>
      <c r="G130" s="588"/>
    </row>
    <row r="131" spans="1:7" s="590" customFormat="1" ht="13.8">
      <c r="A131" s="595"/>
      <c r="B131" s="593"/>
      <c r="C131" s="491"/>
      <c r="D131" s="493"/>
      <c r="E131" s="493"/>
      <c r="F131" s="493"/>
      <c r="G131" s="588"/>
    </row>
    <row r="132" spans="1:7" s="590" customFormat="1" ht="408.75" customHeight="1">
      <c r="A132" s="595" t="s">
        <v>1210</v>
      </c>
      <c r="B132" s="593" t="s">
        <v>2335</v>
      </c>
      <c r="C132" s="491" t="s">
        <v>2152</v>
      </c>
      <c r="D132" s="493">
        <v>1</v>
      </c>
      <c r="E132" s="493">
        <v>300</v>
      </c>
      <c r="F132" s="493">
        <f t="shared" si="5"/>
        <v>300</v>
      </c>
      <c r="G132" s="588"/>
    </row>
    <row r="133" spans="1:7" s="590" customFormat="1" ht="13.8">
      <c r="A133" s="595"/>
      <c r="B133" s="593"/>
      <c r="C133" s="491"/>
      <c r="D133" s="493"/>
      <c r="E133" s="493"/>
      <c r="F133" s="493"/>
      <c r="G133" s="588"/>
    </row>
    <row r="134" spans="1:7" s="590" customFormat="1" ht="211.2">
      <c r="A134" s="595" t="s">
        <v>1211</v>
      </c>
      <c r="B134" s="593" t="s">
        <v>2644</v>
      </c>
      <c r="C134" s="491" t="s">
        <v>291</v>
      </c>
      <c r="D134" s="493">
        <v>1</v>
      </c>
      <c r="E134" s="493">
        <v>3000</v>
      </c>
      <c r="F134" s="493">
        <f t="shared" si="5"/>
        <v>3000</v>
      </c>
      <c r="G134" s="588"/>
    </row>
    <row r="135" spans="1:7" s="590" customFormat="1" ht="13.8">
      <c r="A135" s="595"/>
      <c r="B135" s="593"/>
      <c r="C135" s="491"/>
      <c r="D135" s="493"/>
      <c r="E135" s="493"/>
      <c r="F135" s="493"/>
      <c r="G135" s="588"/>
    </row>
    <row r="136" spans="1:7" s="590" customFormat="1" ht="158.4">
      <c r="A136" s="595" t="s">
        <v>1212</v>
      </c>
      <c r="B136" s="593" t="s">
        <v>2645</v>
      </c>
      <c r="C136" s="491" t="s">
        <v>291</v>
      </c>
      <c r="D136" s="493">
        <v>1</v>
      </c>
      <c r="E136" s="493">
        <v>400</v>
      </c>
      <c r="F136" s="493">
        <f t="shared" si="5"/>
        <v>400</v>
      </c>
      <c r="G136" s="588"/>
    </row>
    <row r="137" spans="1:7" s="590" customFormat="1" ht="13.8">
      <c r="A137" s="595"/>
      <c r="B137" s="593"/>
      <c r="C137" s="491"/>
      <c r="D137" s="493"/>
      <c r="E137" s="493"/>
      <c r="F137" s="493"/>
      <c r="G137" s="588"/>
    </row>
    <row r="138" spans="1:7" s="590" customFormat="1" ht="39.6">
      <c r="A138" s="595" t="s">
        <v>1213</v>
      </c>
      <c r="B138" s="593" t="s">
        <v>2336</v>
      </c>
      <c r="C138" s="491" t="s">
        <v>291</v>
      </c>
      <c r="D138" s="493">
        <v>1</v>
      </c>
      <c r="E138" s="493">
        <v>155</v>
      </c>
      <c r="F138" s="493">
        <f t="shared" si="5"/>
        <v>155</v>
      </c>
      <c r="G138" s="588"/>
    </row>
    <row r="139" spans="1:7" s="590" customFormat="1" ht="13.8">
      <c r="A139" s="595"/>
      <c r="B139" s="593"/>
      <c r="C139" s="491"/>
      <c r="D139" s="493"/>
      <c r="E139" s="493"/>
      <c r="F139" s="493"/>
      <c r="G139" s="588"/>
    </row>
    <row r="140" spans="1:7" s="590" customFormat="1" ht="39.6">
      <c r="A140" s="595" t="s">
        <v>1214</v>
      </c>
      <c r="B140" s="593" t="s">
        <v>2337</v>
      </c>
      <c r="C140" s="491" t="s">
        <v>1484</v>
      </c>
      <c r="D140" s="493">
        <v>30</v>
      </c>
      <c r="E140" s="493">
        <v>5</v>
      </c>
      <c r="F140" s="493">
        <f t="shared" ref="F140" si="6">D140*E140</f>
        <v>150</v>
      </c>
      <c r="G140" s="588"/>
    </row>
    <row r="141" spans="1:7" s="590" customFormat="1" ht="13.8">
      <c r="A141" s="595"/>
      <c r="B141" s="593"/>
      <c r="C141" s="491"/>
      <c r="D141" s="493"/>
      <c r="E141" s="493"/>
      <c r="F141" s="493"/>
      <c r="G141" s="588"/>
    </row>
    <row r="142" spans="1:7" s="590" customFormat="1" ht="39.6">
      <c r="A142" s="595" t="s">
        <v>1215</v>
      </c>
      <c r="B142" s="593" t="s">
        <v>2338</v>
      </c>
      <c r="C142" s="491" t="s">
        <v>1484</v>
      </c>
      <c r="D142" s="493">
        <v>750</v>
      </c>
      <c r="E142" s="493">
        <v>2</v>
      </c>
      <c r="F142" s="493">
        <f>D142*E142</f>
        <v>1500</v>
      </c>
      <c r="G142" s="588"/>
    </row>
    <row r="143" spans="1:7" s="590" customFormat="1" ht="13.8">
      <c r="A143" s="595"/>
      <c r="B143" s="593"/>
      <c r="C143" s="491"/>
      <c r="D143" s="493"/>
      <c r="E143" s="493"/>
      <c r="F143" s="493"/>
      <c r="G143" s="588"/>
    </row>
    <row r="144" spans="1:7" s="590" customFormat="1" ht="39.6">
      <c r="A144" s="595" t="s">
        <v>1263</v>
      </c>
      <c r="B144" s="594" t="s">
        <v>2339</v>
      </c>
      <c r="C144" s="491" t="s">
        <v>1484</v>
      </c>
      <c r="D144" s="493">
        <v>400</v>
      </c>
      <c r="E144" s="493">
        <v>4.5</v>
      </c>
      <c r="F144" s="493">
        <f t="shared" ref="F144:F146" si="7">D144*E144</f>
        <v>1800</v>
      </c>
      <c r="G144" s="588"/>
    </row>
    <row r="145" spans="1:7" s="590" customFormat="1" ht="13.8">
      <c r="A145" s="595"/>
      <c r="B145" s="594"/>
      <c r="C145" s="491"/>
      <c r="D145" s="493"/>
      <c r="E145" s="493"/>
      <c r="F145" s="493"/>
      <c r="G145" s="588"/>
    </row>
    <row r="146" spans="1:7" s="590" customFormat="1" ht="66">
      <c r="A146" s="595" t="s">
        <v>1264</v>
      </c>
      <c r="B146" s="594" t="s">
        <v>2792</v>
      </c>
      <c r="C146" s="491" t="s">
        <v>1484</v>
      </c>
      <c r="D146" s="493">
        <v>300</v>
      </c>
      <c r="E146" s="493">
        <v>4</v>
      </c>
      <c r="F146" s="493">
        <f t="shared" si="7"/>
        <v>1200</v>
      </c>
      <c r="G146" s="588"/>
    </row>
    <row r="147" spans="1:7" s="590" customFormat="1" ht="13.8">
      <c r="A147" s="595"/>
      <c r="B147" s="594"/>
      <c r="C147" s="491"/>
      <c r="D147" s="493"/>
      <c r="E147" s="493"/>
      <c r="F147" s="493"/>
      <c r="G147" s="588"/>
    </row>
    <row r="148" spans="1:7" s="590" customFormat="1" ht="52.8">
      <c r="A148" s="595" t="s">
        <v>1563</v>
      </c>
      <c r="B148" s="594" t="s">
        <v>2340</v>
      </c>
      <c r="C148" s="491" t="s">
        <v>1484</v>
      </c>
      <c r="D148" s="493">
        <v>300</v>
      </c>
      <c r="E148" s="493">
        <v>4</v>
      </c>
      <c r="F148" s="493">
        <f t="shared" ref="F148:F152" si="8">D148*E148</f>
        <v>1200</v>
      </c>
      <c r="G148" s="588"/>
    </row>
    <row r="149" spans="1:7" s="596" customFormat="1">
      <c r="A149" s="595"/>
      <c r="B149" s="594"/>
      <c r="C149" s="491"/>
      <c r="D149" s="493"/>
      <c r="E149" s="493"/>
      <c r="F149" s="493"/>
    </row>
    <row r="150" spans="1:7" s="590" customFormat="1" ht="52.8">
      <c r="A150" s="595" t="s">
        <v>1565</v>
      </c>
      <c r="B150" s="594" t="s">
        <v>2341</v>
      </c>
      <c r="C150" s="491" t="s">
        <v>1484</v>
      </c>
      <c r="D150" s="493">
        <v>750</v>
      </c>
      <c r="E150" s="493">
        <v>7</v>
      </c>
      <c r="F150" s="493">
        <f t="shared" ref="F150" si="9">D150*E150</f>
        <v>5250</v>
      </c>
      <c r="G150" s="588"/>
    </row>
    <row r="151" spans="1:7" s="590" customFormat="1" ht="13.8">
      <c r="A151" s="595"/>
      <c r="B151" s="594"/>
      <c r="C151" s="491"/>
      <c r="D151" s="493"/>
      <c r="E151" s="493"/>
      <c r="F151" s="493"/>
      <c r="G151" s="588"/>
    </row>
    <row r="152" spans="1:7" s="597" customFormat="1" ht="66">
      <c r="A152" s="595" t="s">
        <v>1567</v>
      </c>
      <c r="B152" s="594" t="s">
        <v>2342</v>
      </c>
      <c r="C152" s="491" t="s">
        <v>291</v>
      </c>
      <c r="D152" s="493">
        <v>12</v>
      </c>
      <c r="E152" s="493">
        <v>50</v>
      </c>
      <c r="F152" s="493">
        <f t="shared" si="8"/>
        <v>600</v>
      </c>
    </row>
    <row r="153" spans="1:7" s="590" customFormat="1" ht="13.8">
      <c r="A153" s="595"/>
      <c r="B153" s="594"/>
      <c r="C153" s="491"/>
      <c r="D153" s="493"/>
      <c r="E153" s="493"/>
      <c r="F153" s="493"/>
    </row>
    <row r="154" spans="1:7" s="590" customFormat="1" ht="26.4">
      <c r="A154" s="595" t="s">
        <v>1569</v>
      </c>
      <c r="B154" s="594" t="s">
        <v>2343</v>
      </c>
      <c r="C154" s="491" t="s">
        <v>2152</v>
      </c>
      <c r="D154" s="493">
        <v>1</v>
      </c>
      <c r="E154" s="493">
        <v>200</v>
      </c>
      <c r="F154" s="493">
        <f t="shared" ref="F154" si="10">D154*E154</f>
        <v>200</v>
      </c>
    </row>
    <row r="155" spans="1:7" s="590" customFormat="1" ht="13.8">
      <c r="A155" s="595"/>
      <c r="B155" s="594"/>
      <c r="C155" s="491"/>
      <c r="D155" s="493"/>
      <c r="E155" s="493"/>
      <c r="F155" s="493"/>
    </row>
    <row r="156" spans="1:7" ht="39.6">
      <c r="A156" s="595" t="s">
        <v>1572</v>
      </c>
      <c r="B156" s="594" t="s">
        <v>2344</v>
      </c>
      <c r="C156" s="491" t="s">
        <v>2152</v>
      </c>
      <c r="D156" s="493">
        <v>1</v>
      </c>
      <c r="E156" s="493">
        <v>50</v>
      </c>
      <c r="F156" s="493">
        <f t="shared" ref="F156:F158" si="11">D156*E156</f>
        <v>50</v>
      </c>
    </row>
    <row r="157" spans="1:7">
      <c r="A157" s="595"/>
      <c r="B157" s="594"/>
      <c r="C157" s="491"/>
      <c r="D157" s="493"/>
      <c r="E157" s="493"/>
      <c r="F157" s="493"/>
    </row>
    <row r="158" spans="1:7" ht="42.75" customHeight="1">
      <c r="A158" s="491" t="s">
        <v>1577</v>
      </c>
      <c r="B158" s="491" t="s">
        <v>2345</v>
      </c>
      <c r="C158" s="491" t="s">
        <v>2152</v>
      </c>
      <c r="D158" s="493">
        <v>1</v>
      </c>
      <c r="E158" s="493">
        <v>500</v>
      </c>
      <c r="F158" s="493">
        <f t="shared" si="11"/>
        <v>500</v>
      </c>
    </row>
    <row r="159" spans="1:7">
      <c r="A159" s="491"/>
      <c r="B159" s="491"/>
      <c r="C159" s="491"/>
      <c r="D159" s="493"/>
      <c r="E159" s="493"/>
      <c r="F159" s="493"/>
    </row>
    <row r="160" spans="1:7" ht="66">
      <c r="A160" s="591" t="s">
        <v>1579</v>
      </c>
      <c r="B160" s="592" t="s">
        <v>2346</v>
      </c>
      <c r="C160" s="491" t="s">
        <v>2152</v>
      </c>
      <c r="D160" s="493">
        <v>1</v>
      </c>
      <c r="E160" s="493">
        <v>200</v>
      </c>
      <c r="F160" s="493">
        <f t="shared" ref="F160:F162" si="12">D160*E160</f>
        <v>200</v>
      </c>
    </row>
    <row r="161" spans="1:6">
      <c r="A161" s="591"/>
      <c r="B161" s="592"/>
      <c r="C161" s="491"/>
      <c r="D161" s="493"/>
      <c r="E161" s="493"/>
      <c r="F161" s="493"/>
    </row>
    <row r="162" spans="1:6">
      <c r="A162" s="591" t="s">
        <v>1581</v>
      </c>
      <c r="B162" s="592" t="s">
        <v>2347</v>
      </c>
      <c r="C162" s="491" t="s">
        <v>2152</v>
      </c>
      <c r="D162" s="493">
        <v>1</v>
      </c>
      <c r="E162" s="493">
        <v>2000</v>
      </c>
      <c r="F162" s="493">
        <f t="shared" si="12"/>
        <v>2000</v>
      </c>
    </row>
    <row r="163" spans="1:6">
      <c r="A163" s="591"/>
      <c r="B163" s="592"/>
      <c r="C163" s="491"/>
      <c r="D163" s="493"/>
      <c r="E163" s="493"/>
      <c r="F163" s="493"/>
    </row>
    <row r="164" spans="1:6" ht="26.4">
      <c r="A164" s="591" t="s">
        <v>1583</v>
      </c>
      <c r="B164" s="592" t="s">
        <v>2348</v>
      </c>
      <c r="C164" s="491" t="s">
        <v>2152</v>
      </c>
      <c r="D164" s="493">
        <v>1</v>
      </c>
      <c r="E164" s="493">
        <v>100</v>
      </c>
      <c r="F164" s="493">
        <f t="shared" ref="F164:F166" si="13">D164*E164</f>
        <v>100</v>
      </c>
    </row>
    <row r="165" spans="1:6">
      <c r="A165" s="591"/>
      <c r="B165" s="592"/>
      <c r="C165" s="491"/>
      <c r="D165" s="493"/>
      <c r="E165" s="493"/>
      <c r="F165" s="493"/>
    </row>
    <row r="166" spans="1:6">
      <c r="A166" s="595" t="s">
        <v>1587</v>
      </c>
      <c r="B166" s="593" t="s">
        <v>2349</v>
      </c>
      <c r="C166" s="491" t="s">
        <v>2152</v>
      </c>
      <c r="D166" s="493">
        <v>1</v>
      </c>
      <c r="E166" s="493">
        <v>100</v>
      </c>
      <c r="F166" s="493">
        <f t="shared" si="13"/>
        <v>100</v>
      </c>
    </row>
    <row r="167" spans="1:6">
      <c r="A167" s="595"/>
      <c r="B167" s="593"/>
      <c r="C167" s="491"/>
      <c r="D167" s="493"/>
      <c r="E167" s="493"/>
      <c r="F167" s="493"/>
    </row>
    <row r="168" spans="1:6" ht="26.4">
      <c r="A168" s="595" t="s">
        <v>2262</v>
      </c>
      <c r="B168" s="593" t="s">
        <v>2350</v>
      </c>
      <c r="C168" s="491" t="s">
        <v>2152</v>
      </c>
      <c r="D168" s="493">
        <v>1</v>
      </c>
      <c r="E168" s="493">
        <v>500</v>
      </c>
      <c r="F168" s="493">
        <f t="shared" ref="F168:F170" si="14">D168*E168</f>
        <v>500</v>
      </c>
    </row>
    <row r="169" spans="1:6">
      <c r="A169" s="595"/>
      <c r="B169" s="593"/>
      <c r="C169" s="491"/>
      <c r="D169" s="493"/>
      <c r="E169" s="493"/>
      <c r="F169" s="493"/>
    </row>
    <row r="170" spans="1:6" ht="52.8">
      <c r="A170" s="595" t="s">
        <v>2264</v>
      </c>
      <c r="B170" s="593" t="s">
        <v>2351</v>
      </c>
      <c r="C170" s="491" t="s">
        <v>2152</v>
      </c>
      <c r="D170" s="493">
        <v>1</v>
      </c>
      <c r="E170" s="493">
        <v>400</v>
      </c>
      <c r="F170" s="493">
        <f t="shared" si="14"/>
        <v>400</v>
      </c>
    </row>
    <row r="171" spans="1:6">
      <c r="A171" s="595"/>
      <c r="B171" s="594"/>
      <c r="C171" s="491"/>
      <c r="D171" s="493"/>
      <c r="E171" s="493"/>
      <c r="F171" s="493"/>
    </row>
    <row r="172" spans="1:6">
      <c r="A172" s="598"/>
      <c r="B172" s="598" t="s">
        <v>2352</v>
      </c>
      <c r="C172" s="598"/>
      <c r="D172" s="599"/>
      <c r="E172" s="599">
        <v>0</v>
      </c>
      <c r="F172" s="599">
        <f>SUM(F102:F170)</f>
        <v>32830</v>
      </c>
    </row>
    <row r="173" spans="1:6">
      <c r="A173" s="598"/>
      <c r="B173" s="598" t="s">
        <v>2369</v>
      </c>
      <c r="C173" s="598"/>
      <c r="D173" s="599"/>
      <c r="E173" s="599">
        <v>0</v>
      </c>
      <c r="F173" s="599">
        <f>F172*0.25</f>
        <v>8207.5</v>
      </c>
    </row>
    <row r="174" spans="1:6">
      <c r="A174" s="595"/>
      <c r="B174" s="594"/>
      <c r="C174" s="491"/>
      <c r="D174" s="493"/>
      <c r="E174" s="493"/>
      <c r="F174" s="493"/>
    </row>
    <row r="175" spans="1:6">
      <c r="A175" s="598"/>
      <c r="B175" s="598" t="s">
        <v>2370</v>
      </c>
      <c r="C175" s="598"/>
      <c r="D175" s="599"/>
      <c r="E175" s="599">
        <v>0</v>
      </c>
      <c r="F175" s="599">
        <f>F172+F173</f>
        <v>41037.5</v>
      </c>
    </row>
    <row r="176" spans="1:6">
      <c r="A176" s="595"/>
      <c r="B176" s="594"/>
      <c r="C176" s="491"/>
      <c r="D176" s="493"/>
      <c r="E176" s="493"/>
      <c r="F176" s="493"/>
    </row>
    <row r="177" spans="1:6">
      <c r="A177" s="595"/>
      <c r="B177" s="594"/>
      <c r="C177" s="491"/>
      <c r="D177" s="493"/>
      <c r="E177" s="493"/>
      <c r="F177" s="493"/>
    </row>
    <row r="178" spans="1:6">
      <c r="A178" s="595"/>
      <c r="B178" s="594"/>
      <c r="C178" s="491"/>
      <c r="D178" s="493"/>
      <c r="E178" s="493"/>
      <c r="F178" s="493"/>
    </row>
  </sheetData>
  <mergeCells count="84">
    <mergeCell ref="A1:B1"/>
    <mergeCell ref="A2:F3"/>
    <mergeCell ref="B15:F15"/>
    <mergeCell ref="B6:F6"/>
    <mergeCell ref="B7:F7"/>
    <mergeCell ref="B8:F8"/>
    <mergeCell ref="B9:F9"/>
    <mergeCell ref="B10:F10"/>
    <mergeCell ref="B11:F11"/>
    <mergeCell ref="B12:F12"/>
    <mergeCell ref="B13:F13"/>
    <mergeCell ref="B14:F14"/>
    <mergeCell ref="B27:F27"/>
    <mergeCell ref="B16:F16"/>
    <mergeCell ref="B17:F17"/>
    <mergeCell ref="B18:F18"/>
    <mergeCell ref="B19:F19"/>
    <mergeCell ref="B20:F20"/>
    <mergeCell ref="B21:F21"/>
    <mergeCell ref="B22:F22"/>
    <mergeCell ref="B23:F23"/>
    <mergeCell ref="B24:F24"/>
    <mergeCell ref="B25:F25"/>
    <mergeCell ref="B26:F26"/>
    <mergeCell ref="B39:F39"/>
    <mergeCell ref="B28:F28"/>
    <mergeCell ref="B29:F29"/>
    <mergeCell ref="B30:F30"/>
    <mergeCell ref="B31:F31"/>
    <mergeCell ref="B32:F32"/>
    <mergeCell ref="B33:F33"/>
    <mergeCell ref="B34:F34"/>
    <mergeCell ref="B35:F35"/>
    <mergeCell ref="B36:F36"/>
    <mergeCell ref="B37:F37"/>
    <mergeCell ref="B38:F38"/>
    <mergeCell ref="B51:F51"/>
    <mergeCell ref="B40:F40"/>
    <mergeCell ref="B41:F41"/>
    <mergeCell ref="B42:F42"/>
    <mergeCell ref="B43:F43"/>
    <mergeCell ref="B44:F44"/>
    <mergeCell ref="B45:F45"/>
    <mergeCell ref="B46:F46"/>
    <mergeCell ref="B47:F47"/>
    <mergeCell ref="B48:F48"/>
    <mergeCell ref="B49:F49"/>
    <mergeCell ref="B50:F50"/>
    <mergeCell ref="B63:F63"/>
    <mergeCell ref="B52:F52"/>
    <mergeCell ref="B53:F53"/>
    <mergeCell ref="B54:F54"/>
    <mergeCell ref="B55:F55"/>
    <mergeCell ref="B56:F56"/>
    <mergeCell ref="B57:F57"/>
    <mergeCell ref="B58:F58"/>
    <mergeCell ref="B59:F59"/>
    <mergeCell ref="B60:F60"/>
    <mergeCell ref="B61:F61"/>
    <mergeCell ref="B62:F62"/>
    <mergeCell ref="B78:F78"/>
    <mergeCell ref="B64:F64"/>
    <mergeCell ref="B65:F65"/>
    <mergeCell ref="B66:F66"/>
    <mergeCell ref="B67:F67"/>
    <mergeCell ref="B68:F68"/>
    <mergeCell ref="B69:F69"/>
    <mergeCell ref="B70:F70"/>
    <mergeCell ref="B74:F74"/>
    <mergeCell ref="B75:F75"/>
    <mergeCell ref="B76:F76"/>
    <mergeCell ref="B77:F77"/>
    <mergeCell ref="B93:F93"/>
    <mergeCell ref="B79:F79"/>
    <mergeCell ref="B80:F80"/>
    <mergeCell ref="B81:F81"/>
    <mergeCell ref="B82:F82"/>
    <mergeCell ref="B83:F83"/>
    <mergeCell ref="B84:F84"/>
    <mergeCell ref="B85:F85"/>
    <mergeCell ref="B88:F88"/>
    <mergeCell ref="B89:F89"/>
    <mergeCell ref="B90:F90"/>
    <mergeCell ref="B91:F91"/>
  </mergeCells>
  <printOptions gridLines="1"/>
  <pageMargins left="0.55118110236220474" right="0.23622047244094491" top="0.70866141732283472" bottom="0.39370078740157483" header="0.27559055118110237" footer="0.19685039370078741"/>
  <pageSetup paperSize="9" scale="76" fitToHeight="0" orientation="portrait" useFirstPageNumber="1" r:id="rId1"/>
  <headerFooter alignWithMargins="0">
    <oddHeader>&amp;C
&amp;Rstr. &amp;P</oddHeader>
  </headerFooter>
  <rowBreaks count="7" manualBreakCount="7">
    <brk id="50" max="5" man="1"/>
    <brk id="94" max="5" man="1"/>
    <brk id="109" max="5" man="1"/>
    <brk id="117" max="5" man="1"/>
    <brk id="126" max="5" man="1"/>
    <brk id="134" max="5" man="1"/>
    <brk id="161"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15</vt:i4>
      </vt:variant>
      <vt:variant>
        <vt:lpstr>Imenovani rasponi</vt:lpstr>
      </vt:variant>
      <vt:variant>
        <vt:i4>18</vt:i4>
      </vt:variant>
    </vt:vector>
  </HeadingPairs>
  <TitlesOfParts>
    <vt:vector size="33" baseType="lpstr">
      <vt:lpstr>NASLOVNICA</vt:lpstr>
      <vt:lpstr>SVEUKUPNA REKAPITULACIJA</vt:lpstr>
      <vt:lpstr>OTU</vt:lpstr>
      <vt:lpstr>1_NASLOV</vt:lpstr>
      <vt:lpstr>1_Građevinsko Obrtnički</vt:lpstr>
      <vt:lpstr>2_NASLOV</vt:lpstr>
      <vt:lpstr>VIK-1</vt:lpstr>
      <vt:lpstr>VIK-2</vt:lpstr>
      <vt:lpstr>VIK-REK</vt:lpstr>
      <vt:lpstr>3_NASLOV</vt:lpstr>
      <vt:lpstr>3_STROJARSTVO</vt:lpstr>
      <vt:lpstr>4_NASLOV</vt:lpstr>
      <vt:lpstr>4_ELEKTROINSTALACIJE</vt:lpstr>
      <vt:lpstr>5_NASLOV</vt:lpstr>
      <vt:lpstr>5_VATRODOJAVA</vt:lpstr>
      <vt:lpstr>'3_STROJARSTVO'!Ispis_naslova</vt:lpstr>
      <vt:lpstr>'4_ELEKTROINSTALACIJE'!Ispis_naslova</vt:lpstr>
      <vt:lpstr>'5_VATRODOJAVA'!Ispis_naslova</vt:lpstr>
      <vt:lpstr>'VIK-1'!Ispis_naslova</vt:lpstr>
      <vt:lpstr>'VIK-2'!Ispis_naslova</vt:lpstr>
      <vt:lpstr>'1_Građevinsko Obrtnički'!Podrucje_ispisa</vt:lpstr>
      <vt:lpstr>'2_NASLOV'!Podrucje_ispisa</vt:lpstr>
      <vt:lpstr>'3_NASLOV'!Podrucje_ispisa</vt:lpstr>
      <vt:lpstr>'3_STROJARSTVO'!Podrucje_ispisa</vt:lpstr>
      <vt:lpstr>'4_ELEKTROINSTALACIJE'!Podrucje_ispisa</vt:lpstr>
      <vt:lpstr>'4_NASLOV'!Podrucje_ispisa</vt:lpstr>
      <vt:lpstr>'5_NASLOV'!Podrucje_ispisa</vt:lpstr>
      <vt:lpstr>'5_VATRODOJAVA'!Podrucje_ispisa</vt:lpstr>
      <vt:lpstr>OTU!Podrucje_ispisa</vt:lpstr>
      <vt:lpstr>'SVEUKUPNA REKAPITULACIJA'!Podrucje_ispisa</vt:lpstr>
      <vt:lpstr>'VIK-1'!Podrucje_ispisa</vt:lpstr>
      <vt:lpstr>'VIK-2'!Podrucje_ispisa</vt:lpstr>
      <vt:lpstr>'VIK-REK'!Podrucje_ispisa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Volarić</dc:creator>
  <cp:lastModifiedBy>Bernard Drinovac</cp:lastModifiedBy>
  <cp:lastPrinted>2024-11-04T14:00:33Z</cp:lastPrinted>
  <dcterms:created xsi:type="dcterms:W3CDTF">2000-10-31T16:08:00Z</dcterms:created>
  <dcterms:modified xsi:type="dcterms:W3CDTF">2025-10-28T19:40:03Z</dcterms:modified>
</cp:coreProperties>
</file>