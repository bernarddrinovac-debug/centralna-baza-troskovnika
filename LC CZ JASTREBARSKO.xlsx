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C:\Users\danijel\Documents\PONUDE\2025\MUP Jastrebarsko\"/>
    </mc:Choice>
  </mc:AlternateContent>
  <xr:revisionPtr revIDLastSave="0" documentId="13_ncr:1_{895FB518-9883-46D5-AE40-2A64A1A407F4}" xr6:coauthVersionLast="47" xr6:coauthVersionMax="47" xr10:uidLastSave="{00000000-0000-0000-0000-000000000000}"/>
  <bookViews>
    <workbookView xWindow="-108" yWindow="-108" windowWidth="23256" windowHeight="12456" firstSheet="3" activeTab="8" xr2:uid="{00000000-000D-0000-FFFF-FFFF00000000}"/>
  </bookViews>
  <sheets>
    <sheet name="Naslovna i opći uvjeti" sheetId="1" r:id="rId1"/>
    <sheet name="Skladište 1" sheetId="2" r:id="rId2"/>
    <sheet name="Skladište 2" sheetId="3" r:id="rId3"/>
    <sheet name="Skladište 5" sheetId="4" r:id="rId4"/>
    <sheet name="Skladište 6" sheetId="5" r:id="rId5"/>
    <sheet name="Otvoreni platoi 4 i 5" sheetId="6" r:id="rId6"/>
    <sheet name="RKPT_1, 2 i 5" sheetId="7" r:id="rId7"/>
    <sheet name="RKPT_6, OP 4 i 5" sheetId="8" r:id="rId8"/>
    <sheet name="Zbirna RKPT" sheetId="9" r:id="rId9"/>
  </sheets>
  <definedNames>
    <definedName name="_xlnm.Print_Titles" localSheetId="0">'Naslovna i opći uvjeti'!$64:$65</definedName>
    <definedName name="_xlnm.Print_Titles" localSheetId="5">'Otvoreni platoi 4 i 5'!$1:$2</definedName>
    <definedName name="_xlnm.Print_Titles" localSheetId="6">'RKPT_1, 2 i 5'!$1:$2</definedName>
    <definedName name="_xlnm.Print_Titles" localSheetId="7">'RKPT_6, OP 4 i 5'!$1:$2</definedName>
    <definedName name="_xlnm.Print_Titles" localSheetId="1">'Skladište 1'!$1:$2</definedName>
    <definedName name="_xlnm.Print_Titles" localSheetId="2">'Skladište 2'!$1:$2</definedName>
    <definedName name="_xlnm.Print_Titles" localSheetId="3">'Skladište 5'!$1:$2</definedName>
    <definedName name="_xlnm.Print_Titles" localSheetId="4">'Skladište 6'!$1:$2</definedName>
    <definedName name="_xlnm.Print_Titles" localSheetId="8">'Zbirna RKPT'!$1:$2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40" i="5" l="1"/>
  <c r="F139" i="5"/>
  <c r="F139" i="4"/>
  <c r="F138" i="4"/>
  <c r="F139" i="3"/>
  <c r="F138" i="3"/>
  <c r="F146" i="2"/>
  <c r="F145" i="2"/>
  <c r="F138" i="5" l="1"/>
  <c r="F137" i="5"/>
  <c r="F137" i="4"/>
  <c r="F136" i="4"/>
  <c r="F137" i="3"/>
  <c r="F136" i="3"/>
  <c r="F144" i="2"/>
  <c r="F143" i="2"/>
  <c r="F94" i="5"/>
  <c r="F93" i="4"/>
  <c r="F93" i="3"/>
  <c r="F95" i="2"/>
  <c r="F39" i="5"/>
  <c r="F38" i="5"/>
  <c r="F36" i="5"/>
  <c r="F35" i="5"/>
  <c r="F33" i="5"/>
  <c r="F32" i="5"/>
  <c r="F38" i="4"/>
  <c r="F37" i="4"/>
  <c r="F35" i="4"/>
  <c r="F34" i="4"/>
  <c r="F32" i="4"/>
  <c r="F31" i="4"/>
  <c r="F38" i="3"/>
  <c r="F37" i="3"/>
  <c r="F35" i="3"/>
  <c r="F34" i="3"/>
  <c r="F32" i="3"/>
  <c r="F31" i="3"/>
  <c r="F39" i="2"/>
  <c r="F38" i="2"/>
  <c r="F33" i="2"/>
  <c r="F32" i="2"/>
  <c r="F36" i="2"/>
  <c r="F35" i="2"/>
  <c r="F122" i="5" l="1"/>
  <c r="F121" i="5"/>
  <c r="F120" i="5"/>
  <c r="F119" i="5"/>
  <c r="F117" i="5"/>
  <c r="F116" i="5"/>
  <c r="F115" i="5"/>
  <c r="F114" i="5"/>
  <c r="F121" i="4"/>
  <c r="F120" i="4"/>
  <c r="F119" i="4"/>
  <c r="F118" i="4"/>
  <c r="F116" i="4"/>
  <c r="F115" i="4"/>
  <c r="F114" i="4"/>
  <c r="F113" i="4"/>
  <c r="F121" i="3"/>
  <c r="F120" i="3"/>
  <c r="F119" i="3"/>
  <c r="F118" i="3"/>
  <c r="F116" i="3"/>
  <c r="F115" i="3"/>
  <c r="F114" i="3"/>
  <c r="F113" i="3"/>
  <c r="F125" i="2"/>
  <c r="F122" i="3" l="1"/>
  <c r="F123" i="2"/>
  <c r="F122" i="2"/>
  <c r="F121" i="2"/>
  <c r="F119" i="2"/>
  <c r="F123" i="5" l="1"/>
  <c r="F88" i="6"/>
  <c r="F87" i="6"/>
  <c r="F86" i="6"/>
  <c r="F85" i="6"/>
  <c r="F84" i="6"/>
  <c r="F83" i="6"/>
  <c r="F82" i="6"/>
  <c r="F81" i="6"/>
  <c r="F80" i="6"/>
  <c r="F79" i="6"/>
  <c r="F78" i="6"/>
  <c r="F77" i="6"/>
  <c r="F76" i="6"/>
  <c r="F75" i="6"/>
  <c r="F74" i="6"/>
  <c r="F70" i="6"/>
  <c r="F69" i="6"/>
  <c r="F68" i="6"/>
  <c r="F67" i="6"/>
  <c r="F66" i="6"/>
  <c r="F65" i="6"/>
  <c r="F64" i="6"/>
  <c r="F62" i="6"/>
  <c r="F61" i="6"/>
  <c r="F60" i="6"/>
  <c r="F59" i="6"/>
  <c r="F58" i="6"/>
  <c r="F57" i="6"/>
  <c r="F55" i="6"/>
  <c r="F54" i="6"/>
  <c r="F52" i="6"/>
  <c r="F51" i="6"/>
  <c r="F50" i="6"/>
  <c r="F49" i="6"/>
  <c r="F48" i="6"/>
  <c r="F45" i="6"/>
  <c r="F44" i="6"/>
  <c r="F42" i="6"/>
  <c r="F41" i="6"/>
  <c r="F40" i="6"/>
  <c r="F39" i="6"/>
  <c r="F38" i="6"/>
  <c r="F37" i="6"/>
  <c r="F36" i="6"/>
  <c r="F35" i="6"/>
  <c r="F34" i="6"/>
  <c r="F33" i="6"/>
  <c r="F28" i="6"/>
  <c r="F27" i="6"/>
  <c r="F26" i="6"/>
  <c r="F24" i="6"/>
  <c r="F23" i="6"/>
  <c r="F22" i="6"/>
  <c r="F20" i="6"/>
  <c r="F19" i="6"/>
  <c r="F18" i="6"/>
  <c r="F17" i="6"/>
  <c r="F16" i="6"/>
  <c r="F15" i="6"/>
  <c r="F13" i="6"/>
  <c r="F12" i="6"/>
  <c r="F11" i="6"/>
  <c r="F10" i="6"/>
  <c r="F9" i="6"/>
  <c r="F8" i="6"/>
  <c r="F7" i="6"/>
  <c r="F6" i="6"/>
  <c r="F5" i="6"/>
  <c r="F4" i="6"/>
  <c r="F385" i="5"/>
  <c r="F384" i="5"/>
  <c r="F383" i="5"/>
  <c r="F382" i="5"/>
  <c r="F378" i="5"/>
  <c r="F377" i="5"/>
  <c r="F376" i="5"/>
  <c r="F375" i="5"/>
  <c r="F374" i="5"/>
  <c r="F373" i="5"/>
  <c r="F372" i="5"/>
  <c r="F371" i="5"/>
  <c r="F370" i="5"/>
  <c r="F369" i="5"/>
  <c r="F368" i="5"/>
  <c r="F367" i="5"/>
  <c r="F366" i="5"/>
  <c r="F364" i="5"/>
  <c r="F363" i="5"/>
  <c r="F362" i="5"/>
  <c r="F361" i="5"/>
  <c r="F360" i="5"/>
  <c r="F358" i="5"/>
  <c r="F357" i="5"/>
  <c r="F356" i="5"/>
  <c r="F355" i="5"/>
  <c r="F353" i="5"/>
  <c r="F330" i="5"/>
  <c r="F329" i="5"/>
  <c r="F331" i="5" s="1"/>
  <c r="F343" i="5" s="1"/>
  <c r="F325" i="5"/>
  <c r="F324" i="5"/>
  <c r="F323" i="5"/>
  <c r="F322" i="5"/>
  <c r="F321" i="5"/>
  <c r="F320" i="5"/>
  <c r="F319" i="5"/>
  <c r="F318" i="5"/>
  <c r="F317" i="5"/>
  <c r="F316" i="5"/>
  <c r="F315" i="5"/>
  <c r="F314" i="5"/>
  <c r="F313" i="5"/>
  <c r="F312" i="5"/>
  <c r="F311" i="5"/>
  <c r="F310" i="5"/>
  <c r="F309" i="5"/>
  <c r="F308" i="5"/>
  <c r="F307" i="5"/>
  <c r="F306" i="5"/>
  <c r="F305" i="5"/>
  <c r="F304" i="5"/>
  <c r="F303" i="5"/>
  <c r="F302" i="5"/>
  <c r="F301" i="5"/>
  <c r="F297" i="5"/>
  <c r="F296" i="5"/>
  <c r="F295" i="5"/>
  <c r="F294" i="5"/>
  <c r="F293" i="5"/>
  <c r="F292" i="5"/>
  <c r="F291" i="5"/>
  <c r="F290" i="5"/>
  <c r="F289" i="5"/>
  <c r="F288" i="5"/>
  <c r="F287" i="5"/>
  <c r="F286" i="5"/>
  <c r="F285" i="5"/>
  <c r="F284" i="5"/>
  <c r="F279" i="5"/>
  <c r="F278" i="5"/>
  <c r="F277" i="5"/>
  <c r="F276" i="5"/>
  <c r="F275" i="5"/>
  <c r="F274" i="5"/>
  <c r="F273" i="5"/>
  <c r="F269" i="5"/>
  <c r="F268" i="5"/>
  <c r="F267" i="5"/>
  <c r="F265" i="5"/>
  <c r="F264" i="5"/>
  <c r="F263" i="5"/>
  <c r="F262" i="5"/>
  <c r="F261" i="5"/>
  <c r="F260" i="5"/>
  <c r="F259" i="5"/>
  <c r="F258" i="5"/>
  <c r="F257" i="5"/>
  <c r="F255" i="5"/>
  <c r="F254" i="5"/>
  <c r="F253" i="5"/>
  <c r="F251" i="5"/>
  <c r="F247" i="5"/>
  <c r="F246" i="5"/>
  <c r="F245" i="5"/>
  <c r="F244" i="5"/>
  <c r="F243" i="5"/>
  <c r="F242" i="5"/>
  <c r="F241" i="5"/>
  <c r="F240" i="5"/>
  <c r="F239" i="5"/>
  <c r="F238" i="5"/>
  <c r="F233" i="5"/>
  <c r="F232" i="5"/>
  <c r="F234" i="5" s="1"/>
  <c r="F337" i="5" s="1"/>
  <c r="F215" i="5"/>
  <c r="F214" i="5"/>
  <c r="F213" i="5"/>
  <c r="F209" i="5"/>
  <c r="F208" i="5"/>
  <c r="F207" i="5"/>
  <c r="F206" i="5"/>
  <c r="F205" i="5"/>
  <c r="F203" i="5"/>
  <c r="F201" i="5"/>
  <c r="F200" i="5"/>
  <c r="F195" i="5"/>
  <c r="F194" i="5"/>
  <c r="F193" i="5"/>
  <c r="F192" i="5"/>
  <c r="F191" i="5"/>
  <c r="F190" i="5"/>
  <c r="F189" i="5"/>
  <c r="F187" i="5"/>
  <c r="F186" i="5"/>
  <c r="F185" i="5"/>
  <c r="F183" i="5"/>
  <c r="F157" i="5"/>
  <c r="F156" i="5"/>
  <c r="F155" i="5"/>
  <c r="F154" i="5"/>
  <c r="F153" i="5"/>
  <c r="F152" i="5"/>
  <c r="F151" i="5"/>
  <c r="F149" i="5"/>
  <c r="F148" i="5"/>
  <c r="F147" i="5"/>
  <c r="F146" i="5"/>
  <c r="F144" i="5"/>
  <c r="F132" i="5"/>
  <c r="F131" i="5"/>
  <c r="F130" i="5"/>
  <c r="F129" i="5"/>
  <c r="F128" i="5"/>
  <c r="F127" i="5"/>
  <c r="F126" i="5"/>
  <c r="F109" i="5"/>
  <c r="F108" i="5"/>
  <c r="F107" i="5"/>
  <c r="F106" i="5"/>
  <c r="F105" i="5"/>
  <c r="F101" i="5"/>
  <c r="F100" i="5"/>
  <c r="F98" i="5"/>
  <c r="F97" i="5"/>
  <c r="F96" i="5"/>
  <c r="F95" i="5"/>
  <c r="F92" i="5"/>
  <c r="F91" i="5"/>
  <c r="F89" i="5"/>
  <c r="F88" i="5"/>
  <c r="F87" i="5"/>
  <c r="F86" i="5"/>
  <c r="F85" i="5"/>
  <c r="F81" i="5"/>
  <c r="F80" i="5"/>
  <c r="F79" i="5"/>
  <c r="F78" i="5"/>
  <c r="F77" i="5"/>
  <c r="F72" i="5"/>
  <c r="F71" i="5"/>
  <c r="F70" i="5"/>
  <c r="F68" i="5"/>
  <c r="F67" i="5"/>
  <c r="F65" i="5"/>
  <c r="F64" i="5"/>
  <c r="F63" i="5"/>
  <c r="F61" i="5"/>
  <c r="F60" i="5"/>
  <c r="F59" i="5"/>
  <c r="F57" i="5"/>
  <c r="F56" i="5"/>
  <c r="F55" i="5"/>
  <c r="F53" i="5"/>
  <c r="F52" i="5"/>
  <c r="F51" i="5"/>
  <c r="F49" i="5"/>
  <c r="F48" i="5"/>
  <c r="F47" i="5"/>
  <c r="F42" i="5"/>
  <c r="F41" i="5"/>
  <c r="F40" i="5"/>
  <c r="F27" i="5"/>
  <c r="F26" i="5"/>
  <c r="F25" i="5"/>
  <c r="F24" i="5"/>
  <c r="F23" i="5"/>
  <c r="F22" i="5"/>
  <c r="F21" i="5"/>
  <c r="F20" i="5"/>
  <c r="F19" i="5"/>
  <c r="F18" i="5"/>
  <c r="F17" i="5"/>
  <c r="F16" i="5"/>
  <c r="F15" i="5"/>
  <c r="F14" i="5"/>
  <c r="F12" i="5"/>
  <c r="F11" i="5"/>
  <c r="F7" i="5"/>
  <c r="F6" i="5"/>
  <c r="F382" i="4"/>
  <c r="F381" i="4"/>
  <c r="F380" i="4"/>
  <c r="F379" i="4"/>
  <c r="F375" i="4"/>
  <c r="F374" i="4"/>
  <c r="F373" i="4"/>
  <c r="F372" i="4"/>
  <c r="F371" i="4"/>
  <c r="F370" i="4"/>
  <c r="F369" i="4"/>
  <c r="F368" i="4"/>
  <c r="F367" i="4"/>
  <c r="F366" i="4"/>
  <c r="F365" i="4"/>
  <c r="F364" i="4"/>
  <c r="F363" i="4"/>
  <c r="F361" i="4"/>
  <c r="F360" i="4"/>
  <c r="F359" i="4"/>
  <c r="F358" i="4"/>
  <c r="F357" i="4"/>
  <c r="F355" i="4"/>
  <c r="F354" i="4"/>
  <c r="F353" i="4"/>
  <c r="F352" i="4"/>
  <c r="F350" i="4"/>
  <c r="F329" i="4"/>
  <c r="F328" i="4"/>
  <c r="F324" i="4"/>
  <c r="F323" i="4"/>
  <c r="F322" i="4"/>
  <c r="F321" i="4"/>
  <c r="F320" i="4"/>
  <c r="F319" i="4"/>
  <c r="F318" i="4"/>
  <c r="F317" i="4"/>
  <c r="F316" i="4"/>
  <c r="F315" i="4"/>
  <c r="F314" i="4"/>
  <c r="F313" i="4"/>
  <c r="F312" i="4"/>
  <c r="F311" i="4"/>
  <c r="F310" i="4"/>
  <c r="F309" i="4"/>
  <c r="F308" i="4"/>
  <c r="F307" i="4"/>
  <c r="F306" i="4"/>
  <c r="F305" i="4"/>
  <c r="F304" i="4"/>
  <c r="F303" i="4"/>
  <c r="F302" i="4"/>
  <c r="F301" i="4"/>
  <c r="F300" i="4"/>
  <c r="F296" i="4"/>
  <c r="F295" i="4"/>
  <c r="F294" i="4"/>
  <c r="F293" i="4"/>
  <c r="F292" i="4"/>
  <c r="F291" i="4"/>
  <c r="F290" i="4"/>
  <c r="F289" i="4"/>
  <c r="F288" i="4"/>
  <c r="F287" i="4"/>
  <c r="F286" i="4"/>
  <c r="F285" i="4"/>
  <c r="F284" i="4"/>
  <c r="F283" i="4"/>
  <c r="F282" i="4"/>
  <c r="F281" i="4"/>
  <c r="F276" i="4"/>
  <c r="F275" i="4"/>
  <c r="F274" i="4"/>
  <c r="F273" i="4"/>
  <c r="F272" i="4"/>
  <c r="F271" i="4"/>
  <c r="F270" i="4"/>
  <c r="F266" i="4"/>
  <c r="F265" i="4"/>
  <c r="F264" i="4"/>
  <c r="F262" i="4"/>
  <c r="F261" i="4"/>
  <c r="F260" i="4"/>
  <c r="F259" i="4"/>
  <c r="F258" i="4"/>
  <c r="F257" i="4"/>
  <c r="F256" i="4"/>
  <c r="F255" i="4"/>
  <c r="F254" i="4"/>
  <c r="F252" i="4"/>
  <c r="F251" i="4"/>
  <c r="F250" i="4"/>
  <c r="F248" i="4"/>
  <c r="F244" i="4"/>
  <c r="F243" i="4"/>
  <c r="F242" i="4"/>
  <c r="F241" i="4"/>
  <c r="F240" i="4"/>
  <c r="F239" i="4"/>
  <c r="F238" i="4"/>
  <c r="F237" i="4"/>
  <c r="F236" i="4"/>
  <c r="F235" i="4"/>
  <c r="F230" i="4"/>
  <c r="F231" i="4" s="1"/>
  <c r="F335" i="4" s="1"/>
  <c r="F213" i="4"/>
  <c r="F212" i="4"/>
  <c r="F211" i="4"/>
  <c r="F207" i="4"/>
  <c r="F206" i="4"/>
  <c r="F205" i="4"/>
  <c r="F204" i="4"/>
  <c r="F203" i="4"/>
  <c r="F201" i="4"/>
  <c r="F199" i="4"/>
  <c r="F198" i="4"/>
  <c r="F193" i="4"/>
  <c r="F192" i="4"/>
  <c r="F191" i="4"/>
  <c r="F190" i="4"/>
  <c r="F189" i="4"/>
  <c r="F188" i="4"/>
  <c r="F187" i="4"/>
  <c r="F185" i="4"/>
  <c r="F184" i="4"/>
  <c r="F183" i="4"/>
  <c r="F181" i="4"/>
  <c r="F156" i="4"/>
  <c r="F155" i="4"/>
  <c r="F154" i="4"/>
  <c r="F153" i="4"/>
  <c r="F152" i="4"/>
  <c r="F151" i="4"/>
  <c r="F150" i="4"/>
  <c r="F148" i="4"/>
  <c r="F147" i="4"/>
  <c r="F146" i="4"/>
  <c r="F145" i="4"/>
  <c r="F143" i="4"/>
  <c r="F131" i="4"/>
  <c r="F130" i="4"/>
  <c r="F129" i="4"/>
  <c r="F128" i="4"/>
  <c r="F127" i="4"/>
  <c r="F126" i="4"/>
  <c r="F125" i="4"/>
  <c r="F108" i="4"/>
  <c r="F107" i="4"/>
  <c r="F106" i="4"/>
  <c r="F105" i="4"/>
  <c r="F104" i="4"/>
  <c r="F100" i="4"/>
  <c r="F99" i="4"/>
  <c r="F97" i="4"/>
  <c r="F96" i="4"/>
  <c r="F95" i="4"/>
  <c r="F94" i="4"/>
  <c r="F91" i="4"/>
  <c r="F90" i="4"/>
  <c r="F88" i="4"/>
  <c r="F87" i="4"/>
  <c r="F86" i="4"/>
  <c r="F85" i="4"/>
  <c r="F84" i="4"/>
  <c r="F80" i="4"/>
  <c r="F79" i="4"/>
  <c r="F78" i="4"/>
  <c r="F77" i="4"/>
  <c r="F76" i="4"/>
  <c r="F71" i="4"/>
  <c r="F70" i="4"/>
  <c r="F69" i="4"/>
  <c r="F67" i="4"/>
  <c r="F66" i="4"/>
  <c r="F64" i="4"/>
  <c r="F63" i="4"/>
  <c r="F62" i="4"/>
  <c r="F60" i="4"/>
  <c r="F59" i="4"/>
  <c r="F58" i="4"/>
  <c r="F56" i="4"/>
  <c r="F55" i="4"/>
  <c r="F54" i="4"/>
  <c r="F52" i="4"/>
  <c r="F51" i="4"/>
  <c r="F50" i="4"/>
  <c r="F48" i="4"/>
  <c r="F47" i="4"/>
  <c r="F46" i="4"/>
  <c r="F41" i="4"/>
  <c r="F40" i="4"/>
  <c r="F39" i="4"/>
  <c r="F26" i="4"/>
  <c r="F25" i="4"/>
  <c r="F24" i="4"/>
  <c r="F23" i="4"/>
  <c r="F22" i="4"/>
  <c r="F21" i="4"/>
  <c r="F20" i="4"/>
  <c r="F19" i="4"/>
  <c r="F18" i="4"/>
  <c r="F17" i="4"/>
  <c r="F16" i="4"/>
  <c r="F15" i="4"/>
  <c r="F14" i="4"/>
  <c r="F12" i="4"/>
  <c r="F11" i="4"/>
  <c r="F7" i="4"/>
  <c r="F6" i="4"/>
  <c r="F382" i="3"/>
  <c r="F381" i="3"/>
  <c r="F380" i="3"/>
  <c r="F379" i="3"/>
  <c r="F375" i="3"/>
  <c r="F374" i="3"/>
  <c r="F373" i="3"/>
  <c r="F372" i="3"/>
  <c r="F371" i="3"/>
  <c r="F370" i="3"/>
  <c r="F369" i="3"/>
  <c r="F368" i="3"/>
  <c r="F367" i="3"/>
  <c r="F366" i="3"/>
  <c r="F365" i="3"/>
  <c r="F364" i="3"/>
  <c r="F362" i="3"/>
  <c r="F361" i="3"/>
  <c r="F360" i="3"/>
  <c r="F359" i="3"/>
  <c r="F357" i="3"/>
  <c r="F356" i="3"/>
  <c r="F355" i="3"/>
  <c r="F354" i="3"/>
  <c r="F352" i="3"/>
  <c r="F329" i="3"/>
  <c r="F328" i="3"/>
  <c r="F324" i="3"/>
  <c r="F323" i="3"/>
  <c r="F322" i="3"/>
  <c r="F321" i="3"/>
  <c r="F320" i="3"/>
  <c r="F319" i="3"/>
  <c r="F318" i="3"/>
  <c r="F317" i="3"/>
  <c r="F316" i="3"/>
  <c r="F315" i="3"/>
  <c r="F314" i="3"/>
  <c r="F313" i="3"/>
  <c r="F312" i="3"/>
  <c r="F311" i="3"/>
  <c r="F310" i="3"/>
  <c r="F309" i="3"/>
  <c r="F308" i="3"/>
  <c r="F307" i="3"/>
  <c r="F306" i="3"/>
  <c r="F305" i="3"/>
  <c r="F304" i="3"/>
  <c r="F303" i="3"/>
  <c r="F302" i="3"/>
  <c r="F301" i="3"/>
  <c r="F300" i="3"/>
  <c r="F296" i="3"/>
  <c r="F295" i="3"/>
  <c r="F294" i="3"/>
  <c r="F293" i="3"/>
  <c r="F292" i="3"/>
  <c r="F291" i="3"/>
  <c r="F290" i="3"/>
  <c r="F289" i="3"/>
  <c r="F288" i="3"/>
  <c r="F287" i="3"/>
  <c r="F286" i="3"/>
  <c r="F285" i="3"/>
  <c r="F284" i="3"/>
  <c r="F283" i="3"/>
  <c r="F282" i="3"/>
  <c r="F281" i="3"/>
  <c r="F276" i="3"/>
  <c r="F275" i="3"/>
  <c r="F274" i="3"/>
  <c r="F273" i="3"/>
  <c r="F272" i="3"/>
  <c r="F271" i="3"/>
  <c r="F270" i="3"/>
  <c r="F266" i="3"/>
  <c r="F265" i="3"/>
  <c r="F264" i="3"/>
  <c r="F262" i="3"/>
  <c r="F261" i="3"/>
  <c r="F260" i="3"/>
  <c r="F259" i="3"/>
  <c r="F258" i="3"/>
  <c r="F257" i="3"/>
  <c r="F256" i="3"/>
  <c r="F255" i="3"/>
  <c r="F254" i="3"/>
  <c r="F252" i="3"/>
  <c r="F251" i="3"/>
  <c r="F250" i="3"/>
  <c r="F248" i="3"/>
  <c r="F244" i="3"/>
  <c r="F243" i="3"/>
  <c r="F242" i="3"/>
  <c r="F241" i="3"/>
  <c r="F240" i="3"/>
  <c r="F239" i="3"/>
  <c r="F238" i="3"/>
  <c r="F237" i="3"/>
  <c r="F236" i="3"/>
  <c r="F231" i="3"/>
  <c r="F232" i="3" s="1"/>
  <c r="F336" i="3" s="1"/>
  <c r="F214" i="3"/>
  <c r="F213" i="3"/>
  <c r="F212" i="3"/>
  <c r="F208" i="3"/>
  <c r="F207" i="3"/>
  <c r="F206" i="3"/>
  <c r="F205" i="3"/>
  <c r="F204" i="3"/>
  <c r="F202" i="3"/>
  <c r="F200" i="3"/>
  <c r="F199" i="3"/>
  <c r="F194" i="3"/>
  <c r="F193" i="3"/>
  <c r="F192" i="3"/>
  <c r="F191" i="3"/>
  <c r="F190" i="3"/>
  <c r="F189" i="3"/>
  <c r="F188" i="3"/>
  <c r="F186" i="3"/>
  <c r="F185" i="3"/>
  <c r="F184" i="3"/>
  <c r="F182" i="3"/>
  <c r="F156" i="3"/>
  <c r="F155" i="3"/>
  <c r="F154" i="3"/>
  <c r="F153" i="3"/>
  <c r="F152" i="3"/>
  <c r="F151" i="3"/>
  <c r="F150" i="3"/>
  <c r="F148" i="3"/>
  <c r="F147" i="3"/>
  <c r="F146" i="3"/>
  <c r="F145" i="3"/>
  <c r="F143" i="3"/>
  <c r="F131" i="3"/>
  <c r="F130" i="3"/>
  <c r="F129" i="3"/>
  <c r="F128" i="3"/>
  <c r="F127" i="3"/>
  <c r="F126" i="3"/>
  <c r="F125" i="3"/>
  <c r="F108" i="3"/>
  <c r="F107" i="3"/>
  <c r="F106" i="3"/>
  <c r="F105" i="3"/>
  <c r="F104" i="3"/>
  <c r="F100" i="3"/>
  <c r="F99" i="3"/>
  <c r="F97" i="3"/>
  <c r="F96" i="3"/>
  <c r="F95" i="3"/>
  <c r="F94" i="3"/>
  <c r="F91" i="3"/>
  <c r="F90" i="3"/>
  <c r="F88" i="3"/>
  <c r="F87" i="3"/>
  <c r="F86" i="3"/>
  <c r="F85" i="3"/>
  <c r="F84" i="3"/>
  <c r="F80" i="3"/>
  <c r="F79" i="3"/>
  <c r="F78" i="3"/>
  <c r="F77" i="3"/>
  <c r="F76" i="3"/>
  <c r="F71" i="3"/>
  <c r="F70" i="3"/>
  <c r="F69" i="3"/>
  <c r="F67" i="3"/>
  <c r="F66" i="3"/>
  <c r="F64" i="3"/>
  <c r="F63" i="3"/>
  <c r="F62" i="3"/>
  <c r="F60" i="3"/>
  <c r="F59" i="3"/>
  <c r="F58" i="3"/>
  <c r="F56" i="3"/>
  <c r="F55" i="3"/>
  <c r="F54" i="3"/>
  <c r="F52" i="3"/>
  <c r="F51" i="3"/>
  <c r="F50" i="3"/>
  <c r="F48" i="3"/>
  <c r="F47" i="3"/>
  <c r="F46" i="3"/>
  <c r="F41" i="3"/>
  <c r="F40" i="3"/>
  <c r="F39" i="3"/>
  <c r="F26" i="3"/>
  <c r="F25" i="3"/>
  <c r="F24" i="3"/>
  <c r="F23" i="3"/>
  <c r="F22" i="3"/>
  <c r="F21" i="3"/>
  <c r="F20" i="3"/>
  <c r="F19" i="3"/>
  <c r="F18" i="3"/>
  <c r="F17" i="3"/>
  <c r="F16" i="3"/>
  <c r="F15" i="3"/>
  <c r="F14" i="3"/>
  <c r="F12" i="3"/>
  <c r="F11" i="3"/>
  <c r="F7" i="3"/>
  <c r="F6" i="3"/>
  <c r="F457" i="2"/>
  <c r="F456" i="2"/>
  <c r="F455" i="2"/>
  <c r="F454" i="2"/>
  <c r="F450" i="2"/>
  <c r="F449" i="2"/>
  <c r="F448" i="2"/>
  <c r="F447" i="2"/>
  <c r="F446" i="2"/>
  <c r="F445" i="2"/>
  <c r="F444" i="2"/>
  <c r="F443" i="2"/>
  <c r="F442" i="2"/>
  <c r="F441" i="2"/>
  <c r="F440" i="2"/>
  <c r="F438" i="2"/>
  <c r="F437" i="2"/>
  <c r="F436" i="2"/>
  <c r="F434" i="2"/>
  <c r="F433" i="2"/>
  <c r="F432" i="2"/>
  <c r="F431" i="2"/>
  <c r="F430" i="2"/>
  <c r="F428" i="2"/>
  <c r="F402" i="2"/>
  <c r="F401" i="2"/>
  <c r="F397" i="2"/>
  <c r="F396" i="2"/>
  <c r="F395" i="2"/>
  <c r="F394" i="2"/>
  <c r="F393" i="2"/>
  <c r="F392" i="2"/>
  <c r="F391" i="2"/>
  <c r="F390" i="2"/>
  <c r="F389" i="2"/>
  <c r="F388" i="2"/>
  <c r="F387" i="2"/>
  <c r="F386" i="2"/>
  <c r="F385" i="2"/>
  <c r="F384" i="2"/>
  <c r="F383" i="2"/>
  <c r="F382" i="2"/>
  <c r="F381" i="2"/>
  <c r="F380" i="2"/>
  <c r="F379" i="2"/>
  <c r="F378" i="2"/>
  <c r="F377" i="2"/>
  <c r="F376" i="2"/>
  <c r="F375" i="2"/>
  <c r="F374" i="2"/>
  <c r="F373" i="2"/>
  <c r="F369" i="2"/>
  <c r="F368" i="2"/>
  <c r="F367" i="2"/>
  <c r="F366" i="2"/>
  <c r="F365" i="2"/>
  <c r="F364" i="2"/>
  <c r="F363" i="2"/>
  <c r="F362" i="2"/>
  <c r="F361" i="2"/>
  <c r="F360" i="2"/>
  <c r="F359" i="2"/>
  <c r="F358" i="2"/>
  <c r="F357" i="2"/>
  <c r="F356" i="2"/>
  <c r="F355" i="2"/>
  <c r="F354" i="2"/>
  <c r="F349" i="2"/>
  <c r="F348" i="2"/>
  <c r="F347" i="2"/>
  <c r="F346" i="2"/>
  <c r="F345" i="2"/>
  <c r="F344" i="2"/>
  <c r="F343" i="2"/>
  <c r="F342" i="2"/>
  <c r="F341" i="2"/>
  <c r="F340" i="2"/>
  <c r="F339" i="2"/>
  <c r="F338" i="2"/>
  <c r="F337" i="2"/>
  <c r="F336" i="2"/>
  <c r="F332" i="2"/>
  <c r="F331" i="2"/>
  <c r="F330" i="2"/>
  <c r="F329" i="2"/>
  <c r="F328" i="2"/>
  <c r="F327" i="2"/>
  <c r="F326" i="2"/>
  <c r="F322" i="2"/>
  <c r="F321" i="2"/>
  <c r="F320" i="2"/>
  <c r="F316" i="2"/>
  <c r="F315" i="2"/>
  <c r="F314" i="2"/>
  <c r="F313" i="2"/>
  <c r="F312" i="2"/>
  <c r="F308" i="2"/>
  <c r="F307" i="2"/>
  <c r="F306" i="2"/>
  <c r="F304" i="2"/>
  <c r="F303" i="2"/>
  <c r="F302" i="2"/>
  <c r="F301" i="2"/>
  <c r="F300" i="2"/>
  <c r="F299" i="2"/>
  <c r="F298" i="2"/>
  <c r="F297" i="2"/>
  <c r="F296" i="2"/>
  <c r="F294" i="2"/>
  <c r="F293" i="2"/>
  <c r="F292" i="2"/>
  <c r="F290" i="2"/>
  <c r="F286" i="2"/>
  <c r="F285" i="2"/>
  <c r="F284" i="2"/>
  <c r="F283" i="2"/>
  <c r="F282" i="2"/>
  <c r="F281" i="2"/>
  <c r="F280" i="2"/>
  <c r="F279" i="2"/>
  <c r="F278" i="2"/>
  <c r="F277" i="2"/>
  <c r="F276" i="2"/>
  <c r="F275" i="2"/>
  <c r="F274" i="2"/>
  <c r="F269" i="2"/>
  <c r="F268" i="2"/>
  <c r="F270" i="2" s="1"/>
  <c r="F409" i="2" s="1"/>
  <c r="F252" i="2"/>
  <c r="F251" i="2"/>
  <c r="F250" i="2"/>
  <c r="F246" i="2"/>
  <c r="F245" i="2"/>
  <c r="F244" i="2"/>
  <c r="F243" i="2"/>
  <c r="F242" i="2"/>
  <c r="F240" i="2"/>
  <c r="F238" i="2"/>
  <c r="F237" i="2"/>
  <c r="F232" i="2"/>
  <c r="F231" i="2"/>
  <c r="F230" i="2"/>
  <c r="F229" i="2"/>
  <c r="F228" i="2"/>
  <c r="F227" i="2"/>
  <c r="F226" i="2"/>
  <c r="F224" i="2"/>
  <c r="F223" i="2"/>
  <c r="F222" i="2"/>
  <c r="F220" i="2"/>
  <c r="F218" i="2"/>
  <c r="F217" i="2"/>
  <c r="F216" i="2"/>
  <c r="F215" i="2"/>
  <c r="F214" i="2"/>
  <c r="F213" i="2"/>
  <c r="F212" i="2"/>
  <c r="F211" i="2"/>
  <c r="F210" i="2"/>
  <c r="F208" i="2"/>
  <c r="F207" i="2"/>
  <c r="F206" i="2"/>
  <c r="F204" i="2"/>
  <c r="F203" i="2"/>
  <c r="F202" i="2"/>
  <c r="F201" i="2"/>
  <c r="F200" i="2"/>
  <c r="F199" i="2"/>
  <c r="F198" i="2"/>
  <c r="F197" i="2"/>
  <c r="F196" i="2"/>
  <c r="F195" i="2"/>
  <c r="F194" i="2"/>
  <c r="F193" i="2"/>
  <c r="F192" i="2"/>
  <c r="F191" i="2"/>
  <c r="F190" i="2"/>
  <c r="F189" i="2"/>
  <c r="F163" i="2"/>
  <c r="F162" i="2"/>
  <c r="F161" i="2"/>
  <c r="F160" i="2"/>
  <c r="F159" i="2"/>
  <c r="F158" i="2"/>
  <c r="F157" i="2"/>
  <c r="F155" i="2"/>
  <c r="F154" i="2"/>
  <c r="F153" i="2"/>
  <c r="F152" i="2"/>
  <c r="F150" i="2"/>
  <c r="F138" i="2"/>
  <c r="F137" i="2"/>
  <c r="F136" i="2"/>
  <c r="F135" i="2"/>
  <c r="F134" i="2"/>
  <c r="F133" i="2"/>
  <c r="F132" i="2"/>
  <c r="F128" i="2"/>
  <c r="F127" i="2"/>
  <c r="F126" i="2"/>
  <c r="F120" i="2"/>
  <c r="F118" i="2"/>
  <c r="F117" i="2"/>
  <c r="F116" i="2"/>
  <c r="F111" i="2"/>
  <c r="F110" i="2"/>
  <c r="F109" i="2"/>
  <c r="F108" i="2"/>
  <c r="F107" i="2"/>
  <c r="F106" i="2"/>
  <c r="F102" i="2"/>
  <c r="F101" i="2"/>
  <c r="F99" i="2"/>
  <c r="F98" i="2"/>
  <c r="F97" i="2"/>
  <c r="F96" i="2"/>
  <c r="F93" i="2"/>
  <c r="F92" i="2"/>
  <c r="F90" i="2"/>
  <c r="F89" i="2"/>
  <c r="F88" i="2"/>
  <c r="F87" i="2"/>
  <c r="F86" i="2"/>
  <c r="F82" i="2"/>
  <c r="F81" i="2"/>
  <c r="F80" i="2"/>
  <c r="F79" i="2"/>
  <c r="F78" i="2"/>
  <c r="F73" i="2"/>
  <c r="F72" i="2"/>
  <c r="F71" i="2"/>
  <c r="F70" i="2"/>
  <c r="F68" i="2"/>
  <c r="F67" i="2"/>
  <c r="F65" i="2"/>
  <c r="F64" i="2"/>
  <c r="F63" i="2"/>
  <c r="F61" i="2"/>
  <c r="F60" i="2"/>
  <c r="F59" i="2"/>
  <c r="F57" i="2"/>
  <c r="F56" i="2"/>
  <c r="F55" i="2"/>
  <c r="F53" i="2"/>
  <c r="F52" i="2"/>
  <c r="F51" i="2"/>
  <c r="F49" i="2"/>
  <c r="F48" i="2"/>
  <c r="F47" i="2"/>
  <c r="F42" i="2"/>
  <c r="F41" i="2"/>
  <c r="F40" i="2"/>
  <c r="F27" i="2"/>
  <c r="F26" i="2"/>
  <c r="F25" i="2"/>
  <c r="F24" i="2"/>
  <c r="F23" i="2"/>
  <c r="F22" i="2"/>
  <c r="F21" i="2"/>
  <c r="F20" i="2"/>
  <c r="F19" i="2"/>
  <c r="F18" i="2"/>
  <c r="F17" i="2"/>
  <c r="F16" i="2"/>
  <c r="F15" i="2"/>
  <c r="F14" i="2"/>
  <c r="F12" i="2"/>
  <c r="F11" i="2"/>
  <c r="F7" i="2"/>
  <c r="F6" i="2"/>
  <c r="F8" i="5" l="1"/>
  <c r="F164" i="5" s="1"/>
  <c r="F29" i="6"/>
  <c r="F95" i="6" s="1"/>
  <c r="F270" i="5"/>
  <c r="F339" i="5" s="1"/>
  <c r="F42" i="4"/>
  <c r="F164" i="4" s="1"/>
  <c r="F248" i="5"/>
  <c r="F338" i="5" s="1"/>
  <c r="F280" i="5"/>
  <c r="F340" i="5" s="1"/>
  <c r="F379" i="5"/>
  <c r="F393" i="5" s="1"/>
  <c r="F89" i="6"/>
  <c r="F97" i="6" s="1"/>
  <c r="F71" i="6"/>
  <c r="F96" i="6" s="1"/>
  <c r="F43" i="5"/>
  <c r="F166" i="5" s="1"/>
  <c r="F141" i="5"/>
  <c r="F173" i="5" s="1"/>
  <c r="F8" i="4"/>
  <c r="F162" i="4" s="1"/>
  <c r="F42" i="3"/>
  <c r="F165" i="3" s="1"/>
  <c r="F43" i="2"/>
  <c r="F172" i="2" s="1"/>
  <c r="F73" i="5"/>
  <c r="F167" i="5" s="1"/>
  <c r="F82" i="5"/>
  <c r="F168" i="5" s="1"/>
  <c r="F110" i="5"/>
  <c r="F170" i="5" s="1"/>
  <c r="F133" i="5"/>
  <c r="F172" i="5" s="1"/>
  <c r="F158" i="5"/>
  <c r="F174" i="5" s="1"/>
  <c r="F216" i="5"/>
  <c r="F223" i="5" s="1"/>
  <c r="F326" i="5"/>
  <c r="F342" i="5" s="1"/>
  <c r="F196" i="5"/>
  <c r="F221" i="5" s="1"/>
  <c r="F210" i="5"/>
  <c r="F222" i="5" s="1"/>
  <c r="F298" i="5"/>
  <c r="F341" i="5" s="1"/>
  <c r="F28" i="5"/>
  <c r="F165" i="5" s="1"/>
  <c r="F102" i="5"/>
  <c r="F169" i="5" s="1"/>
  <c r="F386" i="5"/>
  <c r="F394" i="5" s="1"/>
  <c r="F109" i="4"/>
  <c r="F168" i="4" s="1"/>
  <c r="F297" i="3"/>
  <c r="F340" i="3" s="1"/>
  <c r="F330" i="3"/>
  <c r="F342" i="3" s="1"/>
  <c r="F215" i="3"/>
  <c r="F222" i="3" s="1"/>
  <c r="F376" i="3"/>
  <c r="F389" i="3" s="1"/>
  <c r="F451" i="2"/>
  <c r="F465" i="2" s="1"/>
  <c r="F458" i="2"/>
  <c r="F466" i="2" s="1"/>
  <c r="F403" i="2"/>
  <c r="F418" i="2" s="1"/>
  <c r="F164" i="2"/>
  <c r="F180" i="2" s="1"/>
  <c r="F370" i="2"/>
  <c r="F416" i="2" s="1"/>
  <c r="F398" i="2"/>
  <c r="F417" i="2" s="1"/>
  <c r="F112" i="2"/>
  <c r="F176" i="2" s="1"/>
  <c r="F147" i="2"/>
  <c r="F179" i="2" s="1"/>
  <c r="F350" i="2"/>
  <c r="F415" i="2" s="1"/>
  <c r="F129" i="2"/>
  <c r="F177" i="2" s="1"/>
  <c r="F171" i="5"/>
  <c r="F376" i="4"/>
  <c r="F390" i="4" s="1"/>
  <c r="F122" i="4"/>
  <c r="F169" i="4" s="1"/>
  <c r="F140" i="4"/>
  <c r="F171" i="4" s="1"/>
  <c r="F194" i="4"/>
  <c r="F219" i="4" s="1"/>
  <c r="F267" i="4"/>
  <c r="F337" i="4" s="1"/>
  <c r="F277" i="4"/>
  <c r="F338" i="4" s="1"/>
  <c r="F325" i="4"/>
  <c r="F340" i="4" s="1"/>
  <c r="F330" i="4"/>
  <c r="F341" i="4" s="1"/>
  <c r="F72" i="4"/>
  <c r="F165" i="4" s="1"/>
  <c r="F132" i="4"/>
  <c r="F170" i="4" s="1"/>
  <c r="F81" i="4"/>
  <c r="F166" i="4" s="1"/>
  <c r="F208" i="4"/>
  <c r="F220" i="4" s="1"/>
  <c r="F214" i="4"/>
  <c r="F221" i="4" s="1"/>
  <c r="F245" i="4"/>
  <c r="F336" i="4" s="1"/>
  <c r="F383" i="4"/>
  <c r="F391" i="4" s="1"/>
  <c r="F27" i="4"/>
  <c r="F163" i="4" s="1"/>
  <c r="F101" i="4"/>
  <c r="F167" i="4" s="1"/>
  <c r="F157" i="4"/>
  <c r="F172" i="4" s="1"/>
  <c r="F297" i="4"/>
  <c r="F339" i="4" s="1"/>
  <c r="F27" i="3"/>
  <c r="F164" i="3" s="1"/>
  <c r="F140" i="3"/>
  <c r="F172" i="3" s="1"/>
  <c r="F245" i="3"/>
  <c r="F337" i="3" s="1"/>
  <c r="F267" i="3"/>
  <c r="F338" i="3" s="1"/>
  <c r="F277" i="3"/>
  <c r="F339" i="3" s="1"/>
  <c r="F325" i="3"/>
  <c r="F341" i="3" s="1"/>
  <c r="F72" i="3"/>
  <c r="F166" i="3" s="1"/>
  <c r="F81" i="3"/>
  <c r="F167" i="3" s="1"/>
  <c r="F109" i="3"/>
  <c r="F169" i="3" s="1"/>
  <c r="F132" i="3"/>
  <c r="F171" i="3" s="1"/>
  <c r="F209" i="3"/>
  <c r="F221" i="3" s="1"/>
  <c r="F383" i="3"/>
  <c r="F390" i="3" s="1"/>
  <c r="F8" i="3"/>
  <c r="F163" i="3" s="1"/>
  <c r="F101" i="3"/>
  <c r="F168" i="3" s="1"/>
  <c r="F170" i="3"/>
  <c r="F157" i="3"/>
  <c r="F173" i="3" s="1"/>
  <c r="F195" i="3"/>
  <c r="F220" i="3" s="1"/>
  <c r="F83" i="2"/>
  <c r="F174" i="2" s="1"/>
  <c r="F139" i="2"/>
  <c r="F178" i="2" s="1"/>
  <c r="F309" i="2"/>
  <c r="F411" i="2" s="1"/>
  <c r="F317" i="2"/>
  <c r="F412" i="2" s="1"/>
  <c r="F333" i="2"/>
  <c r="F414" i="2" s="1"/>
  <c r="F28" i="2"/>
  <c r="F171" i="2" s="1"/>
  <c r="F103" i="2"/>
  <c r="F175" i="2" s="1"/>
  <c r="F233" i="2"/>
  <c r="F257" i="2" s="1"/>
  <c r="F247" i="2"/>
  <c r="F258" i="2" s="1"/>
  <c r="F253" i="2"/>
  <c r="F259" i="2" s="1"/>
  <c r="F323" i="2"/>
  <c r="F413" i="2" s="1"/>
  <c r="F8" i="2"/>
  <c r="F170" i="2" s="1"/>
  <c r="F74" i="2"/>
  <c r="F173" i="2" s="1"/>
  <c r="F287" i="2"/>
  <c r="F410" i="2" s="1"/>
  <c r="F345" i="5" l="1"/>
  <c r="F405" i="5" s="1"/>
  <c r="F99" i="6"/>
  <c r="F8" i="8" s="1"/>
  <c r="F468" i="2"/>
  <c r="F478" i="2" s="1"/>
  <c r="F396" i="5"/>
  <c r="F406" i="5" s="1"/>
  <c r="F224" i="3"/>
  <c r="F400" i="3" s="1"/>
  <c r="F225" i="5"/>
  <c r="F404" i="5" s="1"/>
  <c r="F176" i="5"/>
  <c r="F403" i="5" s="1"/>
  <c r="F393" i="4"/>
  <c r="F403" i="4" s="1"/>
  <c r="F174" i="4"/>
  <c r="F400" i="4" s="1"/>
  <c r="F392" i="3"/>
  <c r="F402" i="3" s="1"/>
  <c r="F175" i="3"/>
  <c r="F399" i="3" s="1"/>
  <c r="F344" i="3"/>
  <c r="F401" i="3" s="1"/>
  <c r="F420" i="2"/>
  <c r="F477" i="2" s="1"/>
  <c r="F182" i="2"/>
  <c r="F475" i="2" s="1"/>
  <c r="F343" i="4"/>
  <c r="F402" i="4" s="1"/>
  <c r="F223" i="4"/>
  <c r="F401" i="4" s="1"/>
  <c r="F261" i="2"/>
  <c r="F476" i="2" s="1"/>
  <c r="F11" i="9" l="1"/>
  <c r="F408" i="5"/>
  <c r="F7" i="8" s="1"/>
  <c r="F10" i="8" s="1"/>
  <c r="F11" i="8" s="1"/>
  <c r="F12" i="8" s="1"/>
  <c r="F480" i="2"/>
  <c r="F405" i="4"/>
  <c r="F9" i="9" s="1"/>
  <c r="F404" i="3"/>
  <c r="F8" i="7" s="1"/>
  <c r="F10" i="9" l="1"/>
  <c r="F8" i="9"/>
  <c r="F9" i="7"/>
  <c r="F7" i="9"/>
  <c r="F7" i="7"/>
  <c r="F13" i="9" l="1"/>
  <c r="F14" i="9" s="1"/>
  <c r="F15" i="9" s="1"/>
  <c r="F11" i="7"/>
  <c r="F12" i="7" s="1"/>
  <c r="F13" i="7" s="1"/>
</calcChain>
</file>

<file path=xl/sharedStrings.xml><?xml version="1.0" encoding="utf-8"?>
<sst xmlns="http://schemas.openxmlformats.org/spreadsheetml/2006/main" count="4125" uniqueCount="750">
  <si>
    <t>TROŠKOVNIK GRAĐEVINSKO-OBRTNIČKIH I INSTALATERSKIH RADOVA</t>
  </si>
  <si>
    <t>stavka</t>
  </si>
  <si>
    <t>opis stavke</t>
  </si>
  <si>
    <t>količina</t>
  </si>
  <si>
    <t>jedinična 
cijena (kn)</t>
  </si>
  <si>
    <t>ukupno (kn)</t>
  </si>
  <si>
    <t>1.</t>
  </si>
  <si>
    <t>m2</t>
  </si>
  <si>
    <t>kom</t>
  </si>
  <si>
    <t>m3</t>
  </si>
  <si>
    <t>m'</t>
  </si>
  <si>
    <t>2.</t>
  </si>
  <si>
    <t>3.</t>
  </si>
  <si>
    <t>4.</t>
  </si>
  <si>
    <t>5.</t>
  </si>
  <si>
    <t>6.</t>
  </si>
  <si>
    <t>7.</t>
  </si>
  <si>
    <t>8.</t>
  </si>
  <si>
    <t>9.</t>
  </si>
  <si>
    <t>10.</t>
  </si>
  <si>
    <t>A.</t>
  </si>
  <si>
    <t>1.1.</t>
  </si>
  <si>
    <t>1.2.</t>
  </si>
  <si>
    <t>1.3.</t>
  </si>
  <si>
    <t>1.4.</t>
  </si>
  <si>
    <t>1.5.</t>
  </si>
  <si>
    <t>2.1.</t>
  </si>
  <si>
    <t>2.2.</t>
  </si>
  <si>
    <t>2.3.</t>
  </si>
  <si>
    <t>2.4.</t>
  </si>
  <si>
    <t>3.1.</t>
  </si>
  <si>
    <t>3.2.</t>
  </si>
  <si>
    <t>3.3.</t>
  </si>
  <si>
    <t>3.4.</t>
  </si>
  <si>
    <t>4.1.</t>
  </si>
  <si>
    <t>5.1.</t>
  </si>
  <si>
    <t>5.2.</t>
  </si>
  <si>
    <t>5.3.</t>
  </si>
  <si>
    <t>5.4.</t>
  </si>
  <si>
    <t>6.1.</t>
  </si>
  <si>
    <t>6.2.</t>
  </si>
  <si>
    <t>7.1.</t>
  </si>
  <si>
    <t>8.1.</t>
  </si>
  <si>
    <t>4.2.</t>
  </si>
  <si>
    <t>4.3.</t>
  </si>
  <si>
    <t>B.</t>
  </si>
  <si>
    <t>kpl</t>
  </si>
  <si>
    <t>9.1.</t>
  </si>
  <si>
    <t>9.2.</t>
  </si>
  <si>
    <t>9.3.</t>
  </si>
  <si>
    <t>9.4.</t>
  </si>
  <si>
    <t>10.1.</t>
  </si>
  <si>
    <t>2.5.</t>
  </si>
  <si>
    <t>3.5.</t>
  </si>
  <si>
    <t>3.6.</t>
  </si>
  <si>
    <t>3.7.</t>
  </si>
  <si>
    <t>3.8.</t>
  </si>
  <si>
    <t>8.2.</t>
  </si>
  <si>
    <t>8.3.</t>
  </si>
  <si>
    <t xml:space="preserve">INVESTITOR:      MINISTARSTVO UNUTARNJIH POSLOVA RH </t>
  </si>
  <si>
    <t>STOLARSKI RADOVI</t>
  </si>
  <si>
    <t>a)</t>
  </si>
  <si>
    <t>b)</t>
  </si>
  <si>
    <t>c)</t>
  </si>
  <si>
    <t>d)</t>
  </si>
  <si>
    <t>ZEMLJANI RADOVI</t>
  </si>
  <si>
    <t>11.</t>
  </si>
  <si>
    <t>11.1.</t>
  </si>
  <si>
    <t>11.2.</t>
  </si>
  <si>
    <t>4.4.</t>
  </si>
  <si>
    <t>6.3.</t>
  </si>
  <si>
    <t>6.4.</t>
  </si>
  <si>
    <t>6.5.</t>
  </si>
  <si>
    <t>6.6.</t>
  </si>
  <si>
    <t>6.8.</t>
  </si>
  <si>
    <t>11.3.</t>
  </si>
  <si>
    <t>2.6.</t>
  </si>
  <si>
    <t>11.4.</t>
  </si>
  <si>
    <t>4.5.</t>
  </si>
  <si>
    <t>4.6.</t>
  </si>
  <si>
    <t>C.</t>
  </si>
  <si>
    <t>D.</t>
  </si>
  <si>
    <t>PRIPREMNI RADOVI</t>
  </si>
  <si>
    <t>2.7.</t>
  </si>
  <si>
    <t>2.8.</t>
  </si>
  <si>
    <t>4.7.</t>
  </si>
  <si>
    <t>2.9.</t>
  </si>
  <si>
    <t>2.10.</t>
  </si>
  <si>
    <t>2.11.</t>
  </si>
  <si>
    <t>2.12.</t>
  </si>
  <si>
    <t>2.13.</t>
  </si>
  <si>
    <t>GRAĐEVINSKI RADOVI</t>
  </si>
  <si>
    <t>PDV (25%):</t>
  </si>
  <si>
    <t>OPĆI UVJETI I NAPOMENE</t>
  </si>
  <si>
    <t>OPĆI UVJETI</t>
  </si>
  <si>
    <t>jedinična 
cijena (euro)</t>
  </si>
  <si>
    <t>ukupno (euro)</t>
  </si>
  <si>
    <t>GRAĐEVINSKO-OBRNIČKI RADOVI</t>
  </si>
  <si>
    <t>GRAĐEVINSKO-OBRTNIČKI RADOVI  - R E K A P I T U L A C I J A:</t>
  </si>
  <si>
    <t>A. GRAĐEVINSKO-OBRTNIČKI RADOVI  UKUPNO:</t>
  </si>
  <si>
    <t>jedin. mjere</t>
  </si>
  <si>
    <t>Čišćenje terena od raslinja oko građevine, siječenje i skupljanje. U stavku uključeno uklanjanje smeća, prepreka, drveća,  i sl., košenja trave i korova, te utovar i odvoz otpadnog materijala na gradsku deponiju, uključeno u cijeni stavke.</t>
  </si>
  <si>
    <t>oplata</t>
  </si>
  <si>
    <t>e)</t>
  </si>
  <si>
    <t>kg</t>
  </si>
  <si>
    <t>5.5.</t>
  </si>
  <si>
    <t>5.6.</t>
  </si>
  <si>
    <t>5.7.</t>
  </si>
  <si>
    <t>5.8.</t>
  </si>
  <si>
    <t>5.9.</t>
  </si>
  <si>
    <t>5.10.</t>
  </si>
  <si>
    <t>5.11.</t>
  </si>
  <si>
    <t>5.12.</t>
  </si>
  <si>
    <t>5.13.</t>
  </si>
  <si>
    <t>beton</t>
  </si>
  <si>
    <t>f)</t>
  </si>
  <si>
    <t>g)</t>
  </si>
  <si>
    <t>h)</t>
  </si>
  <si>
    <t>i)</t>
  </si>
  <si>
    <t>j)</t>
  </si>
  <si>
    <t>8.4.</t>
  </si>
  <si>
    <t>8.5.</t>
  </si>
  <si>
    <t>8.6.</t>
  </si>
  <si>
    <t>8.7.</t>
  </si>
  <si>
    <t>8.8.</t>
  </si>
  <si>
    <t>8.9.</t>
  </si>
  <si>
    <t>8.10.</t>
  </si>
  <si>
    <t>9.5.</t>
  </si>
  <si>
    <t>9.6.</t>
  </si>
  <si>
    <t>9.7.</t>
  </si>
  <si>
    <t>9.8.</t>
  </si>
  <si>
    <t>9.9.</t>
  </si>
  <si>
    <t>9.10.</t>
  </si>
  <si>
    <t>9.11.</t>
  </si>
  <si>
    <t>9.12.</t>
  </si>
  <si>
    <t>9.13.</t>
  </si>
  <si>
    <t>9.14.</t>
  </si>
  <si>
    <t>9.15.</t>
  </si>
  <si>
    <t>9.16.</t>
  </si>
  <si>
    <t>9.17.</t>
  </si>
  <si>
    <t>10.2.</t>
  </si>
  <si>
    <t>11.5.</t>
  </si>
  <si>
    <t>11.6.</t>
  </si>
  <si>
    <t>FASADERSKI RADOVI</t>
  </si>
  <si>
    <t>VODOVOD</t>
  </si>
  <si>
    <t>1.6.</t>
  </si>
  <si>
    <t>1.7.</t>
  </si>
  <si>
    <t>1.8.</t>
  </si>
  <si>
    <t>1.9.</t>
  </si>
  <si>
    <t>1.10.</t>
  </si>
  <si>
    <t>1.11.</t>
  </si>
  <si>
    <t>1.12.</t>
  </si>
  <si>
    <t>1.13.</t>
  </si>
  <si>
    <t>1.14.</t>
  </si>
  <si>
    <t>1.15.</t>
  </si>
  <si>
    <t>1.16.</t>
  </si>
  <si>
    <t>1. Vodovod ukupno:</t>
  </si>
  <si>
    <t>2.14.</t>
  </si>
  <si>
    <t>RAZDJELNICI</t>
  </si>
  <si>
    <t>1. Razdjelnici ukupno:</t>
  </si>
  <si>
    <t>k)</t>
  </si>
  <si>
    <t>l)</t>
  </si>
  <si>
    <t>m)</t>
  </si>
  <si>
    <t>NHXMH-J 5×1,5 mm2</t>
  </si>
  <si>
    <t>1.17.</t>
  </si>
  <si>
    <t>6.7.</t>
  </si>
  <si>
    <t>6.9.</t>
  </si>
  <si>
    <t>6.10.</t>
  </si>
  <si>
    <t>INSTALACIJA GRIJANJA I HLAĐENJA</t>
  </si>
  <si>
    <t>1.18.</t>
  </si>
  <si>
    <t>1.19.</t>
  </si>
  <si>
    <t>1.20.</t>
  </si>
  <si>
    <t>1.21.</t>
  </si>
  <si>
    <t>1.22.</t>
  </si>
  <si>
    <t>1.23.</t>
  </si>
  <si>
    <t>1.24.</t>
  </si>
  <si>
    <t>1.25.</t>
  </si>
  <si>
    <t>1.26.</t>
  </si>
  <si>
    <t>1.27.</t>
  </si>
  <si>
    <t>1.28.</t>
  </si>
  <si>
    <t>1.29.</t>
  </si>
  <si>
    <t>1.30.</t>
  </si>
  <si>
    <t>1.31.</t>
  </si>
  <si>
    <t>1.32.</t>
  </si>
  <si>
    <t>1.33.</t>
  </si>
  <si>
    <t>1.34.</t>
  </si>
  <si>
    <t>1. Instalacija grijanja i hlađenja ukupno:</t>
  </si>
  <si>
    <t>GRAĐEVINSKO-OBRTNIČKI RADOVI</t>
  </si>
  <si>
    <t>Dana:</t>
  </si>
  <si>
    <t>8.11.</t>
  </si>
  <si>
    <t>LOKACIJA:         JASTREBARSKO, ULICA IVANE BRLIĆ MAŽURANIĆ BB</t>
  </si>
  <si>
    <t xml:space="preserve">GRAĐEVINA:      SKLADIŠTA BR. 1, 2, 5, 6 I OTVORENI PLATOI BR. 4 I 5 </t>
  </si>
  <si>
    <t>RADOVI:              UREĐENJE  SKLADIŠTA I OTVORNIH PLATOA</t>
  </si>
  <si>
    <t>PROJEKTANT:   CAPITAL ING d.o.o. ZAGREB</t>
  </si>
  <si>
    <t>Geodetske usluge
Ovim radovima potrebno je obuhvatiti angažman ovlaštenog geodete za sva potrebna iskolčenja, označavanje visina, održavanje mjernih točaka tokom gradilišta i sve popratne geodetske usluge potrebne za izvođenje radova.</t>
  </si>
  <si>
    <t>1. Pripremni radovi ukupno:</t>
  </si>
  <si>
    <t>RUŠENJA I DEMONTAŽE</t>
  </si>
  <si>
    <t>Demontaža i iznošenje postojećeg namještaja i opreme.
Dio opreme je potrebno deponirati na gradilištu na mjesto koje predvidi nadzorni inženjer zbog vraćanja u objekt nakon izvedbe svih radova. U jediničnu cijenu uključen sav potreban rad, svi transporti, sortiranje i zbrinjavanje građevinskog otpada prema važećem Pravilniku. Napomena: prije početka radova korisnik je dužan ukloniti sav skladišteni materijal i opremu u skladištu. Ova stavka se odnosi samo na eventualno zaostalu opremu/materijal koju prema zahtjevu investitora izvođač mora ukloniti te privremeno zbrinuti na drugoj lokaciji i/ili trajno zbrinuti na pripadnu deponiju. 
Obračun po m3 opreme koja se odvozi.</t>
  </si>
  <si>
    <t>Pažljiva ručna demontaža i uklanjanje rasvjetnih tijela - nadgradna, ovješena, zidna i stropna.
U jediničnu cijenu uključen sav potreban rad, laka pokretna skela, svi transporti, sortiranje i zbrinjavanje građevinskog otpada prema važećem Pravilniku.
Obračun po komadu.</t>
  </si>
  <si>
    <t>Pažljiva ručna demontaža i uklanjanje te zbrinjavanje postojećih instalacija jake i slabe struje unutar zone obuhvata (skladišta).</t>
  </si>
  <si>
    <t>demontaža instalacije (kabela, cijevi, razvodnih kutija)</t>
  </si>
  <si>
    <t>demontaža utičnica i prekidača</t>
  </si>
  <si>
    <t>demontaža razvodnih ormara</t>
  </si>
  <si>
    <t>Demontaža i zbrinjavanje vanjskih metalnih prozora sa djelomičnim staklom.
Prozor dimenzija 180×157 cm. U stavci uključena demontaža, odvoz, zbrinjavanje. Pri nuđenju cijeni uključena i cijena zbrinjavanja. U jediničnu cijenu uključen sav potreban rad, laka pokretna skela, svi transporti, sortiranje i zbrinjavanje građevinskog otpada prema važećem Pravilniku.
Obračun po komadu demontirane stavke.</t>
  </si>
  <si>
    <t>Demontaža i zbrinjavanje vanjskih metalnih dvokrilnih vrata.
'Pažljiva demontaža, utovar i odvoz na na mjesto koje odredi investitor postojećih otvora - vanjskih garažnih vrata na istočnom i zapadnom pročelju.  Vrata su dimenzija 300×300 cm. Vrata su metalna, dvokrilna, ugrađena između AB stupova.  U jediničnu cijenu uračunati skelu, sav rad, materijal i pribor potreban za izvršenje stavke u cijelosti. Obračun prema komadu.
Obračun po komadu demontirane stavke.</t>
  </si>
  <si>
    <t>Demontaža i zbrinjavanje unutarnjih vrata i prozora.
U stavci uključena demontaža, odvoz, zbrinjavanje. Pri nuđenju cijeni uključena i cijena zbrinjavanja. 
U jediničnu cijenu uključen sav potreban rad, laka pokretna skela, svi transporti, sortiranje i zbrinjavanje građevinskog otpada prema važećem Pravilniku.
Obračun po komadu demontirane stavke.</t>
  </si>
  <si>
    <t>Demontaža i skidanje postojećih gromobranskih traka na krovu i pročeljima objekta, uključivo s pripadajućim elementima i držačima.
Radove izvesti pažljivo, kako ne bi došlo do oštećenja ostalih elemenata ovojnice građevine. U jediničnu cijenu uključen sav potreban rad, laka pokretna skela, svi transporti, sortiranje i zbrinjavanje građevinskog otpada prema važećem Pravilniku.
Obračun po m' demontirane stavke.</t>
  </si>
  <si>
    <t xml:space="preserve">Demontaža i uklanjanje svih postojećih limenih opšava na krovu i prozorima  (limarski elementi oborinske odvodnje - žljebovi, oborinske vertikale itd., rubni opšavi krova, prozorski opšavi i sl.), uključivo s svim pripadajućim pričvrsnim elementima.
Radove izvesti pažljivo, kako ne bi došlo do oštećenja ostalih elemenata ovojnice građevine. U jediničnu cijenu uključen sav potreban rad, laka pokretna skela, svi transporti, sortiranje i zbrinjavanje građevinskog otpada prema važećem Pravilniku.
Obračun po m' demontiranih elemenata bez obzira na razvijenu širinu. </t>
  </si>
  <si>
    <t>Demontaža i zbrinjavanje valovitih salonitnih ploča krova.
U jediničnu cijenu uključen sav potreban rad, laka pokretna skela, svi transporti, sortiranje i zbrinjavanje građevinskog otpada prema važećem Pravilniku. Pri nuđenju stavke je u cijenu potrebno ukalkulirati zbrinjavanje opasnog otpada koji sadrži azbest. 
Obračun po m2 demontiranih, odvezenih i zbrinutih  ploča.</t>
  </si>
  <si>
    <t>Demontaža i uklanjanje postojećih metalnih elemenata (armature, šipke, žica).
U jediničnu cijenu uključen sav potreban rad, sva podupiranja, lako pokretna skela, svi transporti, sortiranje i zbrinjavanje građevinskog otpada prema važećem Pravilniku.
Obračun po kg.</t>
  </si>
  <si>
    <t>Rušenje i uklanjanje postojećih unutarnjih zidanih zidova.
U stavku obračunato rušenje te odvoz na gradski deponij. Uz sva potrebna podupiranja te zaštitu ljudi i ostale konstrukcije, na pozicijama uklanjanja postojećih zidova određenim projektnom dokumentacijom. Uključivo sa svim potrebnim podupiranjima obodnih konstrukcija. Zidovi su visine cca 290 cm, debljine 10-15 cm. Radove izvesti pažljivo, kako ne bi došlo do oštećenja ostalih elemenata građevine. Zidovi su zidani porobetonskim blokovima. U jediničnu cijenu uključen sav potreban rad, laka pokretna skela, svi transporti, sortiranje i zbrinjavanje građevinskog otpada prema važećem Pravilniku.
Obračun po m3 zida.</t>
  </si>
  <si>
    <t>Pažljivo ručno razgrađivanje i uklanjanje postojećih zidanih zabatnih zidova. Uključivo sa svim slojevima pročelja.
U stavku obračunato rušenje te odvoz na gradski deponij. Uz sva potrebna podupiranja te zaštitu ljudi i ostale konstrukcije, na pozicijama uklanjanja postojećih zidova određenim projektnom dokumentacijom. Uključivo sa svim potrebnim podupiranjima obodnih konstrukcija. Zidovi su max. visine cca 165 m, na visini od 310 cm. Debljine 25 cm. Radove izvesti pažljivo, kako ne bi došlo do oštećenja ostalih elemenata građevine. Zidovi su zidani blok opekom.
Slojevi konstrukcije:
- vanjska fasadna žbuka d=2 cm
- zidani zid  d=25 cm
- unutarnja fasadna žbuka d=2 cm
U jediničnu cijenu uključen sav potreban rad, laka pokretna skela, svi transporti, sortiranje i zbrinjavanje građevinskog otpada prema važećem Pravilniku.
Obračun po m3 zida.</t>
  </si>
  <si>
    <t>Uklanjanje i odvoz postojeće žbuke.
Stavka se primjenjuje za površine zidova/stupova koji se zadržavaju te podrazumijeva otucanje žbuke, odvoz i zbrinjavanje šute, zaštite prilikom izvođenja radova i potrebnu skelu.
Obračun po m2 uklonjene žbuke.</t>
  </si>
  <si>
    <t>Čišćenje od masnoća, otprašivanje i brušenje postojeće podne armirano-betonske ploče sa zapunjavanje rupa i neravnina (priprema za izvedbu hidroizolacije), uključivo sav potreban materijal i rad.</t>
  </si>
  <si>
    <t>3. Rušenja i demontaže ukupno:</t>
  </si>
  <si>
    <t>Kombinirani ručni i strojni iskop površinskog sloja tla - humusa i tla C kategorije u širokom iskopu uz obodne zidove, u širini pojasa potrebnog za izvedbu vanjskih staza i postolja klima jedinice.
Iskop tla u prosječnoj debljini sloja cca 30 cm. 
Jediničnom cijenom obuhvaćena potrebna zaštita sokla postojećih zgrada, tijekom izvođenja radova, očuvanih do razine uređenog terena - zaštita temelja tijekom radova na iskopu. U jediničnu cijenu uključen sav potreban rad, svi utovari, transporti i zbrinjavanje viška iskopanog materijala na odgovarajućem deponiju, uključivo sa svim taksama i naknadama prema važećem Pravilniku.
Obračun se vrši po m3 iskopanog materijala u sraslom stanju.</t>
  </si>
  <si>
    <t>Kombinirani ručni i strojni široki iskop tla C kategorije u debljini sloja potrebnog za izvedbu novog vanjskog stubišta. Iskop se izvodi u visini iskopa cca 100 cm od kote postojećeg tla odnosno do dna temeljnih zidova stubišta.
Uključivo s formiranjem pokosa (u vanjskom prostoru) i izvedbom potrebnih podupiranja kosine nasipa prema opkopu. Ovisno o sraslosti tla će se nagib pokosa prilagoditi. Način rada odabrati sukladno raspoloživoj tehnologiji izvođača radova (ponuditelja). U jediničnu cijenu uključen sav potreban rad, svi utovari, transporti i zbrinjavanje viška iskopanog materijala na odgovarajućem deponiju, uključivo sa svim taksama i naknadama prema važećem Pravilniku. Deponiju osigurava izvođač.
Obračun se vrši po m3 iskopanog materijala u sraslom stanju.</t>
  </si>
  <si>
    <t>Ručno i strojno planiranje dna iskopa  s točnošću +/- 2 cm.
Obračun po m2 isplanirane površine.</t>
  </si>
  <si>
    <t>Dobava, nasipavanje, nabijanje i planiranje tamposkog sloja kamenog agregata granulacija 0-30 mm u sloju debljine 30 cm ispod betonske ploče staze i stubišta - u svrhu izravnanja podloge.
Nasipavanje na pripremljenu i isplaniranu površinu iskopa. Zbijenost posteljice treba iznositi minimalno 50 MN/m2, a istu kontrolirati na svakih 100 m2 izvedenog tamponskog sloja. Prije izvedbe nasipa obavezan pregled temeljnog tla od ovlaštenog nadzora.
Obračun po m3 ugrađenog materijala.</t>
  </si>
  <si>
    <t>Obrada i planiranje pokosa tla iskopom i nasipavanjem.
Obrada okolnog tla uz vanjske stube, prilagođavajući ga prirodnom postojećem nagibu. Način rada odabrati sukladno raspoloživoj tehnologiji izvođača radova (ponuditelja).
Obračun po m2.</t>
  </si>
  <si>
    <t>Čišćenje terena oko objekta nakon završetka svih radova na objektu, kao i poslije svake faze rada na objektu. 
Stavka obuhvaća utovar otpadnog materijala u prijevozno sredstvo i odvoz na javni deponij uključivo troškovi deponiranja.
Obračun kao komplet.</t>
  </si>
  <si>
    <t xml:space="preserve">3. Zemljani radovi ukupno: </t>
  </si>
  <si>
    <t>ARMIRANO-BETONSKI I ARMIRAČKI RADOVI</t>
  </si>
  <si>
    <t>armatura B500B</t>
  </si>
  <si>
    <t>Dobava betona i izvedba armiranobetonske vanjske staze oko objekta i postolja za vanjske klima jedinice.
Izvedba betonom C35/45, VDP 3, MS 56, na zbijenu agregatnu podlogu. Ploča (2500 kg/m3) se izvodi u debljini 16 cm. Izvoditi prema projektu arhitekture, planovima oplate i ostaloj izvedbenoj dokumentaciji te prema uputstvima projektanta konstrukcije i nadzornog inženjera. U jediničnu cijenu uključena je i sva potrebna daščana oplata ako nije posebno navedeno u stavci, te rabic pletivo za radne prekide ovisno o tehnologiji izvođenja. Obavezno dilatiranje na svakih 2 m' duljine staze.
Obračun po m3 betona, m2 oplate i kg armature.</t>
  </si>
  <si>
    <t>Dobava betona i izvedba armiranobetonske podne ploče objekta.
Izvedba betonom C30/37. Ploča (2500 kg/m3) se izvodi u debljini 12 cm. Ploča se izvodi na postojeću betonsku ploču, pravilno izoliranu. Izvoditi prema projektu arhitekture, planovima oplate i ostaloj izvedbenoj dokumentaciji te prema uputstvima projektanta konstrukcije i nadzornog inženjera. U jediničnu cijenu uključena je i sva potrebna daščana oplata ako nije posebno navedeno u stavci, te rabic pletivo za radne prekide ovisno o tehnologiji izvođenja. Obavezno dilatiranje prema pravilima struke.
Obračun po m3 betona, m2 oplate i kg armature.</t>
  </si>
  <si>
    <t>Dobava betona i izvedba armiranobetonskog vanjskog stubišta. 
Završna obrada (protukliznost)-metlani beton. Uključuje izvedbu stuba, podesta i potpornih zidova, betonom  (2500 kg/m3) debljine 16 cm. Izvedba betonom C35/45, VDP 3, MS 56. Na zbijenu agregatnu podlogu. Širina stubišta 150 cm. Visina stube 17,17 cm i duljina gazišta stube 28 cm. Duljina podesta 150 cm (ili prilagoditi nagibu terena). Izvoditi prema projektu arhitekture, planovima oplate i ostaloj izvedbenoj dokumentaciji te prema uputstvima projektanta konstrukcije i nadzornog inženjera. U jediničnu cijenu uključena je i sva potrebna daščana oplata ako nije posebno navedeno u stavci, te rabic pletivo za radne prekide ovisno o tehnologiji izvođenja.
Obračun po m3 betona, m2 oplate i kg armature.</t>
  </si>
  <si>
    <t>Dobava betona i izvedba novih armiranobetonskih vertikalnih serklaža dimenzija 25×20 cm.
Izvedba betonom C25/30  (2500 kg/m3). Izvoditi prema projektu arhitekture, planovima oplate i ostaloj izvedbenoj dokumentaciji te prema uputstvima projektanta konstrukcije i nadzornog inženjera. U jediničnu cijenu uključena je i sva potrebna daščana oplata ako nije posebno navedeno u stavci, te rabic pletivo za radne prekide ovisno o tehnologiji izvođenja.
Obračun po m3 betona, m2 oplate i kg armature.</t>
  </si>
  <si>
    <t>Dobava betona i izvedba novih armiranobetonskih nadvoja iznad novih otvora.
Izvedba betonom C25/30  (2500 kg/m3). Visina 15 cm, s prijepustom 20 cm u odnosu na širinu otvora. Izvoditi prema projektu arhitekture, planovima oplate i ostaloj izvedbenoj dokumentaciji te prema uputstvima projektanta konstrukcije i nadzornog inženjera. U jediničnu cijenu uključena je i sva potrebna daščana oplata ako nije posebno navedeno u stavci, te rabic pletivo za radne prekide ovisno o tehnologiji izvođenja.
Obračun po m3 betona, m2 oplate i kg armature.</t>
  </si>
  <si>
    <t>Izvedba raznih manjih izravnanja i ispuna betonom.
Razni utori površina manjih dimenzija, nastali demontažama i rušenjima, ugradnjom novih konstruktivnih elemenata i instalacija, te izravnanja površina za ugradnju konstruktivnih i ostalih elemenata koji nisu posebno navedeni u pojedinim stavkama i koje se ne mogu uredno zazidati, ispunit će se betonom. Stavka uključuje izradu i ugradnju manjih količina betona, izvedba betonom C12/15.
Obračun po m3 betona i m2 oplate.</t>
  </si>
  <si>
    <t>Betoniranje AB ploče postolja za vanjske jedinice klima opreme, i betonske staze sa tri strane uz objekt debljine 10 cm betonom C25/30, razreda izloženosti XC2, XF2, u poprečnom padu na pripremljenu podlogu. Gornji dio zagladiti gladilicom. Stavka podrazumijeva izradu oplate, dobavu, sječenje i savijanje armature, dobavu betona, ugradnju i njegu svježeg betona uz sav potreban rad, sredstva za rad i gradilišni transport. Betonsku stazu površinski zaribati, s izrezivanjem dilatacija na razmaku max 125 cm, a uz termo fasadu postaviti bitumensku razdjelnu traku. Obračun po podstavkama.</t>
  </si>
  <si>
    <t>beton C25/30, XC2, XF2</t>
  </si>
  <si>
    <t>oplata rubne visine do 20 cm</t>
  </si>
  <si>
    <t>armatura mreža Q188</t>
  </si>
  <si>
    <t>4. Armirano-betonski i armirački radovi ukupno:</t>
  </si>
  <si>
    <t>ČELIČNE KONSTRUKCIJE</t>
  </si>
  <si>
    <t>Antikorozivna i protupožarna zaštita čeličnih profila - protupožarni premaz koji osigurava vatrootpornost R/REI 30.
Jediničnom cijenom stavke obuhvaćena je zaštita čeličnih profil protupožarnim premazima na licu mjesta. Uključuje pripremu površine u smislu čišćenja od hrđe, masnoća i ostalih nečistoća odgovarajućom metodom: čisto od ulja, masti i prljavštine sa zadovoljenjem zahtjeva hrapavosti i čistoće podloge za aplikaciju temeljnog premaza; nanošenje antikorozijskog temeljnog premaza na bazi dvokomponentnog epoksida s cink fosfatom, u debljini 80 μm; 
Nakon temeljnog premaza, nanošenje atestiranog vatrootpornog zaštitnog premaza s prethodnim proračunom debljina slojeva u skladu s važećim propisima (uključeno u jediničnu cijenu) minimalne vatrootpornosti R/REI 30, u debljini premaza prema preporuci proizvođača. Potrebno je ponuditi protupožarni premaz kojim se za čelične stijenke debljine 3-4 mm (vidjeti tehnički opis iz glavnog projekta) može postići požarna otpornost 30 minuta te se za isti može izdati potrebna atestna dokumentacija. Premaz se višestruko aplicira sukladno proračunu i uputama proizvođača kako bi se postigla tražena požarna otpornost (broj aplikacija premaza ovisi o odabranom proizvođaču te je u cijenu potrebno uključiti višestruko nanošenje premaza).
Za potrebe izvedbe ove stavke potrebno je u jediničnu cijenu uračunati i skelu potrebnu za izvođenje ovih radova.
Obračun po m2 površine zaštićenih čeličnih elemenata.</t>
  </si>
  <si>
    <t>čelični profil IPE 140</t>
  </si>
  <si>
    <t>čelična cijev Ø140, Ø100, Ø80, Ø60 mm</t>
  </si>
  <si>
    <t>čelični spregovi i nosači instalacija</t>
  </si>
  <si>
    <t>5. Čelične konstrukcije ukupno:</t>
  </si>
  <si>
    <t>ZIDARSKI I HIDROIZOLATERSKI RADOVI</t>
  </si>
  <si>
    <t>Dobava materijala i izvedba zida od blok opeke debljine d=25 cm.
Zid se izvodi kao ispuna otvora nakon uklonjenih postojećih stavki. Zidanje u produžnom mortu. U jediničnoj cijeni obuhvaćena je laka pokretna skela, grundiranje, izvedba bridova nehrđajućim čeličnim profilima kao i  bandažiranje rabic pletivom širine 50 cm na prijelazu žbuke preko različitih podloga, te sva pričvrsna i spojna sredstva koja su potrebna za izvedbu zida do potpune gotovosti. U cijenu je uključen sav rad i materijal, pomoćna sredstva, oplata, pomoćni materijali, rezanje blokova za zidarski vez, završna obrada vertikalnih špaleta otvora, kao i poklopnih ploha prozorskih parapeta (podrazumijeva ravnu zaglađenu površinu), te potrebna skela.
Obračun po m3 izvedenog zida.</t>
  </si>
  <si>
    <t>Dobava materijala i izvedba grube i fine vapnenocementne žbuke (1800 kg/m3) na svim zidovima u interijeru. 
Prije početka izvedbe žbuke potrebno je izvršiti otprašivanje podloge te eventualno pranje mini wash uređajem kako bi se postigla čista adekvatna podloga. Površina se grundira sukladno uputi proizvođača sustava žbuke (potrebno uračunati u cijenu). Prvi sloj gruba vapneno cementna žbuka M3 debljine cca 1,5 cm uz prethodni špric rijetkim cementnim mortom M10. Završni sloj fina vapnena žbuka od prosijanog čistog pijeska debljine 0,5 cm. Ovako izvedena dvoslojna žbuka treba biti pripravna za izvedbu soboslikarskih radova. U jediničnoj cijeni obuhvaćena je laka pokretna skela, grundiranje, izvedba bridova nehrđajućim čeličnim profilima kao i bandažiranje rabic pletivom širine 50 cm na prijelazu žbuke preko različitih podloga. Zidovi se žbukaju do pune visine prostora, od kote gotovog poda do vrha zida.
Obračun po m2 izvedene površine.</t>
  </si>
  <si>
    <t>Zidarska priprema špaleta za ugradnju stolarskih i bravarskih stavki.
Stavka uključuje zidarske popravke i obradu horizontalnih i vertikalnih ploha špaleta, nadvoja, parapeta prozora i vrata, uključivo pripomoć pri ugradnji stolarije. Popravke izvesti mortom, prema uputama odabranog proizvođača.
Obračun po m2 obrađene površine zida.</t>
  </si>
  <si>
    <t>Popravci i zidarska obrada špaleta nakon ugradnje prozora.
Stavka uključuje zidarske popravke i obradu spoja stolarskih stavaka s obodnim zidovima, nadvojima, parapetima i sl. Uključivo pune pripravnosti površine zida za izvedbu završnih radova (ličenje).
Obračun po m2 obrađene površine zida.</t>
  </si>
  <si>
    <t>Dobava materijala i izvedba brtvljenja spojeva stolarskih stavki i obodnih zidanih zidova po obodu ugrađenih stavka.
Izvedba brtvljenja spojeva trajnim i kvalitetnim dvokomponentnim kitom, u svemu prema uputama proizvođača, po cijelom obodu ugrađene stolarske stvake.
Obračun po m' izvedenog brtvljenja, do pune pripravnosti za izvedbu završnih radova.</t>
  </si>
  <si>
    <t xml:space="preserve">Izrada horizontalne hidroizolacije ispod novozidanih zidova na mjestima garažnih vrata, te vertikalne hidroizolacije otkrivenih soklenih zidova premazom od specijalnog jednokomponentnog hidroizolacijskog morta na bazi cementa. Mort se izvodi četkom u dva sloja ukupne debljine 4-6 mm. Širina horizontalne hidroizolacije je u debljini zidova plus 20 cm s obje strane. </t>
  </si>
  <si>
    <t>Sanacija zidova repaturnim mortom na mjestima mogućih manjih oštećenja. Točna količina utvrđuje se na licu mjesta u prisustvu nadzornog inženjera. Stavka se izvodi po potrebi -  s obzirom na zaklonjenost zidova skladišnim materijalom, uvid u neke dijelove konstrukcije nije bio moguć.  Stavka obuhvaća sav rad, materijal i opremu potrebnu za izvršenje stavke u cijelosti i odnosi se na vanjske i unutarnje dijelove zidova. S obzirom na vrstu oštećenja koja se mogu očekivati potrebno je ugraditi odgovarajući materijal: vodootporni, paropropusni, reparaturni cementni mort, otporan na smrzavanje, obogaćen alkalno otpornim vlaknima.</t>
  </si>
  <si>
    <t>Ličenje unutarnjih zidova. Priprema podloge za ličenje -podloga mora biti suha, čvrsta i čista te prije prvog bojanja impregnirana. Boju i impregnaciju koristiti od istog proizvođača. Ličenje se vrši u dva sloja disperzivnom bojom za unutarnje zidove. Ral prema izboru investitora, najbolje bijele boje. U cijenu m2 oličene površine uključena zaštita podova i zidova i radna skela. Obračun po m2 oličene površine.</t>
  </si>
  <si>
    <t>6.11.</t>
  </si>
  <si>
    <t>Doprema, montaža i demontaža po završetku radova  skele za radove van objekta koji se izvode na visini. Skela po cijelom opsegu građevine. Oslanjanje skele izvesti na čvrstoj podlozi, sa svim potrebnim ukrućenjima, podnicama, ljestvama za prelazak s radne etaže na radnu etažu, zaštitom podnica od pada materijala i alata, leđobranima i sl. sve u skladu s pozitivnim propisima zaštite na radu.  Obračun po m2 vertikalne projekcije skele. U stavku uključen sav rad i materijal potreban za izvršenje stavke u cijelosti, uključivo i statički proračun skele te standardno fasadno platno.</t>
  </si>
  <si>
    <t>Doprema, montaža i demontaža po završetku radova  skele za radove unutar objekta koji se izvode na visini. Skela po cijeloj površini unutarnjeg prostora. Oslanjanje skele izvesti na čvrstoj podlozi, sa svim potrebnim ukrućenjima, podnicama, ljestvama za prelazak s radne etaže na radnu etažu, zaštitom podnica od pada materijala i alata, leđobranima i sl. sve u skladu s pozitivnim propisima zaštite na radu. Obračun po m2 tlocrtne površine građevine, prosječna visina skele iznosi cca 4,5 m. U stavku uključen sav rad i materijal potreban za izvršenje stavke u cijelosti, uključivo i statički proračun skele.</t>
  </si>
  <si>
    <t>6.12.</t>
  </si>
  <si>
    <t>6. Zidarski i hidroizolaterski radovi ukupno:</t>
  </si>
  <si>
    <t xml:space="preserve">Dobava, transport i ugradnja hidroizolacije ispod podne ploče skladišta. Izvode se varene bitumenske hidroizolacijske trake (ljepenka) sa uloškom staklenog voala u dva sloja na hladnom bitumenskom premazu, uključivo sav pomočni materijal i rad. Debljina jedne trake cca 3,2 mm. </t>
  </si>
  <si>
    <t>horizontalna površina</t>
  </si>
  <si>
    <t>vertikalna površina (sokl)</t>
  </si>
  <si>
    <t xml:space="preserve">Stavka uključuje prethodnu pripremu u pogledu bušenja rupa promjera 10 mm u zidovima (u dva reda) na međusobnom razmaku od 40 cm (po redu) u dubini od 2/3 debljine zida (sve prema uputama proizvođača), ispuhivanje rupa i ugradnju specijalnih pakera za ugradnju smola. Injektiranje se vrši specijalnom električnom pumpom s integriranim dovodom vode pod nižim tlakom. Nakon završenog injektiranja pakeri se uklanjanju, a rupe zatvaraju brzovezujućim cementom/mortom.
Tehničke karakteristike koje proizvod mora zadovoljiti:
Gustoća svježeg morta min. 1.8 kg / l
Tlačna čvrstoća nakon 2 sata: ≥ 5 N / mm²
Tlačna čvrstoća nakon 7 dana ≥ 30 N / mm²
Tlačna čvrstoća nakon 28 dana ≥ 40 N / mm²
Savojna vlačna čvrstoća nakon 7 dana ≥ 5 N / mm²
Početak vezanja nakon 5 minuta (20°C)
Ugradnja sljedećeg sloja nakon 3 sata
Uključen kompletan rad, materijal i pribor. Prosječna potrošnja gela za zid od pune opeke minimalno 4 kg/m za svakih 10 cm debljine zida. Obračun se vrši po m' izvedene horizontalne barijere. </t>
  </si>
  <si>
    <t>Dobava materijala i izvedba horizontalne barijere - prekida kapilarne vlage u postojećim zidovima od opeke debljine 25-30 cm, pomoću elastičnog akrilnog gela na bazi vode.
Tehničke karakteristike koje proizvod mora zadovoljiti:
Topivost u vodi topiv
Viskoznost mješavine 4 mPa.s / + 20 °C
Temperatura primjene ≥ + 5 °C
Početak reakcije 4 Minute / + 20 °C
Vrijeme umrežavanja 6 Minuta / + 20 °C
Konačno vezanje 15 Minuta / + 20 °C
Gel je u mogućnosti vezati vodu tijekom faze geliranja, a zbog niske početne viskoznosti može se injektirati u najfinije pore podloge u svrhu izvedbe prekida kapilarne vlage. Prekid kapilarne vlage izvodi se 10-15 cm iznad razine tla (za vanjske zidove) ili 10-15 cm iznad razine gotovog poda (za unutarnje zidove). Pritom treba osigurati kontinuitet izvedene horizontalne barijere duž svih zidova.</t>
  </si>
  <si>
    <t>6.13.</t>
  </si>
  <si>
    <t>KROVOPOKRIVAČKI I LIMARSKI RADOVI</t>
  </si>
  <si>
    <t>7.2.</t>
  </si>
  <si>
    <t>Izrada, dobava i montaža horizontalnih i vertikalnih oluka za odvodnju vode s kosog krova. Vertikalni oluci su okruglog poprečnog presjeka RŠ do 40 cm, horizontalni su polukružnog poprečnog presjeka RŠ do 40 cm. Lim je debljine 0,60 mm, pocinčani, bojani. Boja po izboru investitora. Sve dimenzije uzeti na licu mjesta. Skela je obračunata posebno. Stavka podrazumijeva ugradnju svih elemenata sustava (koljena, grla, pričvrsni pribor - šelne, kuke, početne i završne elemente, kutne elemente) do pune uporabljivosti.  U stavku uključen sav potreban rad, materijal i pribor za izvršenje stavke u cijelosti.  Obračun po m' ugrađenog lima.</t>
  </si>
  <si>
    <t>7.3.</t>
  </si>
  <si>
    <t>Nabava, dobava i ugradnja limenog opšava na spoju krovne plohe i zabatnih zidova - veterlajsne. Lim je debljine 0,60 mm, bojani pocinčani. Boja po izboru investitora. Razvijene širine do 45 cm. U stavku uključen sav potreban rad, materijal i pribor za izvršenje stavke u cijelosti.  Obračun po m' ugrađenog lima.</t>
  </si>
  <si>
    <t>7.4.</t>
  </si>
  <si>
    <t>Nabava, dobava i ugradnja linijskih snjegobrana u 2 reda na svakoj strani krovne plohe, razvijene širine do 30 cm. Lim je debljine 0,60 mm, pocinčani, bojani. U stavku je uključen sav potreban rad, materijal i pribor za izvršenje stavke u cijelosti. Obračun po m' ugrađenog lima.</t>
  </si>
  <si>
    <t>7.5.</t>
  </si>
  <si>
    <t>Nabava, dobava i ugradnja limenog opšava ispod strehe, ispod vjetarlajsne na zabatima i izvedba "kutija" ispod strehe na spoju sa zidom, po obodu građevine radi zaštite dijelova nosive rešetkaste konstrukcije koja je prepuštena van objekta. Lim je debljine 0,60 mm, bojani pocinčani. Boja po izboru investitora. Razvijene širine do 50 cm. U stavku uključen sav potreban rad, materijal i pribor za izvršenje stavke u cijelosti. Obračun po m2 obložene površine.</t>
  </si>
  <si>
    <t>7.6.</t>
  </si>
  <si>
    <t>Izvedba pregradnog zida visine cca 3,7 do 5,4 m od limenih sendvič panela ispunjenih mineralnom vunom ukupne debljine 20 cm. Debljinu lima odabrati sukladno preporuci proizvođača za sendvič panele ove visine. Boja po izboru investitora. U cijenu uključiti sav potreban materijal, transport i ugradnju te sav pomoćni materijal i pribor, opšave, pričvršćenje, spojna sredstva i dr.</t>
  </si>
  <si>
    <t>7. Krovopokrivački i limarski radovi ukupno:</t>
  </si>
  <si>
    <t>8. Stolarski radovi ukupno:</t>
  </si>
  <si>
    <t>Čišćenje postojeće fasade vodom s primjerenim pritiskom i sa što je moguće manjim naknadnim vlaženjem zida ili odprašivanje zrakom pod pritiskom. 
Obračunava se obrađena površina.</t>
  </si>
  <si>
    <t>Odstranjivanje algi i gljivica s fasade pomoću biocidnog premaza, uz naknadno ispiranje vodom. 
Obračunava se obrađena površina.</t>
  </si>
  <si>
    <t>Odstranjivanje i odprašivanje svih nenosivih dijelova fasade i krpanje nastalih rupa odgovarajućom žbukom (vrstu prilagoditi postojećoj žbuci). U cijenu uračunata dobava i ugradnja potrebnih materijala. Pretpostavljena je količina 20% ukupnog pročelja.</t>
  </si>
  <si>
    <t xml:space="preserve">Učvršićivanje površinski sipkih ali nosivih podloga pomoću dubinskog predpremaza. U stavku uključena dobava materijala i kompletan rad. </t>
  </si>
  <si>
    <t>Izravnavanje (žbukanje) podloge odgovarajućim materijalima za izravnavanje debljine 2-3 cm, prema uputama proizvođača. Obračunava se za novozazidane otvore.</t>
  </si>
  <si>
    <t>Izrada slojeva sokla (podnožja)  građevine u slijedećim slojevima: 
- sloj ekstrudiranog polistirena XPS od 10 cm, koeficijenta toplinske provodljivosti λ≤0,037 W/mK
- polimerna cementna žbuka 2× s alkalnom mrežicom
- završni sloj silikatne žbuke u boji po izboru investitora. 
Izrada prema uputstvu proizvođača i odobrenju nadzora. Stavka uključuje izravnavanje plohe, sve pripreme, dobavu materijala, sa svim potrebnim sredstvima ugradnje, izrada te transport materijala do mjesta gradnje. Obračun po m2 postavljene fasade.</t>
  </si>
  <si>
    <t>Izrada toplinske izolacije vanjskih zidova ETICS sustavom koji se sastoji  od: 
- polimerno cementno ljepilo
- mineralna vuna MW debljine 12 cm (50 kg/m3), (λ ≤ 0,035 W/mK)
- ljepilo u dva sloja, armirajuća staklena mrežica, pričvrsnice, svi profili i kutni profili s mrežicom
- završna silikatna žbuka.  
Sve spojeve fasadnog sustava i vanjske bravarije zapuniti trajno elastičnim fasadnim kitom što je uključeno u jediničnu cijenu toplinskog fasadnog sustava. Spojeve različitih materijala obavezno rabicirati pocinčanim punktiranim rabicom 25×25×0,9 ili staklenom režicom. Sve radove treba izvesti isključivo po uputama proizvodača fasadnog sustava, koristeći materijale, alate i način izvođenja po tehnologiji proizvođač. Izrada skele, rad sa fasadne skele nije uključen u stavku kao i izrada skelskog platna za zaštitu od sunca (skela se obračunava u zidarskim radovima). U cijeni m2 komplet izvedene fasade obuhvatiti lijepljenje vune, izradu tipskih pričvrsnica (10 kom/m2) obradu svih špaleta, rubova, bridova, postave rubnih profila, završetaka, spojeva, prodora...). Sve komponente sustava moraju se ugraditi od istog proizvođača.</t>
  </si>
  <si>
    <t>9. Fasaderski radovi ukupno:</t>
  </si>
  <si>
    <t>PODOPOLAGAČKI RADOVI</t>
  </si>
  <si>
    <t>horizontalna podna ploha (obloga)</t>
  </si>
  <si>
    <t>Dobava i ugradnja specijalne mase za niveliranje većih neravnina. Izvodi se prije epoxi podne obloge u debljini cca 3-4 cm (ovisno o ravnosti izvedene AB ploče). Stavkom obuhvatiti sav potreban materijal, transport rad i sve pomoćne materijale i strojeve za ugradnju prema uputama odabranog proizvođača.</t>
  </si>
  <si>
    <t>10. Podopolagački radovi ukupno:</t>
  </si>
  <si>
    <t>UREĐENJE OKOLIŠA</t>
  </si>
  <si>
    <t>Čišćenje vanjskih betonskih površina vodom pod tlakom.</t>
  </si>
  <si>
    <t>strojni i ručni iskop</t>
  </si>
  <si>
    <t>dobava i ugradnja rubnjaka u betonsku podlogu</t>
  </si>
  <si>
    <t>zatrpavanje i izravnanje terena nakon ugradnje</t>
  </si>
  <si>
    <t>utovar i odvoz viška materijala</t>
  </si>
  <si>
    <t>Dobava i ugradnja cestovnih betonskih rubnjaka 18×24×100 cm uključivo svi popratni radovi i sav pomoćni materijal, rad i pribor.
Izvodi se oko asfaltiranog platoa ispred ulaza u skladište.</t>
  </si>
  <si>
    <t>Dobava i ugradnja betonskih rubnjaka 8×20×100 cm uključivo svi popratni radovi i sav pomoćni materijal, rad i pribor.
Izvodi se uz pješačke stazice uz skladište (bočne i zadnja strana).</t>
  </si>
  <si>
    <t>Plitka betonska kanalica
Dobava i ugradnja plitke betonske kanalice. Moduli širine do 30 cm, a duljine do 50 cm. Građevinska visina elementa do 12 cm. Betonske kanalice se postavljaju na pripremljenu nosivu podlogu te po pravcu niveliraju. Ugrađuju se s razmakom (spojnicom) u zemljovlažni beton. Spojnice se zapunjavaju cementnim mortom. Obračun po m' ugrađene kanalice (izvodi se uz pješačke stazice oko skladišta).
Napomena: kanalica za asfaltirani plato ispreh skladišta obračunava se u radovima vodovoda i odvodnje.</t>
  </si>
  <si>
    <t>11. Uređenje okoliša ukupno:</t>
  </si>
  <si>
    <t>INSTALACIJA VODOVODA I ODVODNJE</t>
  </si>
  <si>
    <t>Geodetsko iskolčenje trase vanjskog vodovoda prije izvođenja radova - dužina 706 m'.</t>
  </si>
  <si>
    <t>Proširenje dna rova u zemljištu C kategorije radi izvedbe vodomjernog  okna. Iskopani materijal odbaciti na udaljenost preko 1.0 m od bočne ivice rova, kako bi se spriječilo urušavanje iskopanog materijala u rov.</t>
  </si>
  <si>
    <t>Planiranje dna rova s odstupanjem ± 2.0 cm.</t>
  </si>
  <si>
    <t>Dobava pijeska, ubacivanje u rov, te izrada pješčane posteljice na dnu rova, u sloju debljine 10 cm.</t>
  </si>
  <si>
    <t>Dobava pijeska, ubacivanje u rov, te razastiranje s laganim nabijanjem oko i do visine od 15 cm iznad  tjemena cijevi.</t>
  </si>
  <si>
    <t>Dobava i polaganje u rov iznad vodovodnih cijevi PVC trake sa natpisom "POZOR - VODOVOD" i vodljivom žicom za detekciju trase.</t>
  </si>
  <si>
    <t>Zatrpavanje rova materijalom od iskopa, po slojevima do 30 cm, uz istovremeno obilno vlaženje i nabijanje materijala ručnim nabijačima. U materijalu ne smije biti kamenja promjera većeg od 12 cm.</t>
  </si>
  <si>
    <t>Odvoz materijala preostalog od iskopa, nakon zatrpavanja rova na gradsku deponiju (do 5 km), uključivo utovar, istovar i razastiranje.
Količina u rastresitom stanju za zemljište III kategorije</t>
  </si>
  <si>
    <t xml:space="preserve">Planiranje terena nakon izvršenog zatrpavanja rova. Pretpostavljena širina planiranja je 1,0 m. Obračun po m2 obrađene površine. </t>
  </si>
  <si>
    <t>Izvedba vodomjernog okna armiranim vodonepropusnim betonom C 25/30 u dvostranoj  oplati,  debljine  bočnih stijenki 20 cm. Unutrašnje stijenke okna premazati polimercemntnim premazom. Vanjske stijenke obložiti savitljivom, 1,5 mm debljine, homogenom hidroizolacijskom membranom, sa signalnim slojem, na bazi visokokvalitetnog polivinilklorida (PVC-p). Iznad okna na dubini oko 30 cm od kote uređenog terena izvesti armirano-betonsku ploču  C25/30, debljine 15 cm s otvorom 60×60 cm. Iznad otvora u ploči montirati vodotijesni lijevano-željezni poklopac s okvirom vel. 600×600 mm (uzeti u obzir u ovoj stavci). Poklopac ne smije biti na parkiralištu ili kolniku, a mora biti lakog tipa (ispod opt. 50 kN) s dvije uvlačno-izvlačne ručke koje se mogu uhvatiti punom šakom.  Stavka podrazumijeva dobavu i ugradnju penjalica. 
Vodomjerno okno vanjskih dim. vel. 490×180×200cm. Potrebno je izvesti udubinu tlocrtnih dimenzija 40×40 cm i 40 cm dubine.
NAPOMENA: Točne mjere vodomjernog okna utvrditi sa distributerom nadležnim za  vodovod.</t>
  </si>
  <si>
    <t>Izrada betonskih sidrenih blokova na horizontalnim lomovima trase cjevovoda betonom C 15/20. U cijenu uključeno proširenje i produbljenje rova na mijestu bloka te izvedba u odgovarajućoj oplati.</t>
  </si>
  <si>
    <t>Dobava i ugradnja betonskog postolja u vodomjernom oknu izrađenog iz betona C 15/20. U cijenu uračunata potrebna oplata, sav materijal i rad. Obračun po komadu izvedenog uporišta, do 0,04 m3</t>
  </si>
  <si>
    <t>Izrada betonskih osiguranja kapa i uporišta vanjskih hidranata betonom C20/25. U cijenu uključeno proširenje i produbljenje rova na mjestu uporišta i osiguranja te izvedba u odgovarajučoj oplati.</t>
  </si>
  <si>
    <t>Izrada suhozida oko hidranta uključivo ispuna pijeskom. Suhozid izvesti od opeke dimenzija 12×25×6,5cm.</t>
  </si>
  <si>
    <t>Dobava i montaža cijevi iz polietilena za pitku vodu. Cijevi su predviđene za izvedbu priključnog sanitarnog voda  sa radnim tlakom do 10 bar u mreži. Serija cijevi u odnosu na radni tlak: S 5. U dužni metar cijevi uračunato je spajanje cijevi, ispitivanje zavarenih dijelova na nepropusnost i čvrstoću te popravak oštećenja. U stavku uračunati i elektrospojnice i sve fazonske komade.</t>
  </si>
  <si>
    <t>PEHD - 160×14,0 mm</t>
  </si>
  <si>
    <t>PEHD - 125×11,4 mm</t>
  </si>
  <si>
    <t>PEHD - 90×8,2 mm</t>
  </si>
  <si>
    <t>Dobava i montaža PVC SN4 tvrdih zaštitnih cijevi za provođenje PEHD vodovodnih cijevi ispod temelja, uz kanalizaciju i na uvodima u vodomjerno okno te ispod kolnih površina.
Na proboje kroz VO i zasunsko okno se postavlju zaštitne PVC cijevi te uvodnice.  Za vođenje cijevi profila DN80 potrebni profil zaštitne cijevi iznosi DN125. Za vođenje cijevi profila DN100 potrebni profil zaštitne cijevi iznosi DN150. U stavku uračunati i 1 kom uvodnica.</t>
  </si>
  <si>
    <t>DN 150</t>
  </si>
  <si>
    <t>DN 125</t>
  </si>
  <si>
    <t xml:space="preserve">Dobava i ugradnja armature u vodomjernom oknu, svi za minimalno PN 10 bar. U cijenu su uključeni vijci, sav brtveni i spojni materijal te potreban rad. Obračun po montiranom komadu. U cijenu uračunato čišćenje i dezinfekcija gradske vodovodne mreže.
- FF DN 150 mm l = 200 mm, 1 kom
- ZOPT EC DN 150 mm, kom 1 (zaštitnik od povratnog toka) L = 350 mm
- EVX zasun DN 150 mm, kom 2
- FF komad DN 150 mm, l = 80 cm, kom 1
- Spojni E-BS komad sa prirubnicom DN 150 mm na PEHD 160 mm, kom 1
Sve komplet. </t>
  </si>
  <si>
    <t xml:space="preserve">Dobava i montaža svih potrebnih elemenata (NP 10 bara) za izradu hidrantskog priključka. U cijenu su uključeni vijci, sav brtveni i spojni materijal te potreban rad. Obračun po montiranom komadu. Sve komplet.
- elektrospojnice za PEHD cijevi PEHD 110 - kom 3
- tuljak sa prirubnicom DN 110 mm - kom 1
- EV zasun (tip V2-06) DN 100 mm - kom 1
- N 90 (DIN 28538 ili jednakovrijedno) DN 100 mm - kom 1
- zasunska kapa - kom 1
Nadzemni ukrasni hidrant s lomljivim stupom. Oblik i mjere prema HRN EN 1074-6 ili jednakovrijedno. Hidrant s dvije B - spojke Ø 65 i jednom A - spojkom Ø 100. Materijal – sklop.
Proizvodi se prema HRN EN 1074-6 ili jednakovrijedno.
Potrebna dimenzija: DN 100×2200; PN 10 </t>
  </si>
  <si>
    <t>Funkcionalno ispitivanje hidranata od strane ovlaštene službe, te izdavanje potvrde u pismenom obliku.</t>
  </si>
  <si>
    <t>Dobava i ugradnja betona C20/25 za izradu betonskog postolja hidrantskog ormarića. Betonska postolja (temelji) su dimenzija 30×50×90 cm (dva po ormariću). U cijenu uračunati beton, potrebna oplata i armatura, sav materijal i rad.</t>
  </si>
  <si>
    <t>Ispiranje te ispitivanje kompletne interne vodovodne mreže pod tlakom 6 i 10 bara.</t>
  </si>
  <si>
    <t>Dezinfekcija kompletne interne vodovodne mreže sredstvom za dezinfekciju prema uputstvu za dezinfekciju.</t>
  </si>
  <si>
    <t>Dobava i montaža tipskog protupožarnog ormarića za vanjsku hidrantsku mrežu, dimenzija 110×110×21 cm s nogarima i svom opremom. U cijenu su uključeni vijci, sav brtveni i spojni materijal te potreban rad.
Oprema:
- ključ za spojnice ABC - kom1
- ključ za nadzemni hidrant - kom 1
- tlačna trevira cijev ∅ 52 mm, l = 20 m sa spojnicama C - kom 4
- mlaznica sa zasunom ∅ 52 mm  - kom 2</t>
  </si>
  <si>
    <t>VANJSKI VODOVOD</t>
  </si>
  <si>
    <t>UNUTARNJI VODOVOD</t>
  </si>
  <si>
    <t>Iskop kanala u zemljištu C kategorije za polaganje vodovodnih cijevi. Dubina iskopa do 1,2 m, širina rova 0,8 m. Predviđen je ručni iskop 30% i strojni iskop 70%.
NAPOMENA: točnu kategoriju zemlje utvrditi na licu mjesta.</t>
  </si>
  <si>
    <t>Dobava i montaža čeličnih pocinčanih vodovodnih cijevi HRN C.B5. 225 ili jednakovrijedno komplet s pocinčanim fitinzima i ovjesnim i brtvenim priborom.  Sve komplet. (POŽARNI RAZVOD VODE)</t>
  </si>
  <si>
    <t>DN 50</t>
  </si>
  <si>
    <t>DN 80</t>
  </si>
  <si>
    <t>Dobava i montaža hidrantskog ormarića  prema HR EN671-2 ili jednakovrijedno za ugradnju na zid, vel. 500×500×140 mm komplet s ventilom DN52
uključivo:
- tlačno trevira crijevo DN50 duljine 20 m'
- ventil kutni Ms 2" sa stabilnom spojnicom (Al) Ø52
- mlaznica sa zasunom
- okretni nastavak Ms 2"</t>
  </si>
  <si>
    <t>Dobava i ugradnja brtvene uvodnice za cijev profla DN 80.</t>
  </si>
  <si>
    <t>Dezinfekcija kompletne vodovodne mreže sredstvom za dezinfekciju prema uputstvu za dezinfekciju.</t>
  </si>
  <si>
    <t>Ispitivanje vodovodne mreže pod tlakom od 6, 10 i 15 bara.</t>
  </si>
  <si>
    <t>Bakteriološka analiza uzoraka vode iz cjevovoda nakon dezinfekcije, ovjerena od ovlaštene institucije.</t>
  </si>
  <si>
    <t>ODVODNJA</t>
  </si>
  <si>
    <t>Demontaža postojeće kanalice na platou ispred objekta</t>
  </si>
  <si>
    <t>VANJSKA ODVODNJA</t>
  </si>
  <si>
    <t>Dobava i ugradnja plitke betonske kanalice. Moduli širine do 30 cm, a duljine do 50 cm. Građevinska visina elementa do 12 cm. Betonske kanalice se postavljaju na pripremljenu nosivu podlogu te po pravcu niveliraju. Ugrađuju se s razmakom (spojnicom) u zemljovlažni beton. Spojnice se zapunjavaju cementnim mortom.</t>
  </si>
  <si>
    <t>UNUTARNJA ODVODNJA</t>
  </si>
  <si>
    <t xml:space="preserve">Dobava i montaža polipropilenskih kanalizacijskih cijevi visoke gustoće PP, te odgovarajućih fazonskih komada. Spajanje cijevi izvoditi usađivanjem u naglavke s gumenim prstenima. </t>
  </si>
  <si>
    <t>cijev PP DN 32</t>
  </si>
  <si>
    <t>fazonski komadi DN 32</t>
  </si>
  <si>
    <t>Dobava i montaža toplinske i zvučne izolacije  vertikalno i horizontalno vođene odvodnje kondenzata gotovim izolacijskim cijevima, debljine 19 mm.
Montaža na cijev DN 32.</t>
  </si>
  <si>
    <t>Dobava i montaža zidnog sifon za odvod kondenzata.</t>
  </si>
  <si>
    <t>Funkcionalno ispitivanje kanalizacijske instalacije od strane ovlaštene organizacije, uz izdavanje uvjerenja.</t>
  </si>
  <si>
    <t>2. Odvodnja ukupno:</t>
  </si>
  <si>
    <t>OSTALI RADOVI</t>
  </si>
  <si>
    <t>Izrada tehničke dokumentacije izvedenog stanja koju potpisuju izvođač i nadzor i predaja investitoru u 3 uvezana primjerka. Uz papirnatu verziju, predaje se i jedan primjerak u elektroničkom obliku/CD (standardni formati datoteka .doc .xls i .dwg).</t>
  </si>
  <si>
    <t>Primopredaja izvedenih radova, izrada uputa za rad i održavanje, izrada shema izvedenog stanja, signalno obilježavanje vodova i opreme, te potrebni natpisi upozorenja i obavještenja.</t>
  </si>
  <si>
    <t>Snimanje postojećih instalacija vodovoda i odvodnje na parceli te isporuka u dwg i odf formatu.
U cijeni predaja geodetske snimke u nadležni ured za katastar i ishođenje potvrde iz katastra.</t>
  </si>
  <si>
    <t>3. Ostali radovi ukupno:</t>
  </si>
  <si>
    <t>INSTALACIJA VODOVODA I ODVODNJE - R E K A P I T U L A C I J A</t>
  </si>
  <si>
    <t>B. VODOVOD I ODVODNJA UKUPNO:</t>
  </si>
  <si>
    <t>NAPOMENA: 
Cijena za svaku točku ovog troškovnika mora obuhvatiti dobavu, montažu, spajanje, uzemljenje, te dovođenje u stanje potpune funkcionalnosti.
U cijenu također ukalkulirati sav potreban spojni, montažni, pridržni i ostali materijal potreban za potpuno funkcioniranje.
Izvođač radova mora s ostalim izvođačima i nadzorom uskladiti redosljed izvođenja kako ne bi došlo do preklapanja s ostalim trasama. Sva takva nekoordinirana preklapanja izvođač je dužan o svom trošku otkloniti.</t>
  </si>
  <si>
    <t>Dobava, postava i spajanje razdjelnika GRO 1-2, vanjski razvodni ormar uz zid objekta. Vanjsko kućište GFK/PVC, IP55/IK10, RAL7035, 1200×800×400 mm. 
Montažna ploča pocinčana, puna, odgovarajuće veličine. 
DIN šine, kabelske stege, plan pločice. 
PE/N sabirnice s izoliranim stezaljkama; glavna GUP sabirnica. 
Brtvene uvodnice M32–M63 + rezervne zapune. 
Brava 3-točke s industrijskim ključem; panti od A2. 
Filter-vent ulošci IP za prirodnu ventilaciju + odvod kondenzata. 
Betonsko postolje prema gore navedenim mjerama s ankerima M12 A2. 
Cu traka 30×3,5 mm za uzemljenje + pribor za spajanje.
Naljepnice/oznake polja, UPOZORENJE „OPASNOST OD STRUJNOG UDARA“. kom 1
Ormar sadrži slijedeću opremu:
- tropolni kompaktni niskonaponski prekidač 200A, 25kA, kom 1
- četveropolni katodni odvodnik prenapona, kom 1
- osigurač-rastavljač 160/80A, kom 2
- osigurač-rastavljač 160/__A, kom 4, rezerva
Ukupno razdjelnik RS1</t>
  </si>
  <si>
    <t>Dobava, postava i spajanje razdjelnika RS1, nadgradni modularni razdjelnik,  u zaštiti IP44, izrađen od  čeličnog lima, obojen temeljnom i lak bojom. Razvodni ormar je ukupnih dimenzija minimalno (š×v×d) 600×800×200 mm, kom 1
Ormar sadrži slijedeću opremu:
- tropolni kompaktni niskonaponski prekidač 100A, 25kA, kom 1
- četveropolni katodni odvodnik prenapona, kom 1
- ZUDS 50/0,03A, kom 2
- ZUDS 63/0,03A, kom 1
- ZUDS 125/0,03A, kom 1
- automatski prekidač B6A, kom 1
- automatski prekidač B10A, kom 11
- automatski prekidač B16A, kom 22
- automatski prekidač B16A 3P, kom 4
- automatski prekidač B20A 3P, kom 1
- automatski prekidač B32A 3P, kom 4
- automatski prekidač B50A 3P, kom 2
- automatski prekidač B63A 3P, kom 1
- automatski prekidač B125A 3P, kom 1
- luksomat, kom 1
Ugradnja elemenata, sabirnice i nosači sabirnica, ožičenje, označavanje, funkcionalno ispitivanje prije isporuke, atesti, ispitni protokol, korisnička dokumentacija, komplet 1</t>
  </si>
  <si>
    <t>Dobava, doprema, ugradnja i spajanje sveg potrebnog materijala i pribora za polaganje kabela energetskog i signalnog razvoda. Stavka obuhvaća polaganje novog kabela, uvođenje kabela u razdjelnike, sve elektromontažne radove, te sav materijal i pribor potreban za potpuno funkcioniranje stavke. Polaže se:</t>
  </si>
  <si>
    <t>NHXH FE180/E90 3×1,5mm2</t>
  </si>
  <si>
    <t>NYY-J  3×1,5 mm2</t>
  </si>
  <si>
    <t>NYY-J  3×2,5 mm2</t>
  </si>
  <si>
    <t>NYY-J  4×1,5 mm2</t>
  </si>
  <si>
    <t>NYY-J  5×35 mm2</t>
  </si>
  <si>
    <t>NAYY-J  4×150 mm2</t>
  </si>
  <si>
    <t>NYY-J  5×2,5 mm2</t>
  </si>
  <si>
    <t>NYY-J  5×4 mm2</t>
  </si>
  <si>
    <t>NYY-J  5×6 mm2</t>
  </si>
  <si>
    <t>cijev PEHD Ø90 mm</t>
  </si>
  <si>
    <t>kruta PVC cijev promjera 20 mm, komplet sa obujmicama svakih 30 cm</t>
  </si>
  <si>
    <t>Dobava, postava i spajanje ovjesne vodotjesne svjetiljke s direktnom svjetlosnom distribucijom za stropnu montažu. LED izvor svjetlosti, snaga sustava 39 W, izlazni svjetlosni tok  6543 lm, temperatura boje izvora 4000 K, uzvrat boje CRI 80. Stupanj mehaničke zaštite IP66. Sa svim potrebnim priborom, priključnim materijalom i elementima. Oznaka u projektu "S1".
Tehničke karakteristike:
- ovjesna vodotjesna svjetiljka s direktnom svjetlosnom distribucijom za stropnu montažu
- kućište izrađeno od sivog polikarbonata, otporno na vandalizam, UV stabilizirano, visoke mehaničke otpornosti zahvaljujući kućištu ojačanom unutarnjim rebrima
- široka optika
- polikarbonatni difuzor. 
- svjetiljka se isporučuje s priborom za stropnu montažu. 
- LED sustav maksimalne snage 39 W, 
- minimalni izlazni svjetlosni tok 6543 lm 
- temperatura boje izvora 4000 K, 
- uzvrat boje minimalno CRI 80. 
- stupanj mehaničke zaštite minimalno IP66, 
- zaštita od mehaničkih utjecaja minimalno IK 10 
- svjetiljka je ožičena za linijsku montažu. 
- dozvoljena ambijentalna temperatura minimalno  od -30 do +40°C. 
- životni vijek izvora minimalno 80 000 h (L90B10), 
- faktor snage ≥0,9. 
- fotobiološka grupa rizika 0 (RG0) prema EN 62471. 
- ENEC certificirana svjetiljka</t>
  </si>
  <si>
    <t>Dobava, postava i spajanje nazidne svjetiljke s direktnom asimetričnom svjetlosnom distribucijom za stropnu montažu. LED izvor svjetlosti, snaga sustava 39 W, izlazni svjetlosni tok 5755 lm, temperatura boje izvora 3000 K, uzvrat boje CRI 80. Stupanj mehaničke zaštite IP66. Sa svim potrebnim priborom, priključnim materijalom i elementima. Oznaka u projektu "V1".
Tehničke karakteristike:
- nazidna svjetiljka s direktnom asimetričnom svjetlosnom distribucijom 
- kućište izrađeno od lijevanog aluminija, praškasto obojeno za zaštitu od UV zračenja, korozije i soli, grafitne boje, s integriranim rashladnim rebrima
- reflektor u svjetiljci izrađen od visokokvalitetnog aluminija visoke čistoće 99,99%. 
- ugrađeno ravno, kaljeno staklo debljine 4 mm otporno na toplinske udare i udarce (UNI-EN12150-1: 2001 ili jednakovrijedno).
- maksimalna ukupna snaga LED sustava 39 W 
- minimalni izlazni svjetlosni tok 5755 lm</t>
  </si>
  <si>
    <t>- temperatura boje izvora 3000 K, 
- uzvrat boje minimalno CRI 80.
- stupanj mehaničke zaštite minimalno IP66,  
- zaštita od mehaničkih utjecaja minimalno IK 08 
- faktor snage ≥0,9
- dozvoljena ambijentalna temperatura minimalno  od -20 do +40°C. 
- životni vijek izvora minimalno 90 000h (L80B20) 
- svjetiljka se isporučuje s konektorom za brzu montažu
- fotobiološka grupa rizika 0 (RG0) prema EN 62471. 
- ENEC certificirana svjetiljka 
- rasvjetno tijelo mora biti u skladu s normama EN 13032-4:2015; IES LM-79 i LM-80 ili jednakovrijednima koje je izdao akreditirani laboratorij.</t>
  </si>
  <si>
    <t>Dobava, postava i spajanje zidne nadgradne protupanične svjetiljke. LED izvor svjetlosti, snaga izvora 2 W, 3 h, autotest funkcija, stupanj mehaničke zaštite IP65IK08. Sa svim potrebnim priborom, priključnim materijalom i elementima. Oznaka u projektu "EM1".
Tehničke karakteristike:
- zidna nadgradna protupanična svjetiljka 
- kućište izrađeno od bijelog polikarbonata
- difuzor transparentni od polikarbonata
- svjetiljka s ugrađenom baterijom
- snaga LED izvora maksimalnolno 2 W
- vrijeme punjenja maksimalno 12 h
- tip baterije LiFePO 4 6,4 V 
- autonomija svjetiljke 3h
- svjetiljka u pripravnom spoju
- stupanj mehaničke zaštite minimalno IP65 IK08
- dozvoljena ambijentalna temperatura od 0 do +40 °C
- s autotest funkcijom
- ugrađen LED indikator prisutnosti mrežnog napajanja
- ugrađen LED indikator faze punjenja
- ENEC certificirana svjetiljka</t>
  </si>
  <si>
    <t>Dobava, postava i spajanje zidne nadgradne protupanične svjetiljke s printanim piktogramom "DOLJE". LED izvor svjetlosti, snaga izvora 2 W, autotest funkcija, stupanj mehaničke zaštite IP65IK08. Sa svim potrebnim priborom, priključnim materijalom i elementima. Oznaka u projektu "P1".
Tehničke karakteristike:
- zidna nadgradna protupanična svjetiljka s printanim piktogramom "DOLJE"
- kućište izrađeno od bijelog polikarbonata
- difuzor transparentni od polikarbonata
- svjetiljka s ugrađenom baterijom
- snaga LED izvora maksimalno 2 W
- vrijeme punjenja maksimalno 12 h
- tip baterije LiFePO 4 6,4 V 
- autonomija svjetiljke 3 h
- svjetiljka u trajnom spoju
- stupanj mehaničke zaštite minimalno IP65 IK08
- dozvoljena ambijentalna temperatura od 0 do +40 °C
- s autotest funkcijom
- ugrađen LED indikator prisutnosti mrežnog napajanja
- ugrađen LED indikator faze punjenja
- ENEC certifikat</t>
  </si>
  <si>
    <t>Dobava, postava i spajanje slijedećeg instalacionog materijala i pribora, bijele boje, modularne izvedbe, nuditi komplet sa montažnim kutijama:</t>
  </si>
  <si>
    <t>n/ž utičnica 1-F, sa zaštitnim kontaktom</t>
  </si>
  <si>
    <t>n/ž utičnica 3-F, sa zaštitnim poklopcem 16 A</t>
  </si>
  <si>
    <t>n/ž utičnica 3-F, sa zaštitnim poklopcem 32 A</t>
  </si>
  <si>
    <t>n/ž utičnica 3-F, sa zaštitnim poklopcem 16A IP55</t>
  </si>
  <si>
    <t>n/ž utičnica 3-F, sa zaštitnim poklopcem 32A IP55</t>
  </si>
  <si>
    <t>n/ž sklopka obična</t>
  </si>
  <si>
    <t>n/ž razvodna kutija</t>
  </si>
  <si>
    <t>tipkalo za isključenje napajanja u slučaju požara ili hitnosti</t>
  </si>
  <si>
    <t>Dobava i postava pocinčane kabelske instalacijske police PK-100 sa spojnicama, nosačima, poklopcima te s izradom horizontalnih i vertikalnih skretanja kutnim elementima i izjednačenjem potencijala, postava za jaku i slabu struju.</t>
  </si>
  <si>
    <t>Dobava, polaganje na OG obujmice odnosno uvlačenje u cijevi i spajanje vodiča za povezivanje raznih metalnih masa u cijelom prostoru. Prosječno se polaže:</t>
  </si>
  <si>
    <t>vodič P/F 6 mm2</t>
  </si>
  <si>
    <t>izrada spoja voda za uzemljenje i metalne mase vijkom i stopicom</t>
  </si>
  <si>
    <t>Spajanje strojarske i druge opreme: ventilokonvektora, pumpi, ventilatora</t>
  </si>
  <si>
    <t>ENERGETSKI RAZVOD</t>
  </si>
  <si>
    <t>2. Energetski razvod ukupno:</t>
  </si>
  <si>
    <t>3. Instalacije rasvjete, priključnica, te izvoda ukupno:</t>
  </si>
  <si>
    <t>INSTALACIJE RASVJETE, PRIKLJUČNICA, TE IZVODA</t>
  </si>
  <si>
    <t>INSTALACIJE STRUKTURNOG KABLIRANJA</t>
  </si>
  <si>
    <t>Dobava, postava i spajanje zidnog komunikacijskog ormara za ugradnju telekomunikacijske i informatičke opreme, oznake "BD", visine 18 U, dimenzija 900×600×600 mm</t>
  </si>
  <si>
    <t>Dobava, postava i spajanje kabela F/FTP 4×2×AWG23, kategorije 6, 350MHz.</t>
  </si>
  <si>
    <t>Dobava, postava i spajanje savitljive PVC cijevi promjera 20 mm, komplet sa dubljenjem zidova.</t>
  </si>
  <si>
    <t>Spajanje kabela tip F/FTP 4×2×AWG23 na prespojni panel u komunikacijskom ormaru.</t>
  </si>
  <si>
    <t>4. Instalacije strukturnog kabliranja ukupno:</t>
  </si>
  <si>
    <t>ANTENSKI SUSTAV</t>
  </si>
  <si>
    <t>Dobava, postava i spajanje elemenata na antenski stup uključivo dobava stupa i pričvrsnog materijala: kom 1
UHF antena C/21-69, 12 dB, kom 1</t>
  </si>
  <si>
    <t>Dobava, polaganje po kabelskim trasama slabe struje, uvlačenje u instalacijske PVC cijevi i spajanje koaksijalnog kabela RG59 75 Ω.</t>
  </si>
  <si>
    <t>Dobava, postava i spajanje antenske utičnice TV/FM, završna, 75 Ω, ulaz koaksijalni kabel, izlazi IEC TV (M) i FM (Ž), frekv. opseg 47–862 MHz, slabljenje ≤ 1 dB, montaža u Ø 60 mm kutiju.</t>
  </si>
  <si>
    <t>5. Antenski sustav ukupno:</t>
  </si>
  <si>
    <t>GROMOBRANSKI SUSTAV</t>
  </si>
  <si>
    <t xml:space="preserve">Iskop i zatrpavanje rova uz objekt dubine 1 m i širine 0,5 m za polaganje temeljnog uzemljivača duljine 110 m'. </t>
  </si>
  <si>
    <t>Dobava, postava i spajanje inoks štitnika za gromobranski odvod od zemlje do mjernog spoja.</t>
  </si>
  <si>
    <t>Dobava postava i spajanje u rov inoks trake za uzemljivač dimenzija 30×3,5mm te postava inoks trake od mjernog spoja do uzemljivača.</t>
  </si>
  <si>
    <t>Dobava, postava i spajanje profila Al fi 10 mm, komplet sa nosačima za spusne vodove.</t>
  </si>
  <si>
    <t>Dobava, postava i spajnje profila Al fi 10 mm po krovu, komplet sa nosačima.</t>
  </si>
  <si>
    <t>Dobava i spajanje križne spojnice.</t>
  </si>
  <si>
    <t>Izrada mjernog spoja na fasadi.</t>
  </si>
  <si>
    <t>6. Gromobranski sustav ukupno:</t>
  </si>
  <si>
    <t>DISTRIBUTIVNA TELEKOMUNIKACIJSKA KANALIZACIJA - DTK</t>
  </si>
  <si>
    <t xml:space="preserve">Iskop zemlje C kategorije za rov širine 50 cm i dubine 100 cm za polaganje energetskih kabela ili cijevi za DTK (ukupna duljina trase iznosi  980 m za DTK i energetske kabele). </t>
  </si>
  <si>
    <t>Čišćenje i planiranje dna rova u zemlji C kategorije.</t>
  </si>
  <si>
    <t>Dobava pijeska i izrada podloge za polaganje cijevi ili kabela u dnu rova, debljine 5 cm ispod i iznad kabela ili cijevi.</t>
  </si>
  <si>
    <t>Dobava i postava češljeva.</t>
  </si>
  <si>
    <t>Dobava i polaganje PEHD – polietilenske dvostijene valovite cijevi cijevi promjera 110 mm.</t>
  </si>
  <si>
    <t>Dobava i polaganje PEHD – polietilenske dvostijene valovite cijevi cijevi promjera 50 mm.</t>
  </si>
  <si>
    <t>7.7.</t>
  </si>
  <si>
    <t>Zatrpavanje rova iznad cijevi iskopanim materijalom visine 30 cm u slojevima vibropločom, uključujući i dobavu, te polaganje zaštitne trake.</t>
  </si>
  <si>
    <t>7.8.</t>
  </si>
  <si>
    <t>Iskop zemlje C kategorije za zdenac tipa MZ D1.</t>
  </si>
  <si>
    <t>7.9.</t>
  </si>
  <si>
    <t>Iskop zemlje C kategorije za zdenac tipa MZ D0.</t>
  </si>
  <si>
    <t>7.10.</t>
  </si>
  <si>
    <t>Dobava i planiranje pijeska u sloju od 10 cm po dnu rova za zdenac.</t>
  </si>
  <si>
    <t>7.11.</t>
  </si>
  <si>
    <t xml:space="preserve">Dobava i postava montažnog zdenca tipa MZ D1, komplet s uvodnim G i S pločama, te poklopcem 125 kN. U stavku ulazi:
- postava zdenca uz pomoć autodizalice
- zatrpavanje oko zdenca
- postava uvodnih ploča i poklopca
Obračun po komadu. </t>
  </si>
  <si>
    <t>7.12.</t>
  </si>
  <si>
    <t xml:space="preserve">Dobava i postava montažnog zdenca tipa MZ D0, komplet s uvodnim G i S pločama, te poklopcem 125 kN. U stavku ulazi:
- postava zdenca uz pomoć autodizalice
- zatrpavanje oko zdenca
- postava uvodnih ploča i poklopca
Obračun po komadu. </t>
  </si>
  <si>
    <t>7.13.</t>
  </si>
  <si>
    <t>Ostalo:
- spojnice cijevi
- ljepilo
- sredstvo za čišćenje gumene brtve
- klizno sredstvo
- ostali građevinski materijal
Obračun po kompletu.</t>
  </si>
  <si>
    <t>7.14.</t>
  </si>
  <si>
    <t>Odvoz preostalog materijala od iskopa nakon zatrpavanja rova na deponiju određenu od nadležne službe. U cijenu je uračunat utovar, istovar, grubo razastiranje te čekanje radnika i kamiona. Obračun po m3 zemlje u rastresitom stanju.</t>
  </si>
  <si>
    <t>7. DTK ukupno:</t>
  </si>
  <si>
    <t>ODIMLJAVANJE</t>
  </si>
  <si>
    <t>Dobava, postava i spajanje - sustav za otvaranje prozora zaokretno prema unutra. Uključen okov za ugradnju motora i mehaničko zaključavanje prozora, te elektromotor, 24V DC,EV1. Za instalaciju motora osigurati min. 50 mm na okviru i 40 mm krilu prozora. Isporučiti sa opremom za mehaničko zaključavanje elektromotora - Šipka 12 mm, pocinčana, dužine 2000 mm sa pokrovnim profilom, L=2000 mm, EV1.</t>
  </si>
  <si>
    <t>Dobava, postava i spajanje - Centrala za odimljavanje, VdS, 240 W, interni kapacitet 12 Ah, BUS komunikacija, mogučnost grupiranja motora u 1 grupu, napajanje centrale 230 V, izlaz za komponente 24 V, osigurana autonomija 72 h. U skladu sa EN 12101-10 ili jednakovrijedno.
Mogućnost podešavanja funkcija  softverom. 
Mogućnost za 8 dodatnih modula
Mogućnost nadogradnje sa IO420 za spajanje na CNUS putem BACnet-a. 
Osigurati beznaponski kontakt centralnog požarnog sustava za automatsku aktivaciju.</t>
  </si>
  <si>
    <t>Dobava, postava i spajanje - Centrala za odimljavanje, VdS, 240 W, interni kapacitet 7 Ah, BUS komunikacija, mogućnost grupiranja motora u 1 grupu, napajanje centrale 230 V, izlaz za komponente 24 V, osigurana autonomija 72 h. U skladu sa EN 12101-10 ili jednakovrijedno.
Mogućnost podešavanja funkcija softverom. 
Mogućnost nadogradnje sa IO420 za spajanje na CNUS putem BACnet-a. 
Osigurati beznaponski kontakt centralnog požarnog sustava za automatsku aktivaciju.</t>
  </si>
  <si>
    <t>Dobava, postava i spajanje DM modula za dodatne grupe/izlaze elektromotora kapaciteta 10 A.</t>
  </si>
  <si>
    <t>Dobava, postava i spajanje CAN modula za povezivanje centrala.</t>
  </si>
  <si>
    <t>Dobava, postava i spajanje - Ručni javljač / tipkalo, 24V DC, VdS, RAL 2011 orange
- za ručnu aktivaciju sustava
- LED prikaz stanja sustava (alarm/otvoreno/stanje pripravnosti/greška)
- mogućnost resetiranja sustava unutar javljača
- isporuka u metalnom kućištu sa ključem</t>
  </si>
  <si>
    <t>Dobava, postava i spajanje prekidača za provjetravanje, funkcije otvori/zatvori, s LED signalizacijom i membranskom tipkovnicom.</t>
  </si>
  <si>
    <t>Dobava, postava i spajanje nadžbukne kutije za prekidač.</t>
  </si>
  <si>
    <t>Dobava, postava i spajanje - Vremenska stanica kiša/vjetar sa senzorima.</t>
  </si>
  <si>
    <t>Programiranje i puštanje u rad centrale za odimljavanje.</t>
  </si>
  <si>
    <t>8.12.</t>
  </si>
  <si>
    <t>8.13.</t>
  </si>
  <si>
    <t>Dobava, postava i spajanje kabela NHXH 3×1,5 mm2.</t>
  </si>
  <si>
    <t>Dobava, postava i spajanje kabela NHXH 3×2,5 mm2.</t>
  </si>
  <si>
    <t>8.14.</t>
  </si>
  <si>
    <t>Dobava, postava i spajanje kabela NHXH E30 3×6 mm2.</t>
  </si>
  <si>
    <t>8.15.</t>
  </si>
  <si>
    <t>8.16.</t>
  </si>
  <si>
    <t>Dobava, postava i spajanje kabela NHXH E30 2×2×0,8 mm.</t>
  </si>
  <si>
    <t>Dobava, postava i spajanje kabela NHXH E30 4×2×0,8 mm.</t>
  </si>
  <si>
    <t>8.17.</t>
  </si>
  <si>
    <t>Dobava, postava i spajanje kabela J-H(St)H 4×2×0,8 mm.</t>
  </si>
  <si>
    <t>Dobava, postava i spajanje kabela J-H(St)Y 2×2×0,8 mm.</t>
  </si>
  <si>
    <t>8. Odimljavanje ukupno:</t>
  </si>
  <si>
    <t>VATRODOJAVA</t>
  </si>
  <si>
    <t>Dobava, postava i spajanje modularne, inteligentne hibridne centrale za dojavu požara s hochiki protokolom minimalno sljedećih karakteristika:
- Broj petlji: 1
- Upravljačka ploča na hrvatskom jeziku 
- LCD zaslon za prikaz svih događaja 240×64 pix
- Memorija za pamćenje zadnjih 3000 događaja
- Relejni izlazi: Max. 30 V DC / 1A
- Nadzirani izlazi: 2×24 V DC / 500 mA
- PSU 24V / 2,5A
- 250 programskih zona
- 2 programibilne tipke
- Stupanj zaštite: IP 30
- Kućište centrale tip A za baterije do 12Ah/24V</t>
  </si>
  <si>
    <t>Dobava i ugradnja kućišta centrale  (370×320×128 mm).</t>
  </si>
  <si>
    <t xml:space="preserve">Dobava, postava i spajanje akumulatorske baterije 12V/12 Ah za osiguranje potrebne autonomije centrale za dojavu požara. </t>
  </si>
  <si>
    <t>Dobava, postava i spajanje protupožarnog ormarića za ugradnju vatrodojavne centrale:        
- Sa ugrađenim zaokretnim djelomično ostakljenim vratima, u klasi E- 60'  
- Ostakljenje vrata izvodi se sa pp staklom u klasi E-60',debljine 21 mm
- Izrada od čeličnog pocinčanog lima                                                             
- Ugrađene protupožarne ventilacijske rešetke u plašt ormarića (2 kom)
- Završna obrada plastifikacija u RAL 9010
- Veličina ormarića (Š×V×D) 90×80×35 cm
- Ugradnja na zid od cigle ili AB zid
- Instalacija podžbukna</t>
  </si>
  <si>
    <t>Dobava, postava i spajanje izdvojenog signalnog i upravljačkog panela centrale LCD Repeatera, minimalno sljedećih karakteristika:
- veliki LCD display za prikaz svih događaja
- napajanje: 24V DC (sa centrale za dojavu požara)
- ugrađeni buzzer
- replicira sve događaje sa centrale za dojavu požara
- serijski spoj - 2 žice 
- ključ za upravljanje</t>
  </si>
  <si>
    <t>Dobava, postava i spajanje analogno-adresabilnog automatskog optičkog javljača požara, minimalno sljedećih karakteristika:
- visokopreformansna tehnologija detekcijske komore
- LED koji omogućuje pregled od 360° uslijed požara
- mehanizam zaključavanja (detektor za podnožje)
- promjenjiva osjetljivost
- elektroničko adresiranje</t>
  </si>
  <si>
    <t>Dobava, postava i spajanje adresabilnog ručnog javljača požara, minimalno sljedećih karakteristika:
- Indirektan način aktiviranja
- Zaključavajući mehanizam
- Za unutarnju ugradnju
- Podžbukna ugradnja
- Ugrađen izolator petlje
- Ugrađen LED indikator
- Crvene boje</t>
  </si>
  <si>
    <t>Dobava, postava i spajanje kutijice za montažu ručnih javljača.</t>
  </si>
  <si>
    <t>Dobava, postava i spajanje zaštitnih poklopaca za ugradnju na ručne javljače požara.</t>
  </si>
  <si>
    <t>Dobava, postava i spajanje analogno-adresabilnog automatskog optičko-termičkog javljača požara, minimalno - tri režima detekcije požara, i to otkrivanje pomoću optičkog elementa, otkrivanje pomoću termičkog elementa ili režim detekcije požara sa istovremeno aktivnim optičkim i termičkim elementom. 
- LED koji omogućuje pregled od 360° uslijed požara
- Mehanizam zaključavanja (detektor za podnožje)
- Ugrađeni optički i termički element
- Način rada prema odabiru
- Promjenjiva osjetljivost
- Elektroničko adresiranje</t>
  </si>
  <si>
    <t>Dobava, postava i spajanje adresabilnog nadzorno-upravljačkog modula, minimalno sljedećih karakteristika:
- 2 nadzirana programabilna beznaponska ulaza
- Konfiguracija ulaza NC ili NO kontakt
- Napajanje iz petlje
- Samostalna adresa</t>
  </si>
  <si>
    <t>Dobava, postava i spajanje adresabilne alarmne sirene s bljeskalicom napajane iz petlje za unutarnju ugradnju, minimalno sljedećih karakteristika:
- Izlazna snaga od 90 ~ 102 dB(A) 
- 51 ton (svi tonovi u skladu s EN54-3)
- Napaja se iz petlje
- Automatsko isključivanje-značajka sprječava zagađenje bukom
- Montira se na standardno podnožje
- LED bljeskalica, crvene boje
- Za unutarnju montažu, IP 21
- Usklađeno sa EN54-23</t>
  </si>
  <si>
    <t>Dobava, postava i spajanje alarmne sirene s bljeskalicom napajane sa centrale za vanjsku ugradnju minimalno sljedećih karakteristika:
- izlazna snaga 100 dB
- 32 različita tona
- LED bljeskalica, crvene boje
- za vanjsku zidnu montažu, IP 66
- izrađena od vatrootporne plastike crvene boje</t>
  </si>
  <si>
    <t>Dobava, postava i spajanje podnožja za ugradnju automatskih adresabilnih javljača požara i adresabilnih sirena.</t>
  </si>
  <si>
    <t>Dobava, postava i spajanje IP/GPRS (EN 54-21) komunikatora za dojavni vatrogasni centar sa glavnom i pomoćnom dojavnom linijom, odgovarajućeg protokola za povezivanje na dojavni centar. Komunikator treba imati 2 programabilna ulaza/izlaza za prijenos informacije ALARM i GREŠKA. minimalno sljedećih karakteristika:
- 6 NO/NC (programibilnih) kontaktnih ulaza
- 6 NO  relejnih izlaza
- 1 RS232 ulaz
- 1 Ethernet konektor
- 1 USB host
- 4G modem
- Fiksni internet / 4G- IP komunikacija
- Komunikacijski protokoli: SIA DC-09, TELLMon, TEX
- VoIP glasovni poziv i SMS obavijest
- E-mail obavijest
- CE deklaracija, sukladan normi HRN EN 54-21 ili jednakovrijednoj</t>
  </si>
  <si>
    <t>Dobava, postava i spajanje vatrodojavnog instalacijskog kabela JB-H(St)H 2×2×0,8 mm                                                                
- crvene boje
- samogasiva PVC izolacija
- bezhalogeni, malodimni</t>
  </si>
  <si>
    <t>Dobava, postava i spajanje sa polaganjem instalacijskog vatrodojavnog kabela s poboljšanim svojstvima za slučaju požara
JEB-H(St)H FE180 E30 2×2×0,8 mm                                                                                                         
- crvene boje
- samogasiva PVC izolacija
- bezhalogeni, malodimni 
- očuvanje električne funkcije sustava u požaru u trajanju od 30 minuta</t>
  </si>
  <si>
    <t>9.18.</t>
  </si>
  <si>
    <t>Dobava, postava i spajanje elektroničkog fleksibilnog kabela Li2YCY (TP) 4×2×0,34 mm².</t>
  </si>
  <si>
    <t>9.19.</t>
  </si>
  <si>
    <t>Dobava i isporuka sa ugradnjom PNT cijevi Ø 20/25 mm uključujući potrebni instalacijski spojni i montažni pribor i materijal (tiple, vijci, koljena, obujmice i vezice), sve komplet.</t>
  </si>
  <si>
    <t>9.20.</t>
  </si>
  <si>
    <t>Dobava i isporuka sa ugradnjom rebraste CS cijevi Ø 20/25 mm uključujući potrebni instalacijski spojni i montažni pribor i materijal (gips, čavle, obujmice i vezice), sve komplet.</t>
  </si>
  <si>
    <t>9.21.</t>
  </si>
  <si>
    <t>Dobava i postava naljepnica za označavenje elemenata sustava za dojavu požara za cijeli objekt.</t>
  </si>
  <si>
    <t>9.22.</t>
  </si>
  <si>
    <t>Programiranje i parametriranje vatrodojavne centrale i unošenje podataka sa usklađivanjem izvršnih funkcija sustava.</t>
  </si>
  <si>
    <t>9.23.</t>
  </si>
  <si>
    <t>Ispitivanje funkcionalnosti sustava za dojavu i gašenje požara od strane ovlaštene tvrtke i izdavanje uvjerenja.</t>
  </si>
  <si>
    <t>9.24.</t>
  </si>
  <si>
    <t>Obuka korisnika za rad sa sustavom dostavu uputstva na hrvatskom jeziku.</t>
  </si>
  <si>
    <t>9.25.</t>
  </si>
  <si>
    <t>Primopredaja sustava za dojavu požara investitoru, predaja tehničke dokumentacije, certifikata ugrađene opreme, programske dokumentacije te projekta izvedenog stanja u 3 papirnata primjerka i u digitalnom obliku izrađeno od ovlaštenog inženjera elektrotehnike.</t>
  </si>
  <si>
    <t>9. Vatrodojava ukupno:</t>
  </si>
  <si>
    <t>OSTALO</t>
  </si>
  <si>
    <t>Ispitivanje električne instalacije jake i slabe struje te gromobrana, provesti sva ispitivanja koja su potrebna za tehnički prtegled građevine te izrada iprava o navedenim ispitivanjima električne instalacije.</t>
  </si>
  <si>
    <t>Unošenje svih eventualnih izmjena i dopuna tokom izvedbe u projektnu dokumentaciju, te predaja investitoru projekta izvedenog stanja u tri papirnata i jedan primjerak u digitalnom obliku na CD-u.</t>
  </si>
  <si>
    <t>10. Ostalo ukupno:</t>
  </si>
  <si>
    <t>ELEKTROTEHNIČKI RADOVI</t>
  </si>
  <si>
    <t>ELEKTROTEHNIČKI RADOVI - R E K A P I T U L A C I J A</t>
  </si>
  <si>
    <t>C. ELEKTROTEHNIČKI RADOVI UKUPNO:</t>
  </si>
  <si>
    <t>STROJARSKI RADOVI</t>
  </si>
  <si>
    <t>Dobava i ugradnja:
DVM S2 vanjska jedinica u izvedbi dizalice topline zrak/zrak, odnosno zrak/voda u ovisnosti o tipu priključenih unutarnjih jedinica. Kod jedinica iz više modula osiguran je parcijalni defrost, a samim time i kontinuirano grijanje za vrijeme defrosta. 
Simultana i automatska promjena temperature isparavanja radnog medija prema temperaturi okoliša omogućuje dodatne uštede energije i veći komfor zbog viših temperatura istrujanog zraka. Jedinica je opremljena sa pločastim izmjenjivačem topline [intercooler] koji omogućuje značajno poboljšanje efikasnosti kako u hlađenju tako i u grijanju. Uređaj je opremljen s "pump out/down" funkcijom koja omogućuje jednostavno servisiranje pojedinih dijelova sustava. Uređaji su EUROVENT certificirani. 
Maksimalno dozvoljena udaljenosti: ukupno cijevni razvod do 1000 metara; najudaljenija dionica cjevovoda je 220 m; visinska razlika između vanjske i unutarnje jedinice iznosi 110 m, visinska razlika između pojedinih unutarnjih jedinica iznosi 50 m. 
Konstrukcija: Jedinice su modularne izvedbe sa osnovnim nosivim okvirom i galvaniziranim čeličnim panelima sa odgovarajućom zaštitom za vanjsku i unutarnju ugradnju. Do veličine 26HP jedinice mogu biti u izvedbi 1 modula, dok su veće sastavljene od dva, ili tri modula. Jedinica se standardno isporučuje sa zaštitnom mrežom izmjenjivača. Ventilatori su niskošumne izvedbe s DC kontinuiranom regulacijom brzine vrtnje. Raspoloživi eksterni statički tlak ventilatora je 110 Pa. Svi kompresori u uređaju su inverterski, zvučno izolirani SSC-tip hermetički scroll izvedbe s radnim područjem 15-150 Hz.</t>
  </si>
  <si>
    <t>Za vanjsku jedinicu potrebno je izraditi postolje minimalne visine 30cm od kote ravnog terena. 
Jedinica je sastavljena iz jednog modula sljedećih tehničkih karakteristika: 
- Qh ukupno = 28,0 kW
- Priključna snaga: N ukupno = 8,18 kW / 380 - 415 V - 50 Hz
- EER: 3,4 (100% opterećenja)
- Tv = 35°C ST
- Tp = 27°C ST, 46%RH
- SEER: 6,20
- Qg ukupno = 31,5 kW
- N ukupno = 7,79 kW / 380 - 415 V - 50 Hz
- COP: 4,0 (100% opterećenja)
- Tv= 7°C ST
- Tp = 20°C ST
- SCOP: 4,20
- Raspoloživi kapacitet @ Tok = -15 °C
- Qg ukupno = 30,00 kW
- Radno područje (hlađenje): od -5° do 50 °C
- Radno područje (grijanje): od -25° do 24 °C
- Nivo zvučnog tlaka (hlađenje): 56 dB(A) na udaljenosti 1m od jedinice
- Nivo zvučnog tlaka (grijanje): 60 dB(A) na udaljenosti 1m od jedinice
Dozvoljeno je odstupanje tehničkim karakteritika proizvod  od projektnih parametara ±5%.
U cijenu uključiti sav potreban spojni i montažni materijal.</t>
  </si>
  <si>
    <t>Dobava i ugradnja:
Unutarnja jedinica DVM S sustava kanalne izvedbe bez maske predviđena za montažu u spušteni strop, opremljena ventilatorom s BLDC motorom, izmjenjivačem topline s direktnom ekspanzijom freona, elektronskim ekspanzijskim ventilom, te svim potrebnim elementima za zaštitu, kontrolu i regulaciju uređaja i temperature.</t>
  </si>
  <si>
    <t>Tehničke karakteristike unutarnje jedinice:
- Rashladni učinak Qh: 7,1 kW
- N = 120 W
- Ogrijevni učinak Qg:  8 kW
- N = 120 W
- Eksterni raspoloživi pad tlaka na zračnoj strani: 0 /29,42/196,13 Pa
- Priključak R410A: tekuća faza: 9,52 mm
- Priključak R410A: plinovita faza: 15,88 mm
- medij:  R-410A
- Nivo zvučnog tlaka: 32/29/26 dB(A)
- Nivo zvučne snage: 58 dB(A)
Dozvoljeno je odstupanje tehničkim karakteritika proizvod  od projektnih parametara ±5%.
U cijenu uključiti sav potreban spojni i montažni materijal.</t>
  </si>
  <si>
    <t>Tehničke karakteristike unutarnje jedinice:
- Rashladni učinak Qh: 11,2 kW
- N = 130 W
- Ogrijevni učinak Qg: 12,50 kW
- N = 130 W
- Eksterni raspoloživi pad tlaka na zračnoj strani: 29,42/60,8/196,13 Pa
- Priključak R410A: tekuća faza: 9,52 mm
- Priključak R410A: plinovita faza: 15,88 mm
- medij:  R-410A
- Nivo zvučnog tlaka: 36/33/30 dB(A)
- Nivo zvučne snage: 61 dB(A)
Dozvoljeno je odstupanje tehničkim karakteritika proizvod  od projektnih parametara ±5%.
U cijenu uključiti sav potreban spojni i montažni materijal.</t>
  </si>
  <si>
    <t>Dobava i ugradnja:
Žičani  elektronski prostorni regulator s LCD zaslonom, pozadinskim osvjetljenjem i programskim satom za upravljanje i kontrolu do 16 unutarnjih  jedinica.
Funkcije: on/off, tihi način rada, sleep mode, dodavanje rasporeda rada uređaja, postavke temperature, odabir načina rada, postavke brzine ventilatora i pozicije lamela, pojedinačno podešavanje za jedinice u grupi, signalizacija greške, signalizacija zaprljanosti filtera.
Zajedno sa potrebnim spojnim i montažnim materijalom do potpune funkcionalnosti uređaja i sustava.</t>
  </si>
  <si>
    <t>Dobava i ugradnja:
Izolirani bakreni spojni elementi za razvod medija R-32 ili jednakovrijednog za plinsku i tekuću fazu, uključivo redukcije (2 komada po kompletu: plinska + tekuća faza. 
Y-Račve za dvocijevni sustav. 
Zajedno sa potrebnim spojnim i montažnim materijalom do potpune funkcionalnosti uređaja i sustava.</t>
  </si>
  <si>
    <t>Dobava i montaža:
Bakrenih cijevi u kolutu ili šipci za freonsku instalaciju plinske i tekuće faze namjenjene za rashladni medij. Zajedno sa potrebnim spojnim i montažnim materijalom do potpune funkcionalnosti.</t>
  </si>
  <si>
    <t>Φ 9,5 mm</t>
  </si>
  <si>
    <t>Φ 15,9 mm</t>
  </si>
  <si>
    <t>Φ 22,2 mm</t>
  </si>
  <si>
    <t>Dobava  rashladnog medija za punjenje VRF sustava.</t>
  </si>
  <si>
    <t>Dobava i montaža:
BUS komunikacijska veza između vanjske jedinice, unutarnjih jedinica, upravljača i  VRF sustava  - izvode se dvožilnim oklopljenim kablom LIYCY 2×0,75 mm2  ili jednakovrijedno uključivo  kabliranje, kablove, spajanje i provjeru. Izvodi izvođač strojarskih instalacija.</t>
  </si>
  <si>
    <t>Puštanje u pogon VRF sustava uključivo provjeru nepropusnosti freonske instalacije, vakumiranje i punjenje od strane ovlaštenog servisa uz izdavanje potrebnih uputa za korištenje, atesta i garancija. Puštanje u pogon ne sadrži spajanje cijevi i struje kao niti radnu tvar.</t>
  </si>
  <si>
    <t>Ispuhivanje cijevnog razvoda te tlačna proba sa N2 (dušik) na 33 bara u trajanju 24 sati, vakumiranje cijevnog razvod.</t>
  </si>
  <si>
    <t>Oslonci, konzole, ovjesi i ostali pribor za vođenje, oslanjanje i ovješenje cjevovoda izrađeni iz tipskih elemenata,prema prethodnoj razradi i detaljnoj specifikaciji izrađenoj od strane proizvođača, što je uključeno u stavku. Kompletan materijal iz ove stavke isporučuje se na gradilište pocinčan radi zaštite od korozije.</t>
  </si>
  <si>
    <t>Dobava i ugradnja:
Poliamidnog perforiranog kanala za distribuciju zraka – fleksibilni tekstilni (poliamidni) kanal promjera Ø250 mm, predviđen za protok zraka od cca 2.000 m³/h. Kanal je perforiran i projektiran tako da osigurava ravnomjernu i udobnu distribuciju zraka u prostoru, s dometom struje zraka do 4 m. Isporuka uključuje završne elemente, ovjese/nosače i sav potreban montažni pribor, kao i kompletnu ugradnju i prilagodbu sustavu ventilacije.</t>
  </si>
  <si>
    <t>Sitni potrošni materijal potreban za izvođenje instalacije.</t>
  </si>
  <si>
    <t>Sanacija oštećenih površina nastalih prilikom izvođenja instalacije.</t>
  </si>
  <si>
    <t>Ispitivanje ljetne i zimske mikroklime te izdavanje Uvjerenja od strane ovlaštene ustanove za ispitivanje radnog okoliša. Ispitivanja se vrše kad se steknu vanjski uvjeti za izvođenje istih (ljeto odnosno zima).</t>
  </si>
  <si>
    <t>Pripremno - završni radovi uključivo upoznavanje sa objektom, kontakti sa nadzornom službom, usklađivanje sa ostalim sudionicima u gradnji o položaju elemenata sistema, te vođenje dokumentacije gradilišta.</t>
  </si>
  <si>
    <t>Primopredaja izvedenih radova, izrada uputa za rad i održavanje, obuka korisnika, izrada shema izvedenog stanja, signalno obilježavanje vodova i opreme, te potrebni natpisi upozorenja i obavještenja.</t>
  </si>
  <si>
    <t xml:space="preserve">2. Ostali radovi ukupno: </t>
  </si>
  <si>
    <t>STROJARSKI RADOVI - R E K A P I T U L A C I J A</t>
  </si>
  <si>
    <t>D. STROJARSKI RADOVI UKUPNO:</t>
  </si>
  <si>
    <t>Cijena za sve stavke (bez obzira što je eventualno samom stavkom drugačije opisano) mora uključivati: dobavu materijala, transport, montažu (ugradnju) sa svim materijalom i pomoćnim materijalom, radom i horizontalnim i vertikalnim transportom na gradilištu potrebne za dovršenje radova do potpune funkcionalne ili estetske gotovosti.</t>
  </si>
  <si>
    <t>Cijena izvođenja betonskih i čeličnih konstrukcija mora obuhvatiti i razrede izloženosti konstrukcija koji se mogu pojaviti unutar teritorija Republike Hrvatske. Sva demontirana oprema i svi dijelovi konstrukcije i otpad nastao uklanjanjem građevina ili dijelova građevina se zbrinjava sukladno važećim propisima Republike Hrvatske. Sav materijal, opremu i uređaje kod dopreme na gradilište, a prije ugradnje, izvođač je dužan upisati u dnevnik građenja, te nadzornom organu dostaviti ateste i uvjerenja o kvaliteti, kao i garancijske listove i tehničku dokumentaciju sa podacima o uređajima i opremi. Bez istog materijali, oprema i uređaji ne smiju biti ugrađeni.</t>
  </si>
  <si>
    <t>Sav demontirani i porušeni materijal zbrinuti kako je propisano prostornim planom, zakonima i pravilnicima o otpadu, a troškove obuhvatiti jediničnom cijenom jer se nikakvi troškovi odvoza, sortiranja i zbrinjavanja neće posebno priznavati. Ovi troškovi naznačit će se opisom - uključivo odvoz i gospodarenje otpadom.</t>
  </si>
  <si>
    <t>Gospodarenje otpadom obaveza je izvođača i potrebno ga je riješiti u skladu s Prostornim planom uređenja, Planom gospodarenja otpadom, Zakonom o otpadu i Pravilnikom o gospodarenju građevnim otpadom te ostalim važećim propisima.</t>
  </si>
  <si>
    <t>Radovi se  izvode u svemu prema projektu i detaljima projektanta, a sve radnje vezano za stabilnost konstrukcije potrebno je usaglasiti s nadzornim inženjerom nakon provjere postojećeg stanja.</t>
  </si>
  <si>
    <t>Kako bi građevina bila pristupačna osobama s invaliditetom i smanjene pokretljivosti te omogućavala sigurnu evakuaciju unutar predviđenog vremena, pojedini otvori vrata moraju imati, ovisno o poziciji i namjeni prostora, propisanu minimalnu svijetlu dimenziju otvora koja iznosi 90/100/110×208 cm.</t>
  </si>
  <si>
    <t>Prije prilagodbe postojećih otvora i izvedbe novih otvora, Izvođač mora uskladiti potrebne dimenzije građevinskih otvora sa dimenzijama dovratnika Proizvođača bravarije/stolarije.</t>
  </si>
  <si>
    <t>Napomena se odnosi na SVE stavke troškovnika.
Troškovnik zajedno s grafičkim dijelom projekta su jedna cjelina i nije ih moguća različito interpretirati. Sve stavke izvesti do potpune funkcionalne gotovosti bez obzira na opis! Sve mjere kontrolirati u naravi!</t>
  </si>
  <si>
    <t>INSTALACIJE VODOVODA I ODVODNJE</t>
  </si>
  <si>
    <t>U stavkama troškovnika potrebno je uračunati sav potrebni rad i materijal za izradu kompletne instalacije do potpune funkcionalnosti, svi potrebni prijevozi, uskladištenja, skele te unutarnje i vanjske komunikacije na gradilištu. Sve eventualne promjene i odstupanja od projekta, potrebno je usuglasiti sa projektantom i nadzornim inženjerom.</t>
  </si>
  <si>
    <t>Cijena za svaku točku ovog troškovnika mora obuhvatiti dobavu, spajanje, te dovođenje stavke u stanje potpune funkcionalnosti.</t>
  </si>
  <si>
    <t>U cijenu treba ukalkulirati sav potreban spojni, montažni, pridržni i ostali materijal potreban za potpuno funkcioniranje pojedine stavke.</t>
  </si>
  <si>
    <t>Prilikom izrade ponude treba imati u vidu najnovije važeće propise za pojedine vrste instalacije.</t>
  </si>
  <si>
    <t>Za sve eventualne primjedbe u pogledu izvođenja i troškovnika, prije davanja ponude, obratiti se projektantu.</t>
  </si>
  <si>
    <t>Potvrdu narudžbe prije definitivne isporuke specificirane opreme izvođač radova obavezno je dužan provjeriti kod projektanta. Izmjena pojedinih dijelova opreme “zamjenskim dijelovima” bez prethodne pismene suglasnosti projektanta isključuje odgovornost projektanta za predviđenu funkcionalnost postrojenja.</t>
  </si>
  <si>
    <t>Svi ponuđači dužni su kompletan opseg vlastite isporuke uskladiti s traženom kompletnom funkcijom, respektirajući pri tom sve predviđene i tražene parametre, uz čvrste, pismeno potvrđene garancije. Sva eventualna potrebna razrađivanja, usklađenja i slično, u opsegu su dotične isporuke, a sve pripadne troškove snosi ponuđač.</t>
  </si>
  <si>
    <t>Izvođač je dužan prijenos, ugradnju i svu građevinsku pripomoć izvesti o svom trošku, te sve te radove nuditi u jediničnim cijenama ovog troškovnika.</t>
  </si>
  <si>
    <t>Cijena za svaku točku ovog troškovnika mora obuhvatiti dobavu, montažu, spajanje, uzemljenje, te dovođenje u stanje potpune funkcionalnosti.</t>
  </si>
  <si>
    <t>U cijenu također ukalkulirati sav potreban spojni, montažni, pridržni i ostali materijal potreban za potpuno funkcioniranje.</t>
  </si>
  <si>
    <t>Izvođač radova mora  sa ostalim izvođačima i nadzorom uskladiti redosljed  izvođenja kako ne bi došlo do preklapanja s ostalim trasama. Sva takva nekoordinirana preklapanja izvođač je dužan o svom trošku otkloniti.</t>
  </si>
  <si>
    <t>OBUHVATITI U STAVKAMA STOLARSKIH RADOVA 8.1. a) do e)</t>
  </si>
  <si>
    <t>Dobava, postava i spajanje razdjelnika RS2, nadgradni modularni razdjelnik,  u zaštiti IP44, izrađen od  čeličnog lima, obojen temeljnom i lak bojom. Razvodni ormar je ukupnih dimenzija minimalno (š×v×d) 600×800×200 mm, kom 1
Ormar sadrži slijedeću opremu:
- tropolni kompaktni niskonaponski prekidač 100A, 25kA, kom 1
- četveropolni katodni odvodnik prenapona, kom 1
- ZUDS 50/0,03A, kom 2
- ZUDS 125/0,03A, kom 1
- automatski prekidač B6A, kom 1
- automatski prekidač B10A, kom 10
- automatski prekidač B16A, kom 11
- automatski prekidač B16A 3P, kom 4
- automatski prekidač B32A 3P, kom 4
- automatski prekidač B50A 3P, kom 2
- automatski prekidač B125A 3P, kom 1
- luksomat, kom 1
- grebenasta sklopka 10A, 230V, 1-0-2, kom 1
- grebenasta sklopka 10A, 400V, 1-0-2, kom 1
- sklopnik 400V, 10A, kom 1
- sklopnik 230V, 10A, kom 1
Ugradnja elemenata, sabirnice i nosači sabirnica, ožičenje, označavanje, funkcionalno ispitivanje prije isporuke, atesti, ispitni protokol, korisnička dokumentacija, komplet 1</t>
  </si>
  <si>
    <t>4. Gromobranski sustav ukupno:</t>
  </si>
  <si>
    <t>5.14.</t>
  </si>
  <si>
    <t>5.15.</t>
  </si>
  <si>
    <t>5.16.</t>
  </si>
  <si>
    <t>5.17.</t>
  </si>
  <si>
    <t>5. Odimljavanje ukupno:</t>
  </si>
  <si>
    <t>6.14.</t>
  </si>
  <si>
    <t>6.15.</t>
  </si>
  <si>
    <t>6.16.</t>
  </si>
  <si>
    <t>6.17.</t>
  </si>
  <si>
    <t>6.18.</t>
  </si>
  <si>
    <t>6.19.</t>
  </si>
  <si>
    <t>6.20.</t>
  </si>
  <si>
    <t>6.21.</t>
  </si>
  <si>
    <t>6.22.</t>
  </si>
  <si>
    <t>6.23.</t>
  </si>
  <si>
    <t>6.24.</t>
  </si>
  <si>
    <t>6.25.</t>
  </si>
  <si>
    <t>6. Vatrodojava ukupno:</t>
  </si>
  <si>
    <t>7. Ostalo ukupno:</t>
  </si>
  <si>
    <t>Tehničke karakteristike unutarnje jedinice:
- Rashladni učinak Qh: 9 kW
- N = 145 W
- Ogrijevni učinak Qg:  10 kW
- N = 145 W
- Eksterni raspoloživi pad tlaka na zračnoj strani: 0 /29,42/196,13 Pa
- Priključak R410A: tekuća faza: 9,52 mm
- Priključak R410A: plinovita faza: 15,88 mm
- medij:  R-410A
- Nivo zvučnog tlaka: 34/31/28 dB(A)
- Nivo zvučne snage: 60 dB(A)
Dozvoljeno je odstupanje tehničkim karakteritika proizvod  od projektnih parametara ±5%.
U cijenu uključiti sav potreban spojni i montažni materijal.</t>
  </si>
  <si>
    <t>Φ 19,05 mm</t>
  </si>
  <si>
    <t>Dobava, postava i spajanje razdjelnika RS5, nadgradni modularni razdjelnik,  u zaštiti IP44, izrađen od  čeličnog lima, obojen temeljnom i lak bojom. Razvodni ormar je ukupnih dimenzija minimalno (š×v×d) 600×800×200 mm, kom 1
Ormar sadrži slijedeću opremu:
- tropolni kompaktni niskonaponski prekidač 100A, 25kA, kom 1
- četveropolni katodni odvodnik prenapona, kom 1
- ZUDS 50/0,03A, kom 2
- ZUDS 160/0,03A, kom 1
- automatski prekidač B6A, kom 1
- automatski prekidač B10A, kom 10
- automatski prekidač B16A, kom 10
- automatski prekidač B16A 3P, kom 4
- automatski prekidač B20A 3P, kom 1
- automatski prekidač B32A 3P, kom 4
- automatski prekidač B50A 3P, kom 2
- automatski prekidač B160A 3P, kom 1
- luksomat, kom 1
Ugradnja elemenata, sabirnice i nosači sabirnica, ožičenje, označavanje, funkcionalno ispitivanje prije isporuke, atesti, ispitni protokol, korisnička dokumentacija, komplet 1</t>
  </si>
  <si>
    <t>U svaku stavku opreme potrebno je predvidjeti dobavu, montažu,  spajanje i funkcionalno ispitivanje. U cijenu uračunati sitni montažni materijal, te ostali potrebni pribor i odgovarajući atesti. Na svu opremu ponuđač mora dati jamstvo u roku od najmanje 2 godine, osim na proizvode nužne rasvjete gdje ponuđač mora dati jamstvo u roku od najmanje 2 godine. U slučaju dobave opreme drugih proizvođača, ona mora zadovoljavati tehničke karakteristike projektirane opreme. Kriterij za jednakovrijednost: tehničke karakteristike ponuđene svjetiljke, odn. opreme, moraju biti jednake ili bolje od onih predviđenih projektiranim proizvodom. Estetske karakteristike moraju odgovarati predviđenom proizvodu uz odstupanja po dimenzijama do +/- 5%. Prije narudžbe obavezno usuglasiti točan tip, boju i konačnu dispoziciju rasvjetnih tijela s nadzornim inženjerom, koji je dužan konzultirati glavnog projektanta (provjera tipa spuštenog stropa i dispozicije svjetiljki) i projektanta el. instalacija.</t>
  </si>
  <si>
    <t>Da bi alternativni proizvod bio potvrđen kao jednakovrijedan ili bolji proizvod od projektiranog, ponuđač opreme mora dostaviti:
Tehničku specifikaciju proizvoda, koja se sastoji od tehničkih listova, instalacijskih uputa, te originalne fotometrijske podatke i detalje formata CEN datoteke, sukladno normama HRN EN 13032-1 i HRN EN 13032-2, odn. elektronski zapis iste u formatu ldt ili ies, za elektronički prijenos podataka, izrađenu od strane ovlaštenog i certificiranog laboratorija, s jasno vidljivim kriterijima navedenim u troškovniku (dostavljena tehnička dokumentacija mora biti javno dostupna na stranici proizvođača)</t>
  </si>
  <si>
    <t>Jednakovrijednost proizvoda dokazuje se tehničkim svojstvima specificiranim prema normama navedenim u prilozima Tehničkog propisa o građevnim proizvodima. Zamjena jednakovrijednog proizvoda moguća je samo prilikom nuđenja. Izmjene jednakovrijednog proizvoda nakon ugovaranja nisu moguće.</t>
  </si>
  <si>
    <t>Dobava, postava i spajanje ovjesne vodotjesne svjetiljke s direktnom svjetlosnom distribucijom za stropnu montažu. LED izvor svjetlosti, snaga sustava 51 W, izlazni svjetlosni tok  8343 lm, temperatura boje izvora 4000 K, uzvrat boje CRI 80. Stupanj mehaničke zaštite IP66. Sa svim potrebnim priborom, priključnim materijalom i elementima. Oznaka u projektu "S2".
Tehničke karakteristike:
- ovjesna vodotjesna svjetiljka s direktnom svjetlosnom distribucijom za stropnu montažu
- kućište izrađeno od sivog polikarbonata, otporno na vandalizam, UV stabilizirano, visoke mehaničke otpornosti zahvaljujući kućištu ojačanom unutarnjim rebrima
- široka optika
- polikarbonatni difuzor. 
- svjetiljka se isporučuje s priborom za stropnu montažu. 
- LED sustav maksimalne snage 51 W, 
- minimalni izlazni svjetlosni tok 8343 lm 
- temperatura boje izvora 4000 K 
- uzvrat boje minimalno CRI 80 
- stupanj mehaničke zaštite minimalno IP66, 
- zaštita od mehaničkih utjecaja minimalno IK 10 
- svjetiljka je ožičena za linijsku montažu 
- dozvoljena ambijentalna temperatura minimalno  od -30 do +40°C 
- životni vijek izvora minimalno 80 000 h (L90B10) 
- faktor snage ≥0,9
- fotobiološka grupa rizika 0 (RG0) prema EN 62471
- ENEC certificirana svjetiljka</t>
  </si>
  <si>
    <t>Za vanjsku jedinicu potrebno je izraditi postolje minimalne visine 30 cm od kote ravnog terena. 
Jedinica je sastavljena iz jednog modula sljedećih tehničkih karakteristika: 
- Qh ukupno = 40,0 kW
- Priključna snaga: N ukupno = 12,76 kW / 380 - 415 V, 3F, 50 Hz
- EER: 3,1 (100% opterećenja)
- Tv = 35°C ST
- Tp = 27°C ST, 46%RH
- SEER: 6,40
- Qg ukupno = 45,00 kW
- N ukupno = 11,86 kW / 380 - 415 V, 3F, 50 Hz
- COP: 3,79 (100% opterećenja)
- Tv= 7°C ST
- Tp = 20°C ST
- SCOP: 4,20
- Raspoloživi kapacitet @ Tok = -15 °C
- Qg ukupno = 35,20 kW
- Radno područje (hlađenje): od -5° do 50 °C
- Radno područje (grijanje): od -25° do 24 °C
- Nivo zvučnog tlaka (hlađenje): 63 dB(A) na udaljenosti 1m od jedinice
- Nivo zvučnog tlaka (grijanje): 65 dB(A) na udaljenosti 1m od jedinice
Dozvoljeno je odstupanje tehničkim karakteritika proizvod  od projektnih parametara ±5%.
U cijenu uključiti sav potreban spojni i montažni materijal.</t>
  </si>
  <si>
    <t>Tehničke karakteristike unutarnje jedinice:
- Rashladni učinak Qh: 11,2 kW
- N = 130 W
- Ogrijevni učinak Qg:  12,5 kW
- N = 130 W
- Eksterni raspoloživi pad tlaka na zračnoj strani: 29,42/60,8/196,13 Pa
- Priključak R410A: tekuća faza: 9,52 mm
- Priključak R410A: plinovita faza: 15,88 mm
- medij:  R-410A
- Nivo zvučnog tlaka: 36/33/30 dB(A)
- Nivo zvučne snage: 61 dB(A)
Dozvoljeno je odstupanje tehničkim karakteritika proizvod  od projektnih parametara ±5%.
U cijenu uključiti sav potreban spojni i montažni materijal.</t>
  </si>
  <si>
    <t>Φ 12,7 mm</t>
  </si>
  <si>
    <t>Φ 28,5 mm</t>
  </si>
  <si>
    <t>SKLADIŠTE 1  -  Z B I R N A   R E K A P I T U L A C I J A</t>
  </si>
  <si>
    <t>SKLADIŠTE 2  -  Z B I R N A   R E K A P I T U L A C I J A</t>
  </si>
  <si>
    <t>SKLADIŠTE 5  -  Z B I R N A   R E K A P I T U L A C I J A</t>
  </si>
  <si>
    <t>SKLADIŠTE 6  -  Z B I R N A   R E K A P I T U L A C I J A</t>
  </si>
  <si>
    <t>Dobava, postava i spajanje razdjelnika GRO 5-6, vanjski razvodni ormar uz zid objekta. Vanjsko kućište GFK/PVC, IP55/IK10, RAL7035, 1200×800×400 mm. 
Montažna ploča pocinčana, puna, odgovarajuće veličine. 
DIN šine, kabelske stege, plan pločice. 
PE/N sabirnice s izoliranim stezaljkama; glavna GUP sabirnica. 
Brtvene uvodnice M32–M63 + rezervne zapune. 
Brava 3-točke s industrijskim ključem; panti od A2. 
Filter-vent ulošci IP za prirodnu ventilaciju + odvod kondenzata. 
Betonsko postolje prema gore navedenim mjerama s ankerima M12 A2. 
Cu traka 30×3,5 mm za uzemljenje + pribor za spajanje.
Naljepnice/oznake polja, UPOZORENJE „OPASNOST OD STRUJNOG UDARA“. kom 1
Ormar sadrži slijedeću opremu:
- tropolni kompaktni niskonaponski prekidač 200A, 25kA, kom 1
- četveropolni katodni odvodnik prenapona, kom 1
- osigurač-rastavljač 160/80A, kom 2
- osigurač-rastavljač 160/__A, kom 4, rezerva
Ukupno razdjelnik GRO 5-6</t>
  </si>
  <si>
    <t>Dobava, postava i spajanje razdjelnika RS6, nadgradni modularni razdjelnik,  u zaštiti IP44, izrađen od  čeličnog lima, obojen temeljnom i lak bojom. Razvodni ormar je ukupnih dimenzija minimalno (š×v×d) 600×800×200 mm, kom 1
Ormar sadrži slijedeću opremu:
- tropolni kompaktni niskonaponski prekidač 100A, 25kA, kom 1
- četveropolni katodni odvodnik prenapona, kom 1
- ZUDS 50/0,03A, kom 2
- ZUDS 63/0,03A, kom 2
- automatski prekidač B6A, kom 1
- automatski prekidač B10A, kom 9
- automatski prekidač B16A, kom 10
- automatski prekidač B16A 3P, kom 4
- automatski prekidač B20A 3P, kom 1
- automatski prekidač B32A 3P, kom 4
- automatski prekidač B50A 3P, kom 2
- automatski prekidač B63A 3P, kom 1
- luksomat, kom 1
Ugradnja elemenata, sabirnice i nosači sabirnica, ožičenje, označavanje, funkcionalno ispitivanje prije isporuke, atesti, ispitni protokol, korisnička dokumentacija, komplet 1</t>
  </si>
  <si>
    <t>n/ž razvodna kutija 100×100 mm</t>
  </si>
  <si>
    <t>Dobava, postava i spajanje - Centrala za odimljavanje, VdS, 240 W, interni kapacitet 12 Ah, BUS komunikacija, mogućnost grupiranja motora u 1 grupu, napajanje centrale 230 V, izlaz za komponente 24 V, osigurana autonomija 72 h. U skladu sa EN 12101-10 ili jednakovrijedno.
Mogućnost podešavanja funkcija  softverom. 
Mogućnost nadogradnje sa IO420 za spajanje na CNUS putem BACnet-a. 
Osigurati beznaponski kontakt centralnog požarnog sustava za automatsku aktivaciju.</t>
  </si>
  <si>
    <t>Dobava, postava i spajanje adresabilne alarmne sirene s bljeskalicom napajane iz petlje za unutarnju ugradnju, minimalno sljedećih karakteristika:
- Izlazna snaga od 90 ~ 102 dB(A) 
- 51 ton (svi tonovi u skladu s EN54-3)
- Napaja se iz petlje
- Automatsko isključivanje-značajka sprječava zagađenje bukom
- Montira se na standardno podnožje
- LED bljeskalica, crvene boje
- Za unutarnju montažu, IP 21</t>
  </si>
  <si>
    <t>Za vanjsku jedinicu potrebno je izraditi postolje minimalne visine 30 cm od kote ravnog terena. 
Jedinica je sastavljena iz jednog modula sljedećih tehničkih karakteristika: 
- Qh ukupno = 40,0 kW
- Priključna snaga: N ukupno = 12,76 kW / 380 - 415 V, 3F, 50 Hz
- EER: 3,1 (100% opterećenja)
- Tv = 35°C ST
- Tp = 27°C ST, 46%RH
- SEER: 6,40
- Qg ukupno = 45,0 kW
- N ukupno = 11,86 kW / 380 - 415 V, 3F, 50 Hz
- COP: 3,79 (100% opterećenja)
- Tv= 7°C ST
- Tp = 20°C ST
- SCOP: 4,20
- Raspoloživi kapacitet @ Tok = -15 °C
- Qg ukupno = 35,2 kW
- Radno područje (hlađenje): od -5° do 50 °C
- Radno područje (grijanje): od -25° do 24 °C
- Nivo zvučnog tlaka (hlađenje): 63 dB(A) na udaljenosti 1 m od jedinice
- Nivo zvučnog tlaka (grijanje): 65 dB(A) na udaljenosti 1 m od jedinice
Dozvoljeno je odstupanje tehničkim karakteritika proizvod  od projektnih parametara ±5%.
U cijenu uključiti sav potreban spojni i montažni materijal.</t>
  </si>
  <si>
    <t>Tehničke karakteristike unutarnje jedinice:
- Rashladni učinak Qh: 11,20 kW
- N = 130 W
- Ogrijevni učinak Qg:  12,50 kW
- N = 130 W
- Eksterni raspoloživi pad tlaka na zračnoj strani: 29,42/60,80/196,13 Pa
- Priključak R410A: tekuća faza: 9,52 mm
- Priključak R410A: plinovita faza: 15,88 mm
- medij:  R-410A
- Nivo zvučnog tlaka: 36/33/30 dB(A)
- Nivo zvučne snage: 61 dB(A)
Dozvoljeno je odstupanje tehničkim karakteritika proizvod  od projektnih parametara ±5%.
U cijenu uključiti sav potreban spojni i montažni materijal.</t>
  </si>
  <si>
    <t>Geodetske usluge
Ovim radovima potrebno je obuhvatiti angažman ovlaštenog geodete za sva potrebna iskolčenja, označavanje visina, održavanje mjernih točaka tokom gradilišta i sve popratne geodetske usluge potrebne za izvođenje radova. Površina zahvata iznosi cca 5.500 m2.</t>
  </si>
  <si>
    <t>Čišćenje terena od raslinja oko građevine, siječenje i skupljanje. U stavku uključeno uklanjanje smeća, prepreka, drveća,  i sl., košenja trave i korova, te utovar i odvoz otpadnog materijala na gradsku deponiju, uključeno u cijeni stavke. Površina zahvata je približno 5.500 m2.</t>
  </si>
  <si>
    <t>Kombinirani ručni i strojni iskop tla C kategorije u širokom iskopu. 
Iskop tla u prosječnoj debljini sloja cca 50 cm.
U jediničnu cijenu uključen sav potreban rad, svi utovari, transporti i zbrinjavanje viška iskopanog materijala na odgovarajućem deponiju, uključivo sa svim taksama i naknadama prema važećem pravilniku.
Obračun se vrši po m3 iskopanog materijala u sraslom stanju.</t>
  </si>
  <si>
    <t>Kombinirani ručni i strojni iskop površinskog sloja tla - humusa u širokom iskopu.
Iskop tla u prosječnoj debljini sloja cca 30 cm. 
U jediničnu cijenu uključen sav potreban rad, svi utovari, transporti i zbrinjavanje viška iskopanog materijala na odgovarajućem deponiju, uključivo sa svim taksama i naknadama prema važećem pravilniku.
Obračun se vrši po m3 iskopanog materijala u sraslom stanju.</t>
  </si>
  <si>
    <t>Strojno štemanje, razbijanje, utovar i odvoz postojeće armirano-betonske podloge.
U jediničnu cijenu uključen sav potreban rad, svi utovari, transporti i zbrinjavanje viška iskopanog materijala na odgovarajućem deponiju, uključivo sa svim taksama i naknadama prema važećem pravilniku.
Obračun se vrši po m3 iskopanog materijala u sadašnjem stanju (potrebno ukalkulirati rastresitost).</t>
  </si>
  <si>
    <t>Dobava, nasipavanje, nabijanje i planiranje tamponskog sloja kamenog agregata granulacija 0-30 mm u sloju debljine 80 cm sa izvedbom projektiranih padova.
Nasipavanje na pripremljenu i isplaniranu posteljicu. Zbijenost posteljice treba iznositi minimalno 80 MN/m2, a istu kontrolirati na svakih 200 m2 izvedenog tamponskog sloja. Prije izvedbe nasipa obavezan pregled temeljnog tla od ovlaštenog nadzora. 
Obračun po m3 ugrađenog materijala.</t>
  </si>
  <si>
    <t>Obrada i planiranje pokosa tla iskopom i nasipavanjem.
Izvodi se na rubnim površinama platoa na denivelacijama terena. Obrada okolnog tla uz platoe prilagođavajući ga prirodnom postojećem nagibu. Način rada odabrati sukladno raspoloživoj tehnologiji izvođača radova (ponuditelja).
Obračun po m2 izvedenih pokosa.</t>
  </si>
  <si>
    <t>Ispitivanje modula stišljivosti putem ovlaštene tvrtke i izdavanje izvješća o ostvarenim rezultatima. Predviđa se na svakih 200 m2 izvedenog tamponskog sloja.</t>
  </si>
  <si>
    <t>Čišćenje terena nakon završetka svih radova na platoima. Stavka obuhvaća utovar otpadnog materijala u prijevozno sredstvo i odvoz na javni deponij.
Obračun kao komplet.</t>
  </si>
  <si>
    <t>Dobava i ugradnja cestovnih betonskih rubnjaka 18x24x100 cm uključivo svi popratni radovi i sav pomoćni materijal, rad i pribor.</t>
  </si>
  <si>
    <t>strojni i ručni iskop za ugradnju rubnjaka</t>
  </si>
  <si>
    <t>Dobava materijala i izvedba horizontalne signalizacije:</t>
  </si>
  <si>
    <t>pune žute trake širine 15 cm</t>
  </si>
  <si>
    <t>strelice za smjer kretanja</t>
  </si>
  <si>
    <t>Uklapanje platoa na postojeću prometnicu. Izvodi se prema potrebi uz prethodni dogovor s nadzornim inženjerom.</t>
  </si>
  <si>
    <t>uklanjanje i odvoz AB rubnjaka 18/24/100 cm</t>
  </si>
  <si>
    <t>strojno rezanje asfalta</t>
  </si>
  <si>
    <t>uklanjanje dijela asfalta frezanjem</t>
  </si>
  <si>
    <t xml:space="preserve">1. Građevinski radovi ukupno: </t>
  </si>
  <si>
    <t>Geodetsko iskolčenje trase vanjske kanalizacije prije izvođenja radova - dužina 503 m</t>
  </si>
  <si>
    <t>Iskop kanala u zemljištu C kategorije za polaganje kanalizacijskih cijevi. Dubinu iskopa izvesti prema projektu, a pad kanala u projektiranom nagibu. Širina rova 0,8m. Predviđen je ručni iskop 30% i strojni iskop 70%.
NAPOMENA: Točnu kategoriju zemlje utvrditi na licu mjesta.</t>
  </si>
  <si>
    <t>Proširenje dna rova u zemljištu C kategorije radi izvedbe revizijskih okana  i separatore lakih tekućina. Iskopani materijal odbaciti na udaljenost preko 1.0 m od bočne ivice rova, kako bi se spriječilo urušavanje iskopanog materijala u rov.</t>
  </si>
  <si>
    <t>Dobava materijala i izrada obloge za kanalizacijske cijevi. 
Oko prethodno montiranih kanalizacijskih cijevi  izvodi se obloga od sitnog materijala - pijesak ili finiji zamjenski materijal iz pozajmišta (0-40 mm), a do visine 30 cm iznad vrha tjemena cijevi. Obračun po m3 izvedene obloge.</t>
  </si>
  <si>
    <t>Dobava i polaganje u rov iznad kanalizacijski cijevi PVC trake sa natpisom "POZOR - kanalizacija" i vodljivom žicom za detekciju trase.</t>
  </si>
  <si>
    <t>Zatrpavanje rova materijalom od iskopa, po slojevima od 30 cm, uz istovremeno obilno močenje i nabijanje materijala ručnim nabijačima.</t>
  </si>
  <si>
    <t>Odvoz viška materijala na deponiju
Sav višak materijala iz iskopa rovova za kanalizacijske kolektore i priključke, građevinskih jama za kontrolna okna i vodolovna grla, a koji je ostao nakon zatrpavanja istih mora se odvesti na deponiju udaljenosti do 5 km. U cijenu je uključen utovar, prijevoz, istovar, te razastiranje materijala.
Obračun po m3 materijala, u rastresitom stanju.</t>
  </si>
  <si>
    <t>Planiranje terena nakon izvršenog zatrpavanja rova. Pretpostavljena širina planiranja je 1,0 m. Obračun po m2 obrađene površine.</t>
  </si>
  <si>
    <t>Izvedba revizionog okna na kanalizaciji armiranim vodonepropusnim nabijenim betonom C30/37 u dvostranoj  oplati, debljine stijenki 20 cm.  Unutrašnje stijenke okna premazati polimercemntnim premazom. Vanjske stijenke obložiti savitljivom, 1,5 mm debljine, homogenom hidroizolacijskom membranom, sa signalnim slojem, na bazi visokokvalitetnog polivinilklorida (PVC-p).
Iznad okna na dubini oko 10 cm od kote uređenog terena izvesti armirano-betonsku ploču C25/30, debljine 15 cm s otvorom za silazak u okno. Iznad  otvora u ploči montirati poklopac s okvirom veličine poklopca 600×600 mm za opterećenje C250 kN na prometnim površinama i A15 na zelenim površinama (uzeti u obzir u ovoj stavci). U cijeni je izvedba, dobava i ugradnja stupaljki u stjenke revizionog okna izrađene iz lijevanog željeza. Prije ugradbe, stupaljke od korozije zaštititi dvostrukim premazom uljane boje.</t>
  </si>
  <si>
    <t>dubine do 1,5 m -  vel. 80×80 cm, žljebno</t>
  </si>
  <si>
    <t>dubine iznad 1,5 m -  vel. 100×80 cm, žljebno i kaskadno</t>
  </si>
  <si>
    <t>PVC CIJEVI SN8</t>
  </si>
  <si>
    <t>Dobava i montaža tvrdih PVC SN8 cijevi i fazonskih komada za kanalizaciju.
Spajanje cijevi izvoditi  gumenim prstenima.</t>
  </si>
  <si>
    <t>DN150</t>
  </si>
  <si>
    <t>DN200</t>
  </si>
  <si>
    <t>DN250</t>
  </si>
  <si>
    <t>DN315</t>
  </si>
  <si>
    <t>DN400</t>
  </si>
  <si>
    <t>FAZONSKI KOMADI SN8</t>
  </si>
  <si>
    <t>Dobava i ugradnja vodonepropusne brtve - priključka na betonsko reviziono okno za PVC cijevi.</t>
  </si>
  <si>
    <t>Slivnik s taložnicom, s konkavnom rešetkom 500×500 mm
Dobava i montaža cestovnog  slivnika s izljevom DN 150, s taložnicom  dubine 849 do 1342 mm, ukupne visine 1773 do 2512 mm, sastavljenog od tipskih elemenata svjetlog promjera 375 mm, izrađenih iz polipropilena. Sastavne elemente je moguće fino podešavati po visini, zaokretati po vertikalnoj osi i podešavati po poprečnom nagibu do max. 10%. Svi spojevi standardnih elemenata izvedeni su preko integrirane EPDM brtve i osiguravaju vodonepropusnost do 0,5 bara prema DIN 4060 ili jednakovrijedno. Konkavna pokrovna lijevano željezna rešetka je veličine 500×500 mm, razreda opterećenja D400 prema HRN EN 124 ili jednakovrijedno, s uloškom protiv lupanja i multifunkcionalnim zglobom koji omogućava otvaranje rešetke do 110⁰. Upojna površina rešetke je 1030 cm², a učvršćenje rešetke za okvir izvedeno je poliuretanskim kopčama. 
NAPOMENA: sve tehničke karakteristike mogu odstupati +/- 5%.</t>
  </si>
  <si>
    <t>2.15.</t>
  </si>
  <si>
    <t>Separator lakih tekućina s mimotokom
Dobava i ugradnja separatora lakih tekućina s bypassom. Separator mora biti konstruiran, izrađen i testiran prema HRN EN 858 ili jednakovrijedno, što se dokazuje izjavom o svojstvima i pripadajućim izvještajem laboratorijskog ispitivanja učinkovitosti (za dani protok separatora). Separator nazivne veličine NS20 (protok kroz separator 20 l/s) dok je ukupni protok Qmax=200 l/s. Separator mora imati učinkovitosti izdvajanja lakih tekućina klase I - lakih tekućina u izlaznoj vodi do 5mg/l.
Separator mora imati zapremninu izdvojenih lakih tekućina min. 200 litara, kapacitet taložnice min. 2000 lit dok ukupni kapacitet ne smije biti veći od 4.750 litara. 
Uljev i izljev separatora trebaju biti DN 400 utični spoj s kliznom brtvom (prema HRN EN 1401 ili jednakovrijedno) - UKC cijevi.
Dubina uljevne cijevi, mjereno od kote poklopca do kote dna cijevi uljeva  T= 1,13 m do 5,78 m (točnu dubinu cijevi na uljevu treba definirati prije naručivanja separatora). Separator se treba isporučivati s poklopcem prema HRN EN 124 ili jednakovrijedno klase nosivosti D400, svijetlog otvora promjera 600 mm, s natipsom "SEPARATOR".</t>
  </si>
  <si>
    <t xml:space="preserve">Separator treba biti izrađen iz HPC armiranog betona (High Perfomance Concrete) razreda čvrstoće C60/75, razreda izloženosti: XA3, XF4.
Spojevi svih prefabriciranih betonskih elemenata promjera ≥ 100 cm trebaju se brtviti gumenim brtvama s integriranim sustavom raspodjele opterečenja. Svi cijevni prodori kroz betonsku stijenku separatora moraju biti brtveni elastomernim (gumenim) brtvama. Separator treba biti siguran od djelovanja sila uzgona do visine podzemne vode do uljeva u separator. Separator mora imati koalescentni element koji se može za potrebe čišćenja i održavanja jednostavno izvaditi i višekratno koristiti. Separator mora imati sigurnosni plovak tariran na spec. težinu lakih tekućina kao osiguranje od nekontroliranog odljeva istih iz separatora. Uljevni i izljevni elementi separatora trebaju biti izrađeni iz PEHD-a. Pristup u separator treba biti u skladu s HRN EN 476 ili jednakovrijedno.  </t>
  </si>
  <si>
    <t>2.16.</t>
  </si>
  <si>
    <t>Izvedba betonske izljevne građevine oborinske odvodnje. Cijevni izljev osigurati kosom armirano-betonskom glavom. Armirano-betonska glava debljine 15 cm, tlocrtnih dimenzija 160×100 cm i visine 120 cm (točne dimenzije ploče prilagoditi na licu mjesta prema stvarnom nagibu pokosa).
U stavku uključiti oblaganje pokosa kamenim materijalom 2 m ispred i 2 m iza osi uljeva.
Podrazumijeva sav rad i materijal, sve prijevoze i prijenose, rad na izradi, ugradnji i njezi betona, te eventualno crpljenje vode. U cijenu oplate je uključena dobava, montaža i demontaža oplate te potrebno podupiranje. Uključivo potrebna armatura - prema planu armature.</t>
  </si>
  <si>
    <t>2. Instalacije odvodnje ukupno:</t>
  </si>
  <si>
    <t>INSTALACIJE ODVODNJE</t>
  </si>
  <si>
    <t>2.17.</t>
  </si>
  <si>
    <t>Plitka betonska kanalica
Dobava i ugradnja plitke betonske kanalice. Moduli širine do 30 cm, a duljine do 50 cm. Građevinska visina elementa do 12 cm. Betonske kanalice se postavljaju na pripremljenu nosivu podlogu te po pravcu niveliraju. Ugrađuju se s razmakom (spojnicom) u zemljovlažni beton. Spojnice se zapunjavaju cementnim mortom.</t>
  </si>
  <si>
    <t>2.18.</t>
  </si>
  <si>
    <t>Funkcionalno ispitivanje kanalizacijske instalacije na vodonepropusnost od strane ovlaštene organizacije, uz izdavanje uvjerenja.</t>
  </si>
  <si>
    <t>2.19.</t>
  </si>
  <si>
    <t>2.20.</t>
  </si>
  <si>
    <t>2.21.</t>
  </si>
  <si>
    <t>Dobava, montaža i spajanje svjetiljke na konusni stup visine 6 metara s direktnom asimetričnom svjetlosnom distribucijom. LED izvor svjetlosti, snaga sustava 33W, 3000K, CRI70. Stupanj mehaničke zaštite IP66IK09. Sa svim potrebnim priborom, priključnim materijalom i elementima. Oznaka u projektu "V2".
Tehničke karakteristike:
- svjetiljka na konusnom stupu sa razdjelnicom i temeljnim vijcima, stup visine 6 m u boji svjetiljke
- direktna asimetrična distribucija svjetlosti
- svjetiljka antracitne boje kućišta od lijevanog aluminija izrađenog na način da je površina što manje izložena vjetru
- optika izrađena od PMMA, visoko otporna na temperaturu i UV zračenje
- difuzor od sigurnosnog stakla, minimalno 4 mm debljine, otpornog na nagle temperaturne razlike i udarce. 
- moguće bočno zakretanje od 0° do 15° i vertikalno od 0° do 10°
- regulacija u slučaju temperaturnih porasta usred vremenskih neprilika ili otkazivanja LED čipa
- životni vijek minimalno 100.000 h L80B10
- dozvoljena ambijentalna temperatura: -30 - +40°C
- LED sustav maksimalne snage 33 W
- minimalni izlazni svjetlosni tok 4216 lm
- efikasnost svjetiljke minimalno 128 lm/W
- temperatura boje 3000K
- niska razina treperenja
- uzvrat boje minimalono CRI&gt;70
- mehanička zaštita minimalno IP66
- zaštita od mehaničkih utjecaja IK09
- ENEC certificirana svjetiljka</t>
  </si>
  <si>
    <t xml:space="preserve">Iskop zemlje C kategorije za rov širine 50 cm i dubine 100 cm za polaganje kabela rasvjete (ukupna duljina trase iznosi  320 m'). </t>
  </si>
  <si>
    <t xml:space="preserve">Čišćenje i planiranje dna rova u zemlji C kategorije. </t>
  </si>
  <si>
    <t xml:space="preserve">Zatrpavanje rova iznad cijevi iskopanim materijalom visine 30 cm u slojevima vibropločom, uključujući i dobavu, te polaganje zaštitne trake. </t>
  </si>
  <si>
    <t xml:space="preserve">Dobava, postava i spajanje kabela NAYY 4×25mm2. </t>
  </si>
  <si>
    <t>Polaganje NOVOTUMB cijevi rebraste vanjštine promjera 75 mm i glatke unutrašnjosti promjera 62 mm crvene boje.</t>
  </si>
  <si>
    <t>3.9.</t>
  </si>
  <si>
    <t>Dobava, postava i spajanje trake FeZn 30x4mm za uzemljenje stupova rasvjete.</t>
  </si>
  <si>
    <t>3.10.</t>
  </si>
  <si>
    <t>3.11.</t>
  </si>
  <si>
    <t>Polaganje PVC trake za upozorenje u iskopani rov.</t>
  </si>
  <si>
    <t>3.12.</t>
  </si>
  <si>
    <t>Iskop rupe te izrada tipskog temelja za stup visine 6 m', betonom razreda tlačne čvrstoće C30/37 uz upotrebu armature prema statičkom proračunu (daje isporučitelj stupa!). 
Ugradnja sidrenih vijaka pomoću šablone, ugradnja 2 ili 3 komada RDC cijevi fi 63 mm×1,5 m' u temelj, te niveliranje gornje plohe temelja cementnim mortom.
Temelj treba izvesti iz jednog dijela na način da gornja ploha viri iznad okolnog tla 10 cm kod montaže istog u zelene površine, odnosno gornja kota temelja mora biti 10 cm ispod razine projektiranog asfalta kod montaže istih u asfaltirane površine. Izrada "češke" glazure na svim vidljivim plohama temelja.
Dimenzije temelja: 1,3×1,3×1 m'
Volumen temelja : 1,69 m3</t>
  </si>
  <si>
    <t>3.13.</t>
  </si>
  <si>
    <t>Polaganje plastičnih cijevi fi 110 mm u iskopani rov pri  križanju s drugim instalacijama.</t>
  </si>
  <si>
    <t>3.14.</t>
  </si>
  <si>
    <t>Mjerenje otpora izolacije i izdavanje atesta. Mjerenje otpora petlje i izdavanje atesta. Mjerenje otpora uzemljenja i izdavanje atesta. Mjerenje jakosti rasvjete.
U cijenu uračunati i ispitivanje cjelokupne instalacije  rasvjete, puštanje u pogon i probni rad, te ateste u tri primjerka.</t>
  </si>
  <si>
    <t>3.15.</t>
  </si>
  <si>
    <t>3. Elektrotehnički radovi ukupno:</t>
  </si>
  <si>
    <t>OTVORENI PLATOI 4 I 5  -  Z B I R N A   R E K A P I T U L A C I J A</t>
  </si>
  <si>
    <t>INSTALACIJE I ODVODNJE</t>
  </si>
  <si>
    <t>SKLADIŠTA 1, 2 I 5  -  Z B I R N A   R E K A P I T U L A C I J A</t>
  </si>
  <si>
    <t>SKLADIŠTE 1</t>
  </si>
  <si>
    <t>SKLADIŠTE 2</t>
  </si>
  <si>
    <t>SKLADIŠTE 5</t>
  </si>
  <si>
    <t>SKLADIŠTA 1, 2 I 5 UKUPNO:</t>
  </si>
  <si>
    <t>SKLADIŠTA 1, 2 I 5 SVEUKUPNO S PDV-om:</t>
  </si>
  <si>
    <t>SKLADIŠTE 6 I OTVORENI PLATOI 4 I 5  -  Z B I R N A   R E K A P I T U L A C I J A</t>
  </si>
  <si>
    <t>SKLADIŠTE 6</t>
  </si>
  <si>
    <t>OTVORENI PLATOI 4 I 5</t>
  </si>
  <si>
    <t>SKLADIŠTE 6 I OTVORENI PLATOI 4 I 5 UKUPNO:</t>
  </si>
  <si>
    <t>SKLADIŠTE 6 I OTVORENI PLATOI 4 I 5 SVEUKUPNO S PDV-om:</t>
  </si>
  <si>
    <t>SKLADIŠTA 1, 2, 5, 6 I OTVORENI PLATOI 4 I 5  -  Z B I R N A   R E K A P I T U L A C I J A</t>
  </si>
  <si>
    <t>SKLADIŠTA 1, 2, 5, 6 I OTVORENI PLATOI 4 I 5 UKUPNO:</t>
  </si>
  <si>
    <t>SKLADIŠTA 1, 2, 5, 6 I OTV. PLATOI 4 I 5 SVEUKUPNO S PDV-om:</t>
  </si>
  <si>
    <t>SKLADIŠTE 1 UKUPNO (bez PDV-a):</t>
  </si>
  <si>
    <t>SKLADIŠTE 2 UKUPNO (bez PDV-a):</t>
  </si>
  <si>
    <t>SKLADIŠTE 5 UKUPNO (bez PDV-a):</t>
  </si>
  <si>
    <t>SKLADIŠTE 6 UKUPNO (bez PDV-a):</t>
  </si>
  <si>
    <t>OTVORENI PLATOI 4 I 5 UKUPNO (bez PDV-a):</t>
  </si>
  <si>
    <t>Strojna izrada asfaltnog nosivog  sloja (AC  32 base, bit 50/70, AG6, M1), debljine 8 cm, proizvedenog i ugrađenog po vrućem postupku, vrste bitumena i agregata prema potvrđenom radnom sastavu.
U cijenu je uključena nabava i prijevoz prethodno strojno proizvedene mješavine od agregata i bitumena kao veziva, nazivne veličine najvećeg zrna, vrste kamenog materijala i granulometrijskog sastava prema odredbama u projektu i u skladu prema: HRN EN 13043:2003 ili jednakovrijedno (agregati); HRN EN 12591:2009 ili jednakovrijedno (cestograđevni bitumen) i HRN EN 13108-1:2007 ili jednakovrijedno (asfaltbeton), te utovar, prijevoz, i strojna ugradnja (razastiranje i zbijanje). Izvedba, kontrola kakvoće i obračun prema HRN EN 13108-1 ili jednakovrijedno. 
Obračun se vrši po m2 gornje površine projektiranog sloja. U svemu prema O.T.U. 5-04. U cijenu uključiti i prethodno špricanje podloge bitumenskom emulzijom.</t>
  </si>
  <si>
    <t>Strojna izrada asfaltnog habajućeg sloja (AC 11 surf bit 50/70 AG3 M3), debljine 4 cm, proizvedenog i ugrađenog po vrućem postupku, vrste bitumena i agregata prema potvrđenom radnom sastavu.
U cijenu je uključena nabava i prijevoz prethodno strojno proizvedene mješavine od agregata i bitumena kao veziva, nazivne veličine najvećeg zrna, vrste kamenog materijala i granulometrijskog sastava prema odredbama u projektu i u skladu prema:
 HRN EN 13043:2003 ili jednakovrijedno (agregati); HRN EN 12591:2009 ili jednakovrijedno (cestograđevni bitumen) i HRN EN 13108-1:2007 ili jednakovrijedno (asfaltbeton), te utovar, prijevoz, i strojna ugradba (razastiranje i zbijanje). 
Izvedba, kontrola kakvoće i obračun prema HRN EN 13108-1 ili jednakovrijedno za teško prometno opterećenje. U cijenu izvedbe habajućeg sloja uključeno je čišćenje podloge. 
Obračun se vrši po m2 gornje površine habajućeg sloja. U svemu prema O.T.U. 6 – 03. U cijenu uključiti i prethodno špricanje podloge bitumenskom emulzijom.</t>
  </si>
  <si>
    <t>Strojna izrada asfaltnog nosivog  sloja (AC  32 base, bit 50/70, AG6, M1), debljine 8 cm, proizvedenog i ugrađenog po vrućem postupku, vrste bitumena i agregata prema potvrđenom radnom sastavu.
U cijenu je uključena nabava i prijevoz prethodno strojno proizvedene mješavine od agregata i bitumena kao veziva, nazivne veličine najvećeg zrna, vrste kamenog materijala i granulometrijskog sastava prema odredbama u projektu i u skladu prema: HRN EN 13043:2003 ili jednakovrijedno (agregati); HRN EN 12591:2009 ili jednakovrijedno (cestograđevni bitumen) i HRN EN 13108-1:2007 ili jednakovrijedno (asfaltbeton), te utovar, prijevoz, i strojna ugradnja (razastiranje i zbijanje). Izvedba, kontrola kakvoće i obračun prema HRN EN 13108-1 ili jednakovrijedno. 
Obračun se vrši po m2 gornje površine projektiranog sloja. U svemu prema O.T.U. 5-04.</t>
  </si>
  <si>
    <t>Strojna izrada asfaltnog habajućeg sloja (AC 11 surf bit 50/70 AG3 M3), debljine 4 cm, proizvedenog i ugrađenog po vrućem postupku, vrste bitumena i agregata prema potvrđenom radnom sastavu.
U cijenu je uključena nabava i prijevoz prethodno strojno proizvedene mješavine od agregata i bitumena kao veziva, nazivne veličine najvećeg zrna, vrste kamenog materijala i granulometrijskog sastava prema odredbama u projektu i u skladu prema:
 HRN EN 13043:2003 ili jednakovrijedno (agregati); HRN EN 12591:2009 ili jednakovrijedno (cestograđevni bitumen) i HRN EN 13108-1:2007 ili jednakovrijedno (asfaltbeton), te utovar, prijevoz, i strojna ugradba (razastiranje i zbijanje). 
Izvedba, kontrola kakvoće i obračun prema HRN EN 13108-1 ili jednakovrijedno za teško prometno opterećenje. U cijenu izvedbe habajućeg sloja uključeno je čišćenje podloge. 
Obračun se vrši po m2 gornje površine habajućeg sloja. U svemu prema O.T.U. 6 – 03.</t>
  </si>
  <si>
    <t>Za vanjsku jedinicu potrebno je izraditi postolje minimalne visine 30 cm od kote ravnog terena. 
Jedinica je sastavljena iz jednog modula sljedećih tehničkih karakteristika: 
- Qh ukupno = 28,0 kW
- Priključna snaga: N ukupno = 8,18 kW / 380 - 415 V - 50 Hz
- EER: 3,4 (100% opterećenja)
- Tv = 35°C ST
- Tp = 27°C ST, 46%RH
- SEER: 6,20
- Qg ukupno = 31,5 kW
- N ukupno = 7,79 kW / 380 - 415 V - 50 Hz
- COP: 4,0 (100% opterećenja)
- Tv= 7°C ST
- Tp = 20°C ST
- SCOP: 4,20
- Raspoloživi kapacitet @ Tok = -15 °C
- Qg ukupno = 30,00 kW
- Radno područje (hlađenje): od -5° do 50 °C
- Radno područje (grijanje): od -25° do 24 °C
- Nivo zvučnog tlaka (hlađenje): 56 dB(A) na udaljenosti 1m od jedinice
- Nivo zvučnog tlaka (grijanje): 60 dB(A) na udaljenosti 1m od jedinice
Dozvoljeno je odstupanje tehničkim karakteritika proizvod  od projektnih parametara ±5%.
U cijenu uključiti sav potreban spojni i montažni materijal.</t>
  </si>
  <si>
    <t>Spajanje uzemljivača Fe/Zn 30×4 na stup i u zemlji na pocinčanu traku pomoću križnog komada 80×80×3 mm.</t>
  </si>
  <si>
    <t>Izrada, dobava i ugradnja vanjskih prozora dimenzija prema pozicijama. Svi prozori s vanjske strane imaju zaštitu od sunca i pogleda u vidu aluminijskih roleta. Dizajn i boju uskladiti s investitorom prije izrade i ugradnje. Materijal okvira prozora PVC, staklo dvostruko izolacijsko (4/16/4) s plinovitim punjenjem LowE premazom i trostrukim brtvljenjem.  Koeficijent prolaska topline prozora Uw≤1,4 W/m2K. U cijenu uključen sav rad, materijal i pribor potreban za izvršenje stavke u cijelosti. Sve dimenzije otvora prije izrade prozora obavezno provjeriti na gradilištu. Obračun po komadu ugrađenog prozora. 
Napomena: prozori kod kojih je posebno navedeno moraju u cijeni sadržavati i automatiku za odimljavanje (motori za automatsko otvaranje i spajanje istih te funkcionalna proba i izdavanje atestne dokumentacije).
Tehničke karakteristike:
- uk. koef. prolaska topline Uw ≤ 1,4 W/m²K
- indeks zvučne izolacije R’w ≥ 35 dB
- ostakljenje  Ug ≤ 1,1 W/m²K, low-E
- zaštita od sunca: vanjske rolete - Fc=0,3, g┴=0,6
- stijenke kutije roleta: U ≤ 0,6 W/m²K</t>
  </si>
  <si>
    <t xml:space="preserve">Nabava, dobava i ugradnja vanjskih ulaznih pješačkih (evakuacijskih) vrata. Materijal okvira vrata je alunimij, debljina okvira minimalno 100,00 mm. Vratno krilo djelomično providno, ovisno o željama investitora. Koeficijent prolaska topline vrata Uw≤1,60 W/m2K.  U cijenu uključen sav rad, materijal i pribor potreban za izvršenje stavke u cijelosti. Dimenzije zidarskog otvora 110×220, vrata 90×210 cm.  Sve dimenzije otvora prije izrade vrata  obavezno provjeriti na gradilištu.  Obračun po komadu ugrađenih vrata. </t>
  </si>
  <si>
    <t>Nabava, dobava i ugradnja vanjskih ulaznih toplinski izoliranih rolo vrata na elektromotorni pogon. Materijal okvira vrata je aluminij. Vrata djelomično providna, ovisno o željama investitora. Koeficijent prolaska topline vrata Uw≤3,50 W/m2K. U cijenu uključen sav rad, materijal i pribor potreban za izvršenje stavke u cijelosti. Dimenzije 300×290 cm. Sve dimenzije otvora prije izrade vrata  obavezno provjeriti na gradilištu.  Obračun po komadu ugrađenih vrata uključivo i automatika (motori) za otvaranje/zatvaranje i pripadno spajanje te puštanje u rad.</t>
  </si>
  <si>
    <t>Nabava, dobava i ugradnja vanjskih aluminijskih plastificiranih prozorskih klupčica. Boja, materijal i dizajn po izboru investitora. Širina klupica do 25 cm. Debljina lima 0,70 mm. Prije ugradnje klupčica potrebno je izvršiti obradu špalete ispod klupčice - hidroizolacija i xps u nagibu. U cijenu uključeni graničnici (lijevi i desni). Obračun po m' ugrađene klupčice. Ugradnju obaviti kompletno prema uputama proizvođača. U stavku je uključen sav rad, materijal i pribor potreban za izvršenje stavke u cijelosti.</t>
  </si>
  <si>
    <t>trapezni jednokrilni prozor dimenzija 91×57-74 cm, svijetle površine otvora min. 0,37 m2 zaokretni, s ispunom od panela i s automatikom za odimljavanje (shema br. 11)</t>
  </si>
  <si>
    <t>trapezni jednokrilni prozor dimenzija 91×74-57 cm, svijetle površine otvora min. 0,37 m2 zaokretni, s ispunom od panela i s automatikom za odimljavanje (shema br. 10)</t>
  </si>
  <si>
    <t>trapezni dvokrilni prozor  dimenzija 198×115-78 cm, svijetle površine otvora min. 0,60 i 0,75 m2, zaokretni s ispunom od panela i s automatikom za odimljavanje (shema br. 9)</t>
  </si>
  <si>
    <t>trapezni dvokrilni prozor  dimenzija 198×78-115 cm, svijetle površine otvora min. 0,75 m2 i 0,60 m2, zaokretni s ispunom od panela i s automatikom za odimljavanje (shema br. 8)</t>
  </si>
  <si>
    <t>trapezni dvokrilni prozor dimenzija 234×120-164 cm, svijetle površine otvora min. 1,18 m2 i 1,4 m2, zaokretni, ostakljen, s automatikom za odimljavanje (shema br. 7)</t>
  </si>
  <si>
    <t>trapezni dvokrilni prozor dimenzija 234×164-120 cm, svijetle površine otvora min. 1,40 i 1,18 m2, zaokretni, ostakljen, s automatikom za odimljavanje (shema br. 6)</t>
  </si>
  <si>
    <t>trapezni dvokrilni prozor dimenzija 234×120-164 cm, svijetle površine otvora min. 1,18 m2, jedno krilo zaokretno a jedno fiksno, ostakljen, s automatikom za odimljavanje (shema br. 13)</t>
  </si>
  <si>
    <t>trapezni dvokrilni prozor dimenzija 234×164-120 cm, svijetle površine otvora min. 1,18 m2, jedno krilo zaokretno a jedno fiksno, ostakljen, s automatikom za odimljavanje (shema br. 12)</t>
  </si>
  <si>
    <t>dvokrilni pravokutni prozor dimenzija 180×158 cm, otklopno zaokretni, ostakljen (shema br. 1)</t>
  </si>
  <si>
    <t>trapezni jednokrilni prozor dimenzija 98×82-101 cm, svijetle površine otvora min. 0,60 m2 zaokretni, s ispunom od panela i s automatikom za odimljavanje (shema br. 17)</t>
  </si>
  <si>
    <t>trapezni jednokrilni prozor dimenzija 98×101-82 cm, svijetle površine otvora min. 0,60 m2 zaokretni, s ispunom od panela i s automatikom za odimljavanje (shema br. 16)</t>
  </si>
  <si>
    <t>trapezni dvokrilni prozor dimenzija 234×106-150 cm, svijetle površine otvora min. 1,25 m2 i 1,00 m2, zaokretni, ostakljen, s automatikom za odimljavanje (shema br. 15)</t>
  </si>
  <si>
    <t>trapezni dvokrilni prozor dimenzija 234×150-106 cm, svijetle površine otvora min. 1,25 i 1,00 m2, zaokretni, ostakljen, s automatikom za odimljavanje (shema br. 14)</t>
  </si>
  <si>
    <t>trapezni jednokrilni prozor dimenzija 110×85-103 cm, svijetle površine otvora min. 0,73 m2 zaokretni, s ispunom od panela i s automatikom za odimljavanje (shema br. 21)</t>
  </si>
  <si>
    <t>trapezni jednokrilni prozor dimenzija 110×103-85 cm, svijetle površine otvora min. 0,73 m2 zaokretni, s ispunom od panela i s automatikom za odimljavanje (shema br. 20)</t>
  </si>
  <si>
    <t>trapezni dvokrilni prozor dimenzija 261×108-153 cm, svijetle površine otvora min. 1,46 m2 i 1,20 m2, zaokretni, ostakljen, s automatikom za odimljavanje (shema br. 19)</t>
  </si>
  <si>
    <t>trapezni dvokrilni prozor dimenzija 261×153-108 cm, svijetle površine otvora min. 1,46 i 1,20 m2, zaokretni, ostakljen, s automatikom za odimljavanje (shema br. 18)</t>
  </si>
  <si>
    <t>dvokrilni pravokutni prozor dimenzija 200×200 cm, otklopno zaokretni, ostakljen (shema br. 4)</t>
  </si>
  <si>
    <t>trapezni jednokrilni prozor dimenzija 110×85-103 cm, svijetle površine otvora min. 0,73 m2 zaokretni, s ispunom od panela i s automatikom za odimljavanje (shema br. 7)</t>
  </si>
  <si>
    <t>trapezni jednokrilni prozor dimenzija 110×103-85 cm, svijetle površine otvora min. 0,73 m2 zaokretni, s ispunom od panela i s automatikom za odimljavanje (shema br. 6)</t>
  </si>
  <si>
    <t>trapezni dvokrilni prozor dimenzija 261×108-153 cm, svijetle površine otvora min. 1,46 m2 i 1,20 m2, zaokretni, ostakljen, s automatikom za odimljavanje (shema br. 5)</t>
  </si>
  <si>
    <t>trapezni dvokrilni prozor dimenzija 261×153-108 cm, svijetle površine otvora min. 1,46 i 1,20 m2, zaokretni, ostakljen, s automatikom za odimljavanje (shema br. 4)</t>
  </si>
  <si>
    <t>dvokrilni pravokutni prozor dimenzija 200×200 cm, otklopno zaokretni, ostakljen (shema br. 1)</t>
  </si>
  <si>
    <t>Nabava, dobava i ugradnja vanjskih ulaznih toplinski izoliranih rolo vrata na elektromotorni pogon. Materijal okvira vrata je aluminij. Vrata djelomično providna, ovisno o željama investitora. Koeficijent prolaska topline vrata Uw≤3,50 W/m2K. U cijenu uključen sav rad, materijal i pribor potreban za izvršenje stavke u cijelosti. Dimenzije 402×349 cm. Sve dimenzije otvora prije izrade vrata  obavezno provjeriti na gradilištu.  Obračun po komadu ugrađenih vrata uključivo i automatika (motori) za otvaranje/zatvaranje i pripadno spajanje te puštanje u rad.</t>
  </si>
  <si>
    <t>listopad 2025. godine</t>
  </si>
  <si>
    <t>Dobava i montaža trapeznog krovnog izolacijskog panela. Panel je ispunjen mineralnom vunom MW (50 kg/m3), (U= 0,537 W/mK), debljine 6 cm, vanjski lim profilirani debljine 0,60 mm, poliesterska boja debljine 25 my. 
Ral boja lima panela po izboru investitora. Vatrootpornost panela: REI 30
Tehničke karakteristike panela dokazati ovjerenom tvorničkom izjavom o svojstvima (DOP) te certifikatom o stalnosti svojstava izdanim od akreditirane EU certifikacijske kuće.
Obavezna primjena svih propisanih uputa za montažu od strane proizvođača.  Panel je s obje strane zaštićen sa PVC folijom, koja se u montaži odstranjuje.
Obračun po m2 ugrađenih panela. U stavku uključen sav  spojni i pričvrsni materijal, brtve, kalote i podlošci.</t>
  </si>
  <si>
    <t>Bakteriološka analiza uzoraka vode iz internog cjevovoda nakon dezinfekcije, ovjerena od ovlaštene institucije. U komplet ulazi 1 uzorak.</t>
  </si>
  <si>
    <t>Bakteriološka analiza uzoraka vode iz cjevovoda nakon dezinfekcije, ovjerena od ovlaštene institucije. U komplet ulazi 1 uzorak.</t>
  </si>
  <si>
    <t>Izvedba prodora kroz postojeću zidnu konstrukciju od blok opeke debljine d = 25 cm. U stavku uključiti brtvljenje oko instalacije koja prolazi kroz prodor. 
Prodor ∅ 120 mm.</t>
  </si>
  <si>
    <t>Dobava i montaža: Izolacija hladnih čeličnih vodovodnih cijevi vođenih nadžbukno sa samoljepljivom izolacijskom cijevi izrađenom iz spužvastog materijala na bazi sintetskog kaučuka, debljine 9 mm, toplinske vodljivosti do 0,036 W/m/K, prema DIN EN ISO 8497 ili jednakovrijedno i DIN EN ISO 12667 ili jednakovrijedno, koeficijent otpora prolasku vodene pare minimalno 7000, prema DIN EN ISO 13469 ili jednakovrijedno, klasa zapaljivosti – teško zapaljiv prema DIN 4102-B1 ili jednakovrijedno, samogasiv, nekapajući i ne prenosi vatru, slijedećih dimenzija i količina. Potrebna debljina</t>
  </si>
  <si>
    <t>Dobava i montaža: Izolacija hladnih čeličnih vodovodnih cijevi vođenih nadžbukno sa samoljepljivom izolacijskom cijevi izrađenom iz spužvastog materijala na bazi sintetskog kaučuka, debljine 9 mm, toplinske vodljivosti do 0,036 W/m/K, prema DIN EN ISO 8497 ili jednakovrijedno i DIN EN ISO 12667 ili jednakovrijedno, koeficijent otpora prolasku vodene pare minimalno 7000, prema DIN EN ISO 13469 ili jednakovrijedno, klasa zapaljivosti – teško zapaljiv prema DIN 4102-B1 ili jednakovrijedno, samogasiv, nekapajući i ne prenosi vatru, slijedećih dimenzija i količina.</t>
  </si>
  <si>
    <t>Izvedba prodora kroz postojeću zidnu konstrukciju od blok opeke debljine d = 25 cm. U stavku uključiti brtvljenje oko instalacije koja prolazi kroz prodor.
Prodor DN 50.</t>
  </si>
  <si>
    <t>Dobava i ugradnja nosača za vanjsku jedinicu VRF sustava – uključuje izradu i montažu čeličnih nosača, težine 60 kg po nosaču, na postolje uz građevinu, s pripadajućim spojnim i montažnim materijalom (vijci, tiple, sidrenje i zaštita od korozije). U cijenu su uključeni i antivibracijski podlošci/elementi za smanjenje prijenosa buke i vibracija na konstrukciju, kao i sva potrebna prilagodba i nivelacija postolja radi pravilnog pozicioniranja jedinice. Radovi obuhvaćaju kompletnu isporuku, montažu i osiguravanje stabilnosti i trajnosti sustava, spremnog za kasnije spajanje instalacija i puštanje u pogon.</t>
  </si>
  <si>
    <t>Dobava i montaža:
Toplinske izolacije bakrenih cijevi rashladnog medija debljine d = 13 mm s parnom branom. Zajedno sa potrebnim spojnim i montažnim materijalom do potpune funkcionalnosti.</t>
  </si>
  <si>
    <t>Dobava i montaža:
Toplinske izolacije bakrenih cijevi rashladnog medija, debljine d = 13 mm s parnom branom. Zajedno sa potrebnim spojnim i montažnim materijalom do potpune funkcionalnosti.</t>
  </si>
  <si>
    <t>Izrada, dobava i ugradnja vanjskih prozora dimenzija prema pozicijama. Dizajn i boju uskladiti s investitorom prije izrade i ugradnje. Materijal okvira prozora PVC, staklo dvostruko izolacijsko (4/16/4) s plinovitim punjenjem LowE premazom i trostrukim brtvljenjem.  Koeficijent prolaska topline: za ostakljene prozore Uw≤1,4 W/m2K, za prozore s ispunom od panela Uw≤2,0 W/m2K. U cijenu uključen sav rad, materijal i pribor potreban za izvršenje stavke u cijelosti. Sve dimenzije otvora prije izrade prozora obavezno provjeriti na gradilištu. Obračun po komadu ugrađenog prozora. 
Napomena: prozori kod kojih je posebno navedeno moraju u cijeni sadržavati i automatiku za odimljavanje (motori za automatsko otvaranje i spajanje istih te funkcionalna proba i izdavanje atestne dokumentacije).
Tehničke karakteristike:
- uk. koef. prolaska topline Uw ≤ 1,4 W/m²K, Uw ≤ 2,0 W/m²K
- indeks zvučne izolacije R’w ≥ 35 dB
- ostakljenje  Ug ≤ 1,1 W/m²K, low-E</t>
  </si>
  <si>
    <t>strojni iskop</t>
  </si>
  <si>
    <t>ručni iskop</t>
  </si>
  <si>
    <t>strojno planiranje</t>
  </si>
  <si>
    <t>ručno planiranje</t>
  </si>
  <si>
    <t>Dobava i ugradnja čeličnih profila dimenzija 70×70×5 mm, kao dodatnih elemenata za koje se vješaju instalacije. Profili se montiraju između sekundarnih profila krovišta na potrebne pozicije.
U jediničnu cijenu je uključena dobava i montaža pocinčanih elemenata za ovjes instalacija. Obračun po kg ugrađenog čeličnog profila.</t>
  </si>
  <si>
    <t>Dobava materijala, radionička priprema i izrada, transport i montaža čelične ograde vanjskog stubišta. 
Nosiva konstrukcija ograde se izvodi od čeličnih cijevi 80×80×3 mm, a ispuna od čeličnih cijevi 20×20×2 mm na međusobnom razmaku od 10 cm. Spajanje čeličnih cijevi predviđeno je varenjem, a sidrenje u AB stubište putem pripadnih pločica i vijaka, razrađeno radioničkom dokumentacijom. U cijenu uračunati sav materijal i rad, izradu radioničke dokumentacije koja se daje projektantu na ovjeru, ličenje temeljnim premazom i dvostruko ličenje lak bojom za metal u boji po izboru korisnika te sav potreban materijal i pribor za montažu. U cijenu ograde uračunati i potrebno uzemljenje. Visina ograde 120 cm. Obračun po m' ograde.</t>
  </si>
  <si>
    <t>Dobava i ugradnja montažnih nadvoja u vanjskim zidovima na mjestima izvođenja otvora - vrata. Ugradnja u širini zida, tj. širina nadvoja treba biti jednaka širini zida u koji se ugrađuje.  Pridržavati se preporuka proizvođača odabranog proizvoda (nadvoja). Ukoliko je  preporuka  proizvođača da određeni parametri nadilaze traženo stavkom, u tom slučaju izvesti sukladno preporuci proizvođača, a u slučaju da proizvođač preporučuje lošije parametre - potrebno je izvesti onako kako je traženo stavkom. 
Minimalni parametri: Montažni nadvoj s prijepustom min. 20 cm u odnosu na širinu otvora. Armatura unutar nadvoja je 2Ø10, i zapunjava se betonom klase C 30/37.
U cijeni rad, materijal, podupiranje i gradilišni transport do 50 m. Skela u posebnoj stavci. Ugradnju izvršiti prema uputama proizvođača. Obračun po komadu nadvoja ovisno o svijetloj širini otvora iznad kojeg se nadvoj ugrađuje.</t>
  </si>
  <si>
    <t>nadvoj iznad otvora svijetle širine 110 cm</t>
  </si>
  <si>
    <t>Nabava, dobava i ugradnja jednobojne epoksi podne obloge. Podlogu na koji se podna obloga postavlja potrebno je očistiti brušenjem, usisavanjem, sve prema uputama proizvođača. Na pripremljenu podlogu nanosi se sloj brzosušive dvoslojne nivelir mase na bazi cementa, debljine 0,70-2,50 cm, ovisno o neravninama, zatim podložni sloj - primer koji ima ulogu zatvaranja zračnih čepova u podlozi koji mogu dovesti do pojave rupica i slično. Nakon sušenja podloge, nanosi se epoksidni sloj. Potrebno je izvršiti posipanje kvarcnim pijeskom kako bi se osigurala protukliznost  podova. Granulacija kvarcnog posipa 0.4-0.8 mm. Sav rad izvoditi isključivo prema uputama proizvođača, materijal od istog proizvođača.  Debljina epoksi poda prema uputama proizvođača 4-6 mm, izvodi se u tri sloja. Odabrati sustav poda primjeren namjeni prostora - skladišna zgrada. Materijal mora biti prilagođen za velika opterećenja i vozila. Izvedba dilatacijskih reški umetanjem PE ispune u napravljenu dilataciju. Zapunjavanje dilatacionih reški u podu s jednokomponentnim poliuretanskim trajno elastičnim brtvilom.
Opis sokla: u donjem dijelu zida izvodi se holkel visine 5 cm iz mješavine epoksi smole i kvarcnog pijeska. Naknadno se premazuje istim materijalom kao i pod. Zid iznad holkela se premazuje epoksi smolom u visini dodatnih 15 cm. Premazivanje bočnih stijenki s temeljnim premazom u koliko je potrebno prema preporuci odabranog proizvođača sustava, uključeno u jediničnu cijenu. 
Svi proizvodi trebaju biti kompatibilni iz sustava istog proizvođača.
U cijenu m2 ukalkulirati sav rad, materijal i opremu potrebnu za izvršenje stavke u cijelosti. Sve radove izvesti kompletno do pune uporabljivosti poda. Boja prema izboru investitora.</t>
  </si>
  <si>
    <t>vertikalna ploha (sokl) ukupne visine cca 20 cm (holkel 5 cm + premaz na zidu 15 cm)</t>
  </si>
  <si>
    <t>Dobava pijeska i izrada posteljice za kanalizacijske cijevi. Prani riječni pijesak granulacije 0 - 4 mm.
Posteljica ispod kanalizacijskih cijevi je debljine 10 cm. Nabija se strojnim i ručnim nabijačima i po potrebi vlaži. Materijal je potrebno zbiti do modula stišljivosti Ms=25 MN/m2. Posteljica mora biti ravna, prilagođena obliku cijevi i uzdužnom padu tako da cijevi po cijeloj dužini naliježu na istu. Podmetanje kamena ispod cijevi ili podupiranje najstrože se zabranjuje.
Obračun po m3 izvedene posteljice.</t>
  </si>
  <si>
    <t>Dobava pijeska i izrada podloge za polaganje cijevi ili kabela u dnu rova. Debljina nasipa pijeska 5 cm ispod i iznad kabela ili cijevi. Koristiti prani riječni pijesak granulacije 0 - 4 mm.</t>
  </si>
  <si>
    <t>Dobava i postava prometnih znakova na pocinčanom stupu, uključivo i AB temelj (znak ''STOP'' - B02).</t>
  </si>
  <si>
    <t>10.3.</t>
  </si>
  <si>
    <t>Dobava, nabava i izvedba horizontalne signalizacije unutar skladišta. Izvodi se bojanjem trake (oznake) u signalnoj žutoj boji, širine cca 8 -10 cm, na podu. Svi proizvodi trebaju biti kompatibilni i iz istog sustava i proizvođača kao i epoksi pod. Izvedba prema tlocrtima. Obračun po m'.</t>
  </si>
  <si>
    <t>Dobava i montaža tipskog rasvjetnog konusnog ili okruglog stupa visine 6 m, sa razdjelnicom i temeljnim vijcima. Stup je od pocinčanog čelika. Promjer stupa za prihvat 60 mm, u donjem dijelu 139 mm. Završna obrada antracit.
Tehničke karakteristike:
- stup visine 6m sa razdjelnicom i temeljnim vijcima 
- promjer stupa za prihvat 60 mm, u donjem dijelu 139 mm
- završna obrada antracit boje kao RAL7021
- revizijsko okno dimenzija 45×186 mm
- osigurači 2×16A
- klasa zaštite II
- potrebne dimenzije temelja 1300×1300×1000 mm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</si>
</sst>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 _k_n_-;\-* #,##0.00\ _k_n_-;_-* &quot;-&quot;??\ _k_n_-;_-@_-"/>
    <numFmt numFmtId="165" formatCode="#,##0.00_ ;[Red]\-#,##0.00\ "/>
    <numFmt numFmtId="166" formatCode="#,##0_ ;[Red]\-#,##0\ "/>
  </numFmts>
  <fonts count="10" x14ac:knownFonts="1">
    <font>
      <sz val="11"/>
      <color theme="1"/>
      <name val="Calibri"/>
      <family val="2"/>
      <charset val="238"/>
      <scheme val="minor"/>
    </font>
    <font>
      <sz val="11"/>
      <color theme="1"/>
      <name val="Calibri"/>
      <family val="2"/>
      <charset val="238"/>
      <scheme val="minor"/>
    </font>
    <font>
      <sz val="10"/>
      <name val="Arial"/>
      <family val="2"/>
      <charset val="238"/>
    </font>
    <font>
      <b/>
      <sz val="12"/>
      <name val="Arial"/>
      <family val="2"/>
      <charset val="238"/>
    </font>
    <font>
      <b/>
      <sz val="10"/>
      <name val="Arial"/>
      <family val="2"/>
      <charset val="238"/>
    </font>
    <font>
      <sz val="14"/>
      <name val="Arial"/>
      <family val="2"/>
      <charset val="238"/>
    </font>
    <font>
      <b/>
      <sz val="14"/>
      <name val="Arial"/>
      <family val="2"/>
      <charset val="238"/>
    </font>
    <font>
      <i/>
      <sz val="8"/>
      <name val="Verdana"/>
      <family val="2"/>
      <charset val="238"/>
    </font>
    <font>
      <b/>
      <sz val="10"/>
      <color rgb="FFFF0000"/>
      <name val="Arial"/>
      <family val="2"/>
      <charset val="238"/>
    </font>
    <font>
      <sz val="9"/>
      <name val="Arial"/>
      <family val="2"/>
      <charset val="238"/>
    </font>
  </fonts>
  <fills count="2">
    <fill>
      <patternFill patternType="none"/>
    </fill>
    <fill>
      <patternFill patternType="gray125"/>
    </fill>
  </fills>
  <borders count="2">
    <border>
      <left/>
      <right/>
      <top/>
      <bottom/>
      <diagonal/>
    </border>
    <border>
      <left/>
      <right/>
      <top/>
      <bottom style="thin">
        <color indexed="64"/>
      </bottom>
      <diagonal/>
    </border>
  </borders>
  <cellStyleXfs count="5">
    <xf numFmtId="0" fontId="0" fillId="0" borderId="0"/>
    <xf numFmtId="164" fontId="1" fillId="0" borderId="0" applyFont="0" applyFill="0" applyBorder="0" applyAlignment="0" applyProtection="0"/>
    <xf numFmtId="0" fontId="7" fillId="0" borderId="0" applyBorder="0" applyProtection="0">
      <alignment horizontal="left" vertical="top" indent="1"/>
    </xf>
    <xf numFmtId="0" fontId="1" fillId="0" borderId="0"/>
    <xf numFmtId="0" fontId="2" fillId="0" borderId="0"/>
  </cellStyleXfs>
  <cellXfs count="71">
    <xf numFmtId="0" fontId="0" fillId="0" borderId="0" xfId="0"/>
    <xf numFmtId="0" fontId="2" fillId="0" borderId="0" xfId="0" applyFont="1" applyAlignment="1">
      <alignment horizontal="justify" vertical="top" wrapText="1"/>
    </xf>
    <xf numFmtId="4" fontId="2" fillId="0" borderId="0" xfId="0" applyNumberFormat="1" applyFont="1" applyAlignment="1">
      <alignment horizontal="center"/>
    </xf>
    <xf numFmtId="165" fontId="2" fillId="0" borderId="0" xfId="0" applyNumberFormat="1" applyFont="1" applyAlignment="1">
      <alignment horizontal="right"/>
    </xf>
    <xf numFmtId="165" fontId="2" fillId="0" borderId="0" xfId="0" applyNumberFormat="1" applyFont="1" applyAlignment="1" applyProtection="1">
      <alignment horizontal="right"/>
      <protection locked="0"/>
    </xf>
    <xf numFmtId="0" fontId="2" fillId="0" borderId="0" xfId="0" applyFont="1" applyAlignment="1">
      <alignment horizontal="center"/>
    </xf>
    <xf numFmtId="0" fontId="2" fillId="0" borderId="0" xfId="0" applyFont="1"/>
    <xf numFmtId="0" fontId="2" fillId="0" borderId="0" xfId="0" applyFont="1" applyAlignment="1">
      <alignment horizontal="right" vertical="top"/>
    </xf>
    <xf numFmtId="4" fontId="2" fillId="0" borderId="0" xfId="0" applyNumberFormat="1" applyFont="1"/>
    <xf numFmtId="0" fontId="3" fillId="0" borderId="0" xfId="0" applyFont="1" applyAlignment="1">
      <alignment horizontal="left" vertical="top"/>
    </xf>
    <xf numFmtId="4" fontId="3" fillId="0" borderId="0" xfId="0" applyNumberFormat="1" applyFont="1" applyAlignment="1">
      <alignment horizontal="left"/>
    </xf>
    <xf numFmtId="0" fontId="3" fillId="0" borderId="0" xfId="0" applyFont="1" applyAlignment="1">
      <alignment horizontal="right" vertical="top"/>
    </xf>
    <xf numFmtId="4" fontId="3" fillId="0" borderId="0" xfId="0" applyNumberFormat="1" applyFont="1" applyAlignment="1">
      <alignment horizontal="center"/>
    </xf>
    <xf numFmtId="165" fontId="3" fillId="0" borderId="0" xfId="0" applyNumberFormat="1" applyFont="1" applyAlignment="1">
      <alignment horizontal="right"/>
    </xf>
    <xf numFmtId="165" fontId="3" fillId="0" borderId="0" xfId="0" applyNumberFormat="1" applyFont="1" applyAlignment="1" applyProtection="1">
      <alignment horizontal="right"/>
      <protection locked="0"/>
    </xf>
    <xf numFmtId="4" fontId="3" fillId="0" borderId="0" xfId="0" applyNumberFormat="1" applyFont="1"/>
    <xf numFmtId="0" fontId="3" fillId="0" borderId="0" xfId="0" applyFont="1"/>
    <xf numFmtId="0" fontId="4" fillId="0" borderId="0" xfId="0" applyFont="1" applyAlignment="1">
      <alignment horizontal="center"/>
    </xf>
    <xf numFmtId="0" fontId="4" fillId="0" borderId="0" xfId="0" applyFont="1" applyAlignment="1" applyProtection="1">
      <alignment horizontal="center"/>
      <protection locked="0"/>
    </xf>
    <xf numFmtId="0" fontId="4" fillId="0" borderId="0" xfId="0" applyFont="1" applyAlignment="1">
      <alignment horizontal="justify" vertical="top" wrapText="1"/>
    </xf>
    <xf numFmtId="0" fontId="4" fillId="0" borderId="0" xfId="0" applyFont="1" applyAlignment="1">
      <alignment horizontal="left"/>
    </xf>
    <xf numFmtId="0" fontId="2" fillId="0" borderId="0" xfId="0" applyFont="1" applyProtection="1">
      <protection locked="0"/>
    </xf>
    <xf numFmtId="4" fontId="4" fillId="0" borderId="0" xfId="0" applyNumberFormat="1" applyFont="1" applyAlignment="1">
      <alignment horizontal="center"/>
    </xf>
    <xf numFmtId="0" fontId="4" fillId="0" borderId="0" xfId="0" applyFont="1" applyAlignment="1">
      <alignment horizontal="left" vertical="top"/>
    </xf>
    <xf numFmtId="0" fontId="4" fillId="0" borderId="0" xfId="0" applyFont="1" applyAlignment="1">
      <alignment horizontal="left" vertical="center" wrapText="1"/>
    </xf>
    <xf numFmtId="0" fontId="4" fillId="0" borderId="0" xfId="0" applyFont="1" applyAlignment="1">
      <alignment horizontal="left" vertical="top" wrapText="1"/>
    </xf>
    <xf numFmtId="0" fontId="5" fillId="0" borderId="0" xfId="0" applyFont="1" applyAlignment="1">
      <alignment horizontal="left" vertical="top"/>
    </xf>
    <xf numFmtId="0" fontId="6" fillId="0" borderId="0" xfId="0" applyFont="1" applyAlignment="1">
      <alignment horizontal="left" vertical="top"/>
    </xf>
    <xf numFmtId="4" fontId="5" fillId="0" borderId="0" xfId="0" applyNumberFormat="1" applyFont="1" applyAlignment="1">
      <alignment horizontal="left"/>
    </xf>
    <xf numFmtId="165" fontId="5" fillId="0" borderId="0" xfId="0" applyNumberFormat="1" applyFont="1" applyAlignment="1">
      <alignment horizontal="left"/>
    </xf>
    <xf numFmtId="165" fontId="5" fillId="0" borderId="0" xfId="0" applyNumberFormat="1" applyFont="1" applyAlignment="1" applyProtection="1">
      <alignment horizontal="left"/>
      <protection locked="0"/>
    </xf>
    <xf numFmtId="0" fontId="5" fillId="0" borderId="0" xfId="0" applyFont="1" applyAlignment="1">
      <alignment horizontal="left"/>
    </xf>
    <xf numFmtId="49" fontId="2" fillId="0" borderId="0" xfId="0" applyNumberFormat="1" applyFont="1" applyAlignment="1">
      <alignment horizontal="right" vertical="top"/>
    </xf>
    <xf numFmtId="49" fontId="2" fillId="0" borderId="0" xfId="0" applyNumberFormat="1" applyFont="1" applyAlignment="1">
      <alignment horizontal="center"/>
    </xf>
    <xf numFmtId="165" fontId="2" fillId="0" borderId="0" xfId="1" applyNumberFormat="1" applyFont="1" applyBorder="1" applyAlignment="1" applyProtection="1">
      <alignment horizontal="right"/>
      <protection locked="0"/>
    </xf>
    <xf numFmtId="0" fontId="4" fillId="0" borderId="0" xfId="0" applyFont="1" applyAlignment="1">
      <alignment horizontal="right" vertical="top"/>
    </xf>
    <xf numFmtId="4" fontId="2" fillId="0" borderId="0" xfId="0" applyNumberFormat="1" applyFont="1" applyAlignment="1">
      <alignment horizontal="center" vertical="center"/>
    </xf>
    <xf numFmtId="0" fontId="2" fillId="0" borderId="0" xfId="0" applyFont="1" applyAlignment="1">
      <alignment horizontal="center" vertical="center"/>
    </xf>
    <xf numFmtId="4" fontId="2" fillId="0" borderId="0" xfId="0" applyNumberFormat="1" applyFont="1" applyAlignment="1">
      <alignment horizontal="center" vertical="center" wrapText="1"/>
    </xf>
    <xf numFmtId="165" fontId="2" fillId="0" borderId="0" xfId="0" applyNumberFormat="1" applyFont="1" applyAlignment="1">
      <alignment horizontal="right" vertical="center" wrapText="1"/>
    </xf>
    <xf numFmtId="165" fontId="2" fillId="0" borderId="0" xfId="0" applyNumberFormat="1" applyFont="1" applyAlignment="1" applyProtection="1">
      <alignment horizontal="right" vertical="center" wrapText="1"/>
      <protection locked="0"/>
    </xf>
    <xf numFmtId="0" fontId="4" fillId="0" borderId="0" xfId="0" applyFont="1"/>
    <xf numFmtId="165" fontId="4" fillId="0" borderId="0" xfId="0" applyNumberFormat="1" applyFont="1" applyAlignment="1">
      <alignment horizontal="right"/>
    </xf>
    <xf numFmtId="165" fontId="4" fillId="0" borderId="0" xfId="0" applyNumberFormat="1" applyFont="1" applyAlignment="1" applyProtection="1">
      <alignment horizontal="right"/>
      <protection locked="0"/>
    </xf>
    <xf numFmtId="0" fontId="4" fillId="0" borderId="0" xfId="0" applyFont="1" applyAlignment="1">
      <alignment horizontal="right" vertical="top" wrapText="1"/>
    </xf>
    <xf numFmtId="49" fontId="4" fillId="0" borderId="0" xfId="0" applyNumberFormat="1" applyFont="1" applyAlignment="1">
      <alignment horizontal="right" vertical="top"/>
    </xf>
    <xf numFmtId="165" fontId="2" fillId="0" borderId="0" xfId="1" applyNumberFormat="1" applyFont="1" applyFill="1" applyBorder="1" applyAlignment="1" applyProtection="1">
      <alignment horizontal="right"/>
      <protection locked="0"/>
    </xf>
    <xf numFmtId="165" fontId="4" fillId="0" borderId="0" xfId="1" applyNumberFormat="1" applyFont="1" applyBorder="1" applyAlignment="1" applyProtection="1">
      <alignment horizontal="right"/>
      <protection locked="0"/>
    </xf>
    <xf numFmtId="165" fontId="4" fillId="0" borderId="0" xfId="1" applyNumberFormat="1" applyFont="1" applyBorder="1" applyAlignment="1" applyProtection="1">
      <alignment horizontal="right"/>
    </xf>
    <xf numFmtId="165" fontId="4" fillId="0" borderId="0" xfId="1" applyNumberFormat="1" applyFont="1" applyFill="1" applyBorder="1" applyAlignment="1" applyProtection="1">
      <alignment horizontal="right"/>
      <protection locked="0"/>
    </xf>
    <xf numFmtId="0" fontId="2" fillId="0" borderId="0" xfId="0" applyFont="1" applyAlignment="1">
      <alignment horizontal="right" vertical="top" wrapText="1"/>
    </xf>
    <xf numFmtId="166" fontId="2" fillId="0" borderId="0" xfId="0" applyNumberFormat="1" applyFont="1" applyAlignment="1">
      <alignment horizontal="right"/>
    </xf>
    <xf numFmtId="0" fontId="9" fillId="0" borderId="1" xfId="0" applyFont="1" applyBorder="1" applyAlignment="1">
      <alignment horizontal="center" vertical="center" wrapText="1"/>
    </xf>
    <xf numFmtId="0" fontId="9" fillId="0" borderId="1" xfId="0" applyFont="1" applyBorder="1" applyAlignment="1">
      <alignment horizontal="left" vertical="center" wrapText="1"/>
    </xf>
    <xf numFmtId="4" fontId="9" fillId="0" borderId="1" xfId="0" applyNumberFormat="1" applyFont="1" applyBorder="1" applyAlignment="1">
      <alignment horizontal="center" vertical="center" wrapText="1"/>
    </xf>
    <xf numFmtId="165" fontId="9" fillId="0" borderId="1" xfId="0" applyNumberFormat="1" applyFont="1" applyBorder="1" applyAlignment="1">
      <alignment horizontal="center" vertical="center" wrapText="1"/>
    </xf>
    <xf numFmtId="165" fontId="9" fillId="0" borderId="1" xfId="0" applyNumberFormat="1" applyFont="1" applyBorder="1" applyAlignment="1" applyProtection="1">
      <alignment horizontal="center" vertical="center" wrapText="1"/>
      <protection locked="0"/>
    </xf>
    <xf numFmtId="0" fontId="2" fillId="0" borderId="0" xfId="0" applyFont="1" applyAlignment="1">
      <alignment horizontal="left" vertical="top"/>
    </xf>
    <xf numFmtId="165" fontId="4" fillId="0" borderId="0" xfId="0" applyNumberFormat="1" applyFont="1" applyAlignment="1">
      <alignment wrapText="1"/>
    </xf>
    <xf numFmtId="0" fontId="2" fillId="0" borderId="0" xfId="0" quotePrefix="1" applyFont="1" applyAlignment="1">
      <alignment horizontal="justify" vertical="top" wrapText="1"/>
    </xf>
    <xf numFmtId="0" fontId="4" fillId="0" borderId="0" xfId="0" quotePrefix="1" applyFont="1" applyAlignment="1">
      <alignment horizontal="justify" vertical="top" wrapText="1"/>
    </xf>
    <xf numFmtId="0" fontId="4" fillId="0" borderId="0" xfId="0" applyFont="1" applyAlignment="1">
      <alignment vertical="top" wrapText="1"/>
    </xf>
    <xf numFmtId="0" fontId="4" fillId="0" borderId="0" xfId="0" applyFont="1" applyProtection="1">
      <protection locked="0"/>
    </xf>
    <xf numFmtId="0" fontId="8" fillId="0" borderId="0" xfId="0" applyFont="1"/>
    <xf numFmtId="0" fontId="8" fillId="0" borderId="0" xfId="0" applyFont="1" applyProtection="1">
      <protection locked="0"/>
    </xf>
    <xf numFmtId="0" fontId="2" fillId="0" borderId="0" xfId="0" applyFont="1" applyAlignment="1">
      <alignment vertical="top" wrapText="1"/>
    </xf>
    <xf numFmtId="49" fontId="2" fillId="0" borderId="0" xfId="3" applyNumberFormat="1" applyFont="1" applyAlignment="1">
      <alignment horizontal="right" vertical="top"/>
    </xf>
    <xf numFmtId="0" fontId="2" fillId="0" borderId="0" xfId="3" applyFont="1" applyAlignment="1">
      <alignment horizontal="justify" vertical="top" wrapText="1"/>
    </xf>
    <xf numFmtId="0" fontId="4" fillId="0" borderId="0" xfId="0" applyFont="1" applyAlignment="1">
      <alignment vertical="top"/>
    </xf>
    <xf numFmtId="165" fontId="2" fillId="0" borderId="0" xfId="0" applyNumberFormat="1" applyFont="1" applyAlignment="1">
      <alignment horizontal="right" wrapText="1"/>
    </xf>
    <xf numFmtId="165" fontId="4" fillId="0" borderId="0" xfId="0" applyNumberFormat="1" applyFont="1" applyAlignment="1">
      <alignment horizontal="justify" vertical="top" wrapText="1"/>
    </xf>
  </cellXfs>
  <cellStyles count="5">
    <cellStyle name="Italic" xfId="2" xr:uid="{00000000-0005-0000-0000-000000000000}"/>
    <cellStyle name="Normalno" xfId="0" builtinId="0"/>
    <cellStyle name="Normalno 5 2" xfId="3" xr:uid="{00000000-0005-0000-0000-000002000000}"/>
    <cellStyle name="Normalno 94 2" xfId="4" xr:uid="{00000000-0005-0000-0000-000003000000}"/>
    <cellStyle name="Zarez" xfId="1" builtin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Tema sustava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5"/>
  <sheetViews>
    <sheetView showZeros="0" topLeftCell="A55" zoomScale="120" zoomScaleNormal="120" workbookViewId="0">
      <selection activeCell="G47" sqref="G47"/>
    </sheetView>
  </sheetViews>
  <sheetFormatPr defaultRowHeight="13.2" x14ac:dyDescent="0.25"/>
  <cols>
    <col min="1" max="1" width="6.109375" style="32" customWidth="1"/>
    <col min="2" max="2" width="50.6640625" style="1" customWidth="1"/>
    <col min="3" max="3" width="5.6640625" style="2" customWidth="1"/>
    <col min="4" max="4" width="9.33203125" style="3" customWidth="1"/>
    <col min="5" max="5" width="10.88671875" style="34" hidden="1" customWidth="1"/>
    <col min="6" max="6" width="14.109375" style="3" hidden="1" customWidth="1"/>
    <col min="7" max="7" width="10.88671875" style="34" customWidth="1"/>
    <col min="8" max="8" width="14.109375" style="3" customWidth="1"/>
    <col min="9" max="258" width="9.109375" style="6"/>
    <col min="259" max="259" width="7.44140625" style="6" customWidth="1"/>
    <col min="260" max="260" width="51.88671875" style="6" customWidth="1"/>
    <col min="261" max="261" width="7.44140625" style="6" customWidth="1"/>
    <col min="262" max="262" width="11.33203125" style="6" customWidth="1"/>
    <col min="263" max="263" width="12.5546875" style="6" customWidth="1"/>
    <col min="264" max="264" width="16.44140625" style="6" customWidth="1"/>
    <col min="265" max="514" width="9.109375" style="6"/>
    <col min="515" max="515" width="7.44140625" style="6" customWidth="1"/>
    <col min="516" max="516" width="51.88671875" style="6" customWidth="1"/>
    <col min="517" max="517" width="7.44140625" style="6" customWidth="1"/>
    <col min="518" max="518" width="11.33203125" style="6" customWidth="1"/>
    <col min="519" max="519" width="12.5546875" style="6" customWidth="1"/>
    <col min="520" max="520" width="16.44140625" style="6" customWidth="1"/>
    <col min="521" max="770" width="9.109375" style="6"/>
    <col min="771" max="771" width="7.44140625" style="6" customWidth="1"/>
    <col min="772" max="772" width="51.88671875" style="6" customWidth="1"/>
    <col min="773" max="773" width="7.44140625" style="6" customWidth="1"/>
    <col min="774" max="774" width="11.33203125" style="6" customWidth="1"/>
    <col min="775" max="775" width="12.5546875" style="6" customWidth="1"/>
    <col min="776" max="776" width="16.44140625" style="6" customWidth="1"/>
    <col min="777" max="1026" width="9.109375" style="6"/>
    <col min="1027" max="1027" width="7.44140625" style="6" customWidth="1"/>
    <col min="1028" max="1028" width="51.88671875" style="6" customWidth="1"/>
    <col min="1029" max="1029" width="7.44140625" style="6" customWidth="1"/>
    <col min="1030" max="1030" width="11.33203125" style="6" customWidth="1"/>
    <col min="1031" max="1031" width="12.5546875" style="6" customWidth="1"/>
    <col min="1032" max="1032" width="16.44140625" style="6" customWidth="1"/>
    <col min="1033" max="1282" width="9.109375" style="6"/>
    <col min="1283" max="1283" width="7.44140625" style="6" customWidth="1"/>
    <col min="1284" max="1284" width="51.88671875" style="6" customWidth="1"/>
    <col min="1285" max="1285" width="7.44140625" style="6" customWidth="1"/>
    <col min="1286" max="1286" width="11.33203125" style="6" customWidth="1"/>
    <col min="1287" max="1287" width="12.5546875" style="6" customWidth="1"/>
    <col min="1288" max="1288" width="16.44140625" style="6" customWidth="1"/>
    <col min="1289" max="1538" width="9.109375" style="6"/>
    <col min="1539" max="1539" width="7.44140625" style="6" customWidth="1"/>
    <col min="1540" max="1540" width="51.88671875" style="6" customWidth="1"/>
    <col min="1541" max="1541" width="7.44140625" style="6" customWidth="1"/>
    <col min="1542" max="1542" width="11.33203125" style="6" customWidth="1"/>
    <col min="1543" max="1543" width="12.5546875" style="6" customWidth="1"/>
    <col min="1544" max="1544" width="16.44140625" style="6" customWidth="1"/>
    <col min="1545" max="1794" width="9.109375" style="6"/>
    <col min="1795" max="1795" width="7.44140625" style="6" customWidth="1"/>
    <col min="1796" max="1796" width="51.88671875" style="6" customWidth="1"/>
    <col min="1797" max="1797" width="7.44140625" style="6" customWidth="1"/>
    <col min="1798" max="1798" width="11.33203125" style="6" customWidth="1"/>
    <col min="1799" max="1799" width="12.5546875" style="6" customWidth="1"/>
    <col min="1800" max="1800" width="16.44140625" style="6" customWidth="1"/>
    <col min="1801" max="2050" width="9.109375" style="6"/>
    <col min="2051" max="2051" width="7.44140625" style="6" customWidth="1"/>
    <col min="2052" max="2052" width="51.88671875" style="6" customWidth="1"/>
    <col min="2053" max="2053" width="7.44140625" style="6" customWidth="1"/>
    <col min="2054" max="2054" width="11.33203125" style="6" customWidth="1"/>
    <col min="2055" max="2055" width="12.5546875" style="6" customWidth="1"/>
    <col min="2056" max="2056" width="16.44140625" style="6" customWidth="1"/>
    <col min="2057" max="2306" width="9.109375" style="6"/>
    <col min="2307" max="2307" width="7.44140625" style="6" customWidth="1"/>
    <col min="2308" max="2308" width="51.88671875" style="6" customWidth="1"/>
    <col min="2309" max="2309" width="7.44140625" style="6" customWidth="1"/>
    <col min="2310" max="2310" width="11.33203125" style="6" customWidth="1"/>
    <col min="2311" max="2311" width="12.5546875" style="6" customWidth="1"/>
    <col min="2312" max="2312" width="16.44140625" style="6" customWidth="1"/>
    <col min="2313" max="2562" width="9.109375" style="6"/>
    <col min="2563" max="2563" width="7.44140625" style="6" customWidth="1"/>
    <col min="2564" max="2564" width="51.88671875" style="6" customWidth="1"/>
    <col min="2565" max="2565" width="7.44140625" style="6" customWidth="1"/>
    <col min="2566" max="2566" width="11.33203125" style="6" customWidth="1"/>
    <col min="2567" max="2567" width="12.5546875" style="6" customWidth="1"/>
    <col min="2568" max="2568" width="16.44140625" style="6" customWidth="1"/>
    <col min="2569" max="2818" width="9.109375" style="6"/>
    <col min="2819" max="2819" width="7.44140625" style="6" customWidth="1"/>
    <col min="2820" max="2820" width="51.88671875" style="6" customWidth="1"/>
    <col min="2821" max="2821" width="7.44140625" style="6" customWidth="1"/>
    <col min="2822" max="2822" width="11.33203125" style="6" customWidth="1"/>
    <col min="2823" max="2823" width="12.5546875" style="6" customWidth="1"/>
    <col min="2824" max="2824" width="16.44140625" style="6" customWidth="1"/>
    <col min="2825" max="3074" width="9.109375" style="6"/>
    <col min="3075" max="3075" width="7.44140625" style="6" customWidth="1"/>
    <col min="3076" max="3076" width="51.88671875" style="6" customWidth="1"/>
    <col min="3077" max="3077" width="7.44140625" style="6" customWidth="1"/>
    <col min="3078" max="3078" width="11.33203125" style="6" customWidth="1"/>
    <col min="3079" max="3079" width="12.5546875" style="6" customWidth="1"/>
    <col min="3080" max="3080" width="16.44140625" style="6" customWidth="1"/>
    <col min="3081" max="3330" width="9.109375" style="6"/>
    <col min="3331" max="3331" width="7.44140625" style="6" customWidth="1"/>
    <col min="3332" max="3332" width="51.88671875" style="6" customWidth="1"/>
    <col min="3333" max="3333" width="7.44140625" style="6" customWidth="1"/>
    <col min="3334" max="3334" width="11.33203125" style="6" customWidth="1"/>
    <col min="3335" max="3335" width="12.5546875" style="6" customWidth="1"/>
    <col min="3336" max="3336" width="16.44140625" style="6" customWidth="1"/>
    <col min="3337" max="3586" width="9.109375" style="6"/>
    <col min="3587" max="3587" width="7.44140625" style="6" customWidth="1"/>
    <col min="3588" max="3588" width="51.88671875" style="6" customWidth="1"/>
    <col min="3589" max="3589" width="7.44140625" style="6" customWidth="1"/>
    <col min="3590" max="3590" width="11.33203125" style="6" customWidth="1"/>
    <col min="3591" max="3591" width="12.5546875" style="6" customWidth="1"/>
    <col min="3592" max="3592" width="16.44140625" style="6" customWidth="1"/>
    <col min="3593" max="3842" width="9.109375" style="6"/>
    <col min="3843" max="3843" width="7.44140625" style="6" customWidth="1"/>
    <col min="3844" max="3844" width="51.88671875" style="6" customWidth="1"/>
    <col min="3845" max="3845" width="7.44140625" style="6" customWidth="1"/>
    <col min="3846" max="3846" width="11.33203125" style="6" customWidth="1"/>
    <col min="3847" max="3847" width="12.5546875" style="6" customWidth="1"/>
    <col min="3848" max="3848" width="16.44140625" style="6" customWidth="1"/>
    <col min="3849" max="4098" width="9.109375" style="6"/>
    <col min="4099" max="4099" width="7.44140625" style="6" customWidth="1"/>
    <col min="4100" max="4100" width="51.88671875" style="6" customWidth="1"/>
    <col min="4101" max="4101" width="7.44140625" style="6" customWidth="1"/>
    <col min="4102" max="4102" width="11.33203125" style="6" customWidth="1"/>
    <col min="4103" max="4103" width="12.5546875" style="6" customWidth="1"/>
    <col min="4104" max="4104" width="16.44140625" style="6" customWidth="1"/>
    <col min="4105" max="4354" width="9.109375" style="6"/>
    <col min="4355" max="4355" width="7.44140625" style="6" customWidth="1"/>
    <col min="4356" max="4356" width="51.88671875" style="6" customWidth="1"/>
    <col min="4357" max="4357" width="7.44140625" style="6" customWidth="1"/>
    <col min="4358" max="4358" width="11.33203125" style="6" customWidth="1"/>
    <col min="4359" max="4359" width="12.5546875" style="6" customWidth="1"/>
    <col min="4360" max="4360" width="16.44140625" style="6" customWidth="1"/>
    <col min="4361" max="4610" width="9.109375" style="6"/>
    <col min="4611" max="4611" width="7.44140625" style="6" customWidth="1"/>
    <col min="4612" max="4612" width="51.88671875" style="6" customWidth="1"/>
    <col min="4613" max="4613" width="7.44140625" style="6" customWidth="1"/>
    <col min="4614" max="4614" width="11.33203125" style="6" customWidth="1"/>
    <col min="4615" max="4615" width="12.5546875" style="6" customWidth="1"/>
    <col min="4616" max="4616" width="16.44140625" style="6" customWidth="1"/>
    <col min="4617" max="4866" width="9.109375" style="6"/>
    <col min="4867" max="4867" width="7.44140625" style="6" customWidth="1"/>
    <col min="4868" max="4868" width="51.88671875" style="6" customWidth="1"/>
    <col min="4869" max="4869" width="7.44140625" style="6" customWidth="1"/>
    <col min="4870" max="4870" width="11.33203125" style="6" customWidth="1"/>
    <col min="4871" max="4871" width="12.5546875" style="6" customWidth="1"/>
    <col min="4872" max="4872" width="16.44140625" style="6" customWidth="1"/>
    <col min="4873" max="5122" width="9.109375" style="6"/>
    <col min="5123" max="5123" width="7.44140625" style="6" customWidth="1"/>
    <col min="5124" max="5124" width="51.88671875" style="6" customWidth="1"/>
    <col min="5125" max="5125" width="7.44140625" style="6" customWidth="1"/>
    <col min="5126" max="5126" width="11.33203125" style="6" customWidth="1"/>
    <col min="5127" max="5127" width="12.5546875" style="6" customWidth="1"/>
    <col min="5128" max="5128" width="16.44140625" style="6" customWidth="1"/>
    <col min="5129" max="5378" width="9.109375" style="6"/>
    <col min="5379" max="5379" width="7.44140625" style="6" customWidth="1"/>
    <col min="5380" max="5380" width="51.88671875" style="6" customWidth="1"/>
    <col min="5381" max="5381" width="7.44140625" style="6" customWidth="1"/>
    <col min="5382" max="5382" width="11.33203125" style="6" customWidth="1"/>
    <col min="5383" max="5383" width="12.5546875" style="6" customWidth="1"/>
    <col min="5384" max="5384" width="16.44140625" style="6" customWidth="1"/>
    <col min="5385" max="5634" width="9.109375" style="6"/>
    <col min="5635" max="5635" width="7.44140625" style="6" customWidth="1"/>
    <col min="5636" max="5636" width="51.88671875" style="6" customWidth="1"/>
    <col min="5637" max="5637" width="7.44140625" style="6" customWidth="1"/>
    <col min="5638" max="5638" width="11.33203125" style="6" customWidth="1"/>
    <col min="5639" max="5639" width="12.5546875" style="6" customWidth="1"/>
    <col min="5640" max="5640" width="16.44140625" style="6" customWidth="1"/>
    <col min="5641" max="5890" width="9.109375" style="6"/>
    <col min="5891" max="5891" width="7.44140625" style="6" customWidth="1"/>
    <col min="5892" max="5892" width="51.88671875" style="6" customWidth="1"/>
    <col min="5893" max="5893" width="7.44140625" style="6" customWidth="1"/>
    <col min="5894" max="5894" width="11.33203125" style="6" customWidth="1"/>
    <col min="5895" max="5895" width="12.5546875" style="6" customWidth="1"/>
    <col min="5896" max="5896" width="16.44140625" style="6" customWidth="1"/>
    <col min="5897" max="6146" width="9.109375" style="6"/>
    <col min="6147" max="6147" width="7.44140625" style="6" customWidth="1"/>
    <col min="6148" max="6148" width="51.88671875" style="6" customWidth="1"/>
    <col min="6149" max="6149" width="7.44140625" style="6" customWidth="1"/>
    <col min="6150" max="6150" width="11.33203125" style="6" customWidth="1"/>
    <col min="6151" max="6151" width="12.5546875" style="6" customWidth="1"/>
    <col min="6152" max="6152" width="16.44140625" style="6" customWidth="1"/>
    <col min="6153" max="6402" width="9.109375" style="6"/>
    <col min="6403" max="6403" width="7.44140625" style="6" customWidth="1"/>
    <col min="6404" max="6404" width="51.88671875" style="6" customWidth="1"/>
    <col min="6405" max="6405" width="7.44140625" style="6" customWidth="1"/>
    <col min="6406" max="6406" width="11.33203125" style="6" customWidth="1"/>
    <col min="6407" max="6407" width="12.5546875" style="6" customWidth="1"/>
    <col min="6408" max="6408" width="16.44140625" style="6" customWidth="1"/>
    <col min="6409" max="6658" width="9.109375" style="6"/>
    <col min="6659" max="6659" width="7.44140625" style="6" customWidth="1"/>
    <col min="6660" max="6660" width="51.88671875" style="6" customWidth="1"/>
    <col min="6661" max="6661" width="7.44140625" style="6" customWidth="1"/>
    <col min="6662" max="6662" width="11.33203125" style="6" customWidth="1"/>
    <col min="6663" max="6663" width="12.5546875" style="6" customWidth="1"/>
    <col min="6664" max="6664" width="16.44140625" style="6" customWidth="1"/>
    <col min="6665" max="6914" width="9.109375" style="6"/>
    <col min="6915" max="6915" width="7.44140625" style="6" customWidth="1"/>
    <col min="6916" max="6916" width="51.88671875" style="6" customWidth="1"/>
    <col min="6917" max="6917" width="7.44140625" style="6" customWidth="1"/>
    <col min="6918" max="6918" width="11.33203125" style="6" customWidth="1"/>
    <col min="6919" max="6919" width="12.5546875" style="6" customWidth="1"/>
    <col min="6920" max="6920" width="16.44140625" style="6" customWidth="1"/>
    <col min="6921" max="7170" width="9.109375" style="6"/>
    <col min="7171" max="7171" width="7.44140625" style="6" customWidth="1"/>
    <col min="7172" max="7172" width="51.88671875" style="6" customWidth="1"/>
    <col min="7173" max="7173" width="7.44140625" style="6" customWidth="1"/>
    <col min="7174" max="7174" width="11.33203125" style="6" customWidth="1"/>
    <col min="7175" max="7175" width="12.5546875" style="6" customWidth="1"/>
    <col min="7176" max="7176" width="16.44140625" style="6" customWidth="1"/>
    <col min="7177" max="7426" width="9.109375" style="6"/>
    <col min="7427" max="7427" width="7.44140625" style="6" customWidth="1"/>
    <col min="7428" max="7428" width="51.88671875" style="6" customWidth="1"/>
    <col min="7429" max="7429" width="7.44140625" style="6" customWidth="1"/>
    <col min="7430" max="7430" width="11.33203125" style="6" customWidth="1"/>
    <col min="7431" max="7431" width="12.5546875" style="6" customWidth="1"/>
    <col min="7432" max="7432" width="16.44140625" style="6" customWidth="1"/>
    <col min="7433" max="7682" width="9.109375" style="6"/>
    <col min="7683" max="7683" width="7.44140625" style="6" customWidth="1"/>
    <col min="7684" max="7684" width="51.88671875" style="6" customWidth="1"/>
    <col min="7685" max="7685" width="7.44140625" style="6" customWidth="1"/>
    <col min="7686" max="7686" width="11.33203125" style="6" customWidth="1"/>
    <col min="7687" max="7687" width="12.5546875" style="6" customWidth="1"/>
    <col min="7688" max="7688" width="16.44140625" style="6" customWidth="1"/>
    <col min="7689" max="7938" width="9.109375" style="6"/>
    <col min="7939" max="7939" width="7.44140625" style="6" customWidth="1"/>
    <col min="7940" max="7940" width="51.88671875" style="6" customWidth="1"/>
    <col min="7941" max="7941" width="7.44140625" style="6" customWidth="1"/>
    <col min="7942" max="7942" width="11.33203125" style="6" customWidth="1"/>
    <col min="7943" max="7943" width="12.5546875" style="6" customWidth="1"/>
    <col min="7944" max="7944" width="16.44140625" style="6" customWidth="1"/>
    <col min="7945" max="8194" width="9.109375" style="6"/>
    <col min="8195" max="8195" width="7.44140625" style="6" customWidth="1"/>
    <col min="8196" max="8196" width="51.88671875" style="6" customWidth="1"/>
    <col min="8197" max="8197" width="7.44140625" style="6" customWidth="1"/>
    <col min="8198" max="8198" width="11.33203125" style="6" customWidth="1"/>
    <col min="8199" max="8199" width="12.5546875" style="6" customWidth="1"/>
    <col min="8200" max="8200" width="16.44140625" style="6" customWidth="1"/>
    <col min="8201" max="8450" width="9.109375" style="6"/>
    <col min="8451" max="8451" width="7.44140625" style="6" customWidth="1"/>
    <col min="8452" max="8452" width="51.88671875" style="6" customWidth="1"/>
    <col min="8453" max="8453" width="7.44140625" style="6" customWidth="1"/>
    <col min="8454" max="8454" width="11.33203125" style="6" customWidth="1"/>
    <col min="8455" max="8455" width="12.5546875" style="6" customWidth="1"/>
    <col min="8456" max="8456" width="16.44140625" style="6" customWidth="1"/>
    <col min="8457" max="8706" width="9.109375" style="6"/>
    <col min="8707" max="8707" width="7.44140625" style="6" customWidth="1"/>
    <col min="8708" max="8708" width="51.88671875" style="6" customWidth="1"/>
    <col min="8709" max="8709" width="7.44140625" style="6" customWidth="1"/>
    <col min="8710" max="8710" width="11.33203125" style="6" customWidth="1"/>
    <col min="8711" max="8711" width="12.5546875" style="6" customWidth="1"/>
    <col min="8712" max="8712" width="16.44140625" style="6" customWidth="1"/>
    <col min="8713" max="8962" width="9.109375" style="6"/>
    <col min="8963" max="8963" width="7.44140625" style="6" customWidth="1"/>
    <col min="8964" max="8964" width="51.88671875" style="6" customWidth="1"/>
    <col min="8965" max="8965" width="7.44140625" style="6" customWidth="1"/>
    <col min="8966" max="8966" width="11.33203125" style="6" customWidth="1"/>
    <col min="8967" max="8967" width="12.5546875" style="6" customWidth="1"/>
    <col min="8968" max="8968" width="16.44140625" style="6" customWidth="1"/>
    <col min="8969" max="9218" width="9.109375" style="6"/>
    <col min="9219" max="9219" width="7.44140625" style="6" customWidth="1"/>
    <col min="9220" max="9220" width="51.88671875" style="6" customWidth="1"/>
    <col min="9221" max="9221" width="7.44140625" style="6" customWidth="1"/>
    <col min="9222" max="9222" width="11.33203125" style="6" customWidth="1"/>
    <col min="9223" max="9223" width="12.5546875" style="6" customWidth="1"/>
    <col min="9224" max="9224" width="16.44140625" style="6" customWidth="1"/>
    <col min="9225" max="9474" width="9.109375" style="6"/>
    <col min="9475" max="9475" width="7.44140625" style="6" customWidth="1"/>
    <col min="9476" max="9476" width="51.88671875" style="6" customWidth="1"/>
    <col min="9477" max="9477" width="7.44140625" style="6" customWidth="1"/>
    <col min="9478" max="9478" width="11.33203125" style="6" customWidth="1"/>
    <col min="9479" max="9479" width="12.5546875" style="6" customWidth="1"/>
    <col min="9480" max="9480" width="16.44140625" style="6" customWidth="1"/>
    <col min="9481" max="9730" width="9.109375" style="6"/>
    <col min="9731" max="9731" width="7.44140625" style="6" customWidth="1"/>
    <col min="9732" max="9732" width="51.88671875" style="6" customWidth="1"/>
    <col min="9733" max="9733" width="7.44140625" style="6" customWidth="1"/>
    <col min="9734" max="9734" width="11.33203125" style="6" customWidth="1"/>
    <col min="9735" max="9735" width="12.5546875" style="6" customWidth="1"/>
    <col min="9736" max="9736" width="16.44140625" style="6" customWidth="1"/>
    <col min="9737" max="9986" width="9.109375" style="6"/>
    <col min="9987" max="9987" width="7.44140625" style="6" customWidth="1"/>
    <col min="9988" max="9988" width="51.88671875" style="6" customWidth="1"/>
    <col min="9989" max="9989" width="7.44140625" style="6" customWidth="1"/>
    <col min="9990" max="9990" width="11.33203125" style="6" customWidth="1"/>
    <col min="9991" max="9991" width="12.5546875" style="6" customWidth="1"/>
    <col min="9992" max="9992" width="16.44140625" style="6" customWidth="1"/>
    <col min="9993" max="10242" width="9.109375" style="6"/>
    <col min="10243" max="10243" width="7.44140625" style="6" customWidth="1"/>
    <col min="10244" max="10244" width="51.88671875" style="6" customWidth="1"/>
    <col min="10245" max="10245" width="7.44140625" style="6" customWidth="1"/>
    <col min="10246" max="10246" width="11.33203125" style="6" customWidth="1"/>
    <col min="10247" max="10247" width="12.5546875" style="6" customWidth="1"/>
    <col min="10248" max="10248" width="16.44140625" style="6" customWidth="1"/>
    <col min="10249" max="10498" width="9.109375" style="6"/>
    <col min="10499" max="10499" width="7.44140625" style="6" customWidth="1"/>
    <col min="10500" max="10500" width="51.88671875" style="6" customWidth="1"/>
    <col min="10501" max="10501" width="7.44140625" style="6" customWidth="1"/>
    <col min="10502" max="10502" width="11.33203125" style="6" customWidth="1"/>
    <col min="10503" max="10503" width="12.5546875" style="6" customWidth="1"/>
    <col min="10504" max="10504" width="16.44140625" style="6" customWidth="1"/>
    <col min="10505" max="10754" width="9.109375" style="6"/>
    <col min="10755" max="10755" width="7.44140625" style="6" customWidth="1"/>
    <col min="10756" max="10756" width="51.88671875" style="6" customWidth="1"/>
    <col min="10757" max="10757" width="7.44140625" style="6" customWidth="1"/>
    <col min="10758" max="10758" width="11.33203125" style="6" customWidth="1"/>
    <col min="10759" max="10759" width="12.5546875" style="6" customWidth="1"/>
    <col min="10760" max="10760" width="16.44140625" style="6" customWidth="1"/>
    <col min="10761" max="11010" width="9.109375" style="6"/>
    <col min="11011" max="11011" width="7.44140625" style="6" customWidth="1"/>
    <col min="11012" max="11012" width="51.88671875" style="6" customWidth="1"/>
    <col min="11013" max="11013" width="7.44140625" style="6" customWidth="1"/>
    <col min="11014" max="11014" width="11.33203125" style="6" customWidth="1"/>
    <col min="11015" max="11015" width="12.5546875" style="6" customWidth="1"/>
    <col min="11016" max="11016" width="16.44140625" style="6" customWidth="1"/>
    <col min="11017" max="11266" width="9.109375" style="6"/>
    <col min="11267" max="11267" width="7.44140625" style="6" customWidth="1"/>
    <col min="11268" max="11268" width="51.88671875" style="6" customWidth="1"/>
    <col min="11269" max="11269" width="7.44140625" style="6" customWidth="1"/>
    <col min="11270" max="11270" width="11.33203125" style="6" customWidth="1"/>
    <col min="11271" max="11271" width="12.5546875" style="6" customWidth="1"/>
    <col min="11272" max="11272" width="16.44140625" style="6" customWidth="1"/>
    <col min="11273" max="11522" width="9.109375" style="6"/>
    <col min="11523" max="11523" width="7.44140625" style="6" customWidth="1"/>
    <col min="11524" max="11524" width="51.88671875" style="6" customWidth="1"/>
    <col min="11525" max="11525" width="7.44140625" style="6" customWidth="1"/>
    <col min="11526" max="11526" width="11.33203125" style="6" customWidth="1"/>
    <col min="11527" max="11527" width="12.5546875" style="6" customWidth="1"/>
    <col min="11528" max="11528" width="16.44140625" style="6" customWidth="1"/>
    <col min="11529" max="11778" width="9.109375" style="6"/>
    <col min="11779" max="11779" width="7.44140625" style="6" customWidth="1"/>
    <col min="11780" max="11780" width="51.88671875" style="6" customWidth="1"/>
    <col min="11781" max="11781" width="7.44140625" style="6" customWidth="1"/>
    <col min="11782" max="11782" width="11.33203125" style="6" customWidth="1"/>
    <col min="11783" max="11783" width="12.5546875" style="6" customWidth="1"/>
    <col min="11784" max="11784" width="16.44140625" style="6" customWidth="1"/>
    <col min="11785" max="12034" width="9.109375" style="6"/>
    <col min="12035" max="12035" width="7.44140625" style="6" customWidth="1"/>
    <col min="12036" max="12036" width="51.88671875" style="6" customWidth="1"/>
    <col min="12037" max="12037" width="7.44140625" style="6" customWidth="1"/>
    <col min="12038" max="12038" width="11.33203125" style="6" customWidth="1"/>
    <col min="12039" max="12039" width="12.5546875" style="6" customWidth="1"/>
    <col min="12040" max="12040" width="16.44140625" style="6" customWidth="1"/>
    <col min="12041" max="12290" width="9.109375" style="6"/>
    <col min="12291" max="12291" width="7.44140625" style="6" customWidth="1"/>
    <col min="12292" max="12292" width="51.88671875" style="6" customWidth="1"/>
    <col min="12293" max="12293" width="7.44140625" style="6" customWidth="1"/>
    <col min="12294" max="12294" width="11.33203125" style="6" customWidth="1"/>
    <col min="12295" max="12295" width="12.5546875" style="6" customWidth="1"/>
    <col min="12296" max="12296" width="16.44140625" style="6" customWidth="1"/>
    <col min="12297" max="12546" width="9.109375" style="6"/>
    <col min="12547" max="12547" width="7.44140625" style="6" customWidth="1"/>
    <col min="12548" max="12548" width="51.88671875" style="6" customWidth="1"/>
    <col min="12549" max="12549" width="7.44140625" style="6" customWidth="1"/>
    <col min="12550" max="12550" width="11.33203125" style="6" customWidth="1"/>
    <col min="12551" max="12551" width="12.5546875" style="6" customWidth="1"/>
    <col min="12552" max="12552" width="16.44140625" style="6" customWidth="1"/>
    <col min="12553" max="12802" width="9.109375" style="6"/>
    <col min="12803" max="12803" width="7.44140625" style="6" customWidth="1"/>
    <col min="12804" max="12804" width="51.88671875" style="6" customWidth="1"/>
    <col min="12805" max="12805" width="7.44140625" style="6" customWidth="1"/>
    <col min="12806" max="12806" width="11.33203125" style="6" customWidth="1"/>
    <col min="12807" max="12807" width="12.5546875" style="6" customWidth="1"/>
    <col min="12808" max="12808" width="16.44140625" style="6" customWidth="1"/>
    <col min="12809" max="13058" width="9.109375" style="6"/>
    <col min="13059" max="13059" width="7.44140625" style="6" customWidth="1"/>
    <col min="13060" max="13060" width="51.88671875" style="6" customWidth="1"/>
    <col min="13061" max="13061" width="7.44140625" style="6" customWidth="1"/>
    <col min="13062" max="13062" width="11.33203125" style="6" customWidth="1"/>
    <col min="13063" max="13063" width="12.5546875" style="6" customWidth="1"/>
    <col min="13064" max="13064" width="16.44140625" style="6" customWidth="1"/>
    <col min="13065" max="13314" width="9.109375" style="6"/>
    <col min="13315" max="13315" width="7.44140625" style="6" customWidth="1"/>
    <col min="13316" max="13316" width="51.88671875" style="6" customWidth="1"/>
    <col min="13317" max="13317" width="7.44140625" style="6" customWidth="1"/>
    <col min="13318" max="13318" width="11.33203125" style="6" customWidth="1"/>
    <col min="13319" max="13319" width="12.5546875" style="6" customWidth="1"/>
    <col min="13320" max="13320" width="16.44140625" style="6" customWidth="1"/>
    <col min="13321" max="13570" width="9.109375" style="6"/>
    <col min="13571" max="13571" width="7.44140625" style="6" customWidth="1"/>
    <col min="13572" max="13572" width="51.88671875" style="6" customWidth="1"/>
    <col min="13573" max="13573" width="7.44140625" style="6" customWidth="1"/>
    <col min="13574" max="13574" width="11.33203125" style="6" customWidth="1"/>
    <col min="13575" max="13575" width="12.5546875" style="6" customWidth="1"/>
    <col min="13576" max="13576" width="16.44140625" style="6" customWidth="1"/>
    <col min="13577" max="13826" width="9.109375" style="6"/>
    <col min="13827" max="13827" width="7.44140625" style="6" customWidth="1"/>
    <col min="13828" max="13828" width="51.88671875" style="6" customWidth="1"/>
    <col min="13829" max="13829" width="7.44140625" style="6" customWidth="1"/>
    <col min="13830" max="13830" width="11.33203125" style="6" customWidth="1"/>
    <col min="13831" max="13831" width="12.5546875" style="6" customWidth="1"/>
    <col min="13832" max="13832" width="16.44140625" style="6" customWidth="1"/>
    <col min="13833" max="14082" width="9.109375" style="6"/>
    <col min="14083" max="14083" width="7.44140625" style="6" customWidth="1"/>
    <col min="14084" max="14084" width="51.88671875" style="6" customWidth="1"/>
    <col min="14085" max="14085" width="7.44140625" style="6" customWidth="1"/>
    <col min="14086" max="14086" width="11.33203125" style="6" customWidth="1"/>
    <col min="14087" max="14087" width="12.5546875" style="6" customWidth="1"/>
    <col min="14088" max="14088" width="16.44140625" style="6" customWidth="1"/>
    <col min="14089" max="14338" width="9.109375" style="6"/>
    <col min="14339" max="14339" width="7.44140625" style="6" customWidth="1"/>
    <col min="14340" max="14340" width="51.88671875" style="6" customWidth="1"/>
    <col min="14341" max="14341" width="7.44140625" style="6" customWidth="1"/>
    <col min="14342" max="14342" width="11.33203125" style="6" customWidth="1"/>
    <col min="14343" max="14343" width="12.5546875" style="6" customWidth="1"/>
    <col min="14344" max="14344" width="16.44140625" style="6" customWidth="1"/>
    <col min="14345" max="14594" width="9.109375" style="6"/>
    <col min="14595" max="14595" width="7.44140625" style="6" customWidth="1"/>
    <col min="14596" max="14596" width="51.88671875" style="6" customWidth="1"/>
    <col min="14597" max="14597" width="7.44140625" style="6" customWidth="1"/>
    <col min="14598" max="14598" width="11.33203125" style="6" customWidth="1"/>
    <col min="14599" max="14599" width="12.5546875" style="6" customWidth="1"/>
    <col min="14600" max="14600" width="16.44140625" style="6" customWidth="1"/>
    <col min="14601" max="14850" width="9.109375" style="6"/>
    <col min="14851" max="14851" width="7.44140625" style="6" customWidth="1"/>
    <col min="14852" max="14852" width="51.88671875" style="6" customWidth="1"/>
    <col min="14853" max="14853" width="7.44140625" style="6" customWidth="1"/>
    <col min="14854" max="14854" width="11.33203125" style="6" customWidth="1"/>
    <col min="14855" max="14855" width="12.5546875" style="6" customWidth="1"/>
    <col min="14856" max="14856" width="16.44140625" style="6" customWidth="1"/>
    <col min="14857" max="15106" width="9.109375" style="6"/>
    <col min="15107" max="15107" width="7.44140625" style="6" customWidth="1"/>
    <col min="15108" max="15108" width="51.88671875" style="6" customWidth="1"/>
    <col min="15109" max="15109" width="7.44140625" style="6" customWidth="1"/>
    <col min="15110" max="15110" width="11.33203125" style="6" customWidth="1"/>
    <col min="15111" max="15111" width="12.5546875" style="6" customWidth="1"/>
    <col min="15112" max="15112" width="16.44140625" style="6" customWidth="1"/>
    <col min="15113" max="15362" width="9.109375" style="6"/>
    <col min="15363" max="15363" width="7.44140625" style="6" customWidth="1"/>
    <col min="15364" max="15364" width="51.88671875" style="6" customWidth="1"/>
    <col min="15365" max="15365" width="7.44140625" style="6" customWidth="1"/>
    <col min="15366" max="15366" width="11.33203125" style="6" customWidth="1"/>
    <col min="15367" max="15367" width="12.5546875" style="6" customWidth="1"/>
    <col min="15368" max="15368" width="16.44140625" style="6" customWidth="1"/>
    <col min="15369" max="15618" width="9.109375" style="6"/>
    <col min="15619" max="15619" width="7.44140625" style="6" customWidth="1"/>
    <col min="15620" max="15620" width="51.88671875" style="6" customWidth="1"/>
    <col min="15621" max="15621" width="7.44140625" style="6" customWidth="1"/>
    <col min="15622" max="15622" width="11.33203125" style="6" customWidth="1"/>
    <col min="15623" max="15623" width="12.5546875" style="6" customWidth="1"/>
    <col min="15624" max="15624" width="16.44140625" style="6" customWidth="1"/>
    <col min="15625" max="15874" width="9.109375" style="6"/>
    <col min="15875" max="15875" width="7.44140625" style="6" customWidth="1"/>
    <col min="15876" max="15876" width="51.88671875" style="6" customWidth="1"/>
    <col min="15877" max="15877" width="7.44140625" style="6" customWidth="1"/>
    <col min="15878" max="15878" width="11.33203125" style="6" customWidth="1"/>
    <col min="15879" max="15879" width="12.5546875" style="6" customWidth="1"/>
    <col min="15880" max="15880" width="16.44140625" style="6" customWidth="1"/>
    <col min="15881" max="16130" width="9.109375" style="6"/>
    <col min="16131" max="16131" width="7.44140625" style="6" customWidth="1"/>
    <col min="16132" max="16132" width="51.88671875" style="6" customWidth="1"/>
    <col min="16133" max="16133" width="7.44140625" style="6" customWidth="1"/>
    <col min="16134" max="16134" width="11.33203125" style="6" customWidth="1"/>
    <col min="16135" max="16135" width="12.5546875" style="6" customWidth="1"/>
    <col min="16136" max="16136" width="16.44140625" style="6" customWidth="1"/>
    <col min="16137" max="16384" width="9.109375" style="6"/>
  </cols>
  <sheetData>
    <row r="1" spans="1:11" x14ac:dyDescent="0.25">
      <c r="A1" s="7"/>
      <c r="E1" s="4"/>
      <c r="G1" s="4"/>
      <c r="I1" s="5"/>
      <c r="J1" s="5"/>
      <c r="K1" s="5"/>
    </row>
    <row r="2" spans="1:11" ht="15.6" x14ac:dyDescent="0.3">
      <c r="A2" s="7"/>
      <c r="B2" s="9" t="s">
        <v>59</v>
      </c>
      <c r="C2" s="10"/>
      <c r="E2" s="4"/>
      <c r="G2" s="4"/>
      <c r="I2" s="8"/>
      <c r="J2" s="8"/>
      <c r="K2" s="2"/>
    </row>
    <row r="3" spans="1:11" ht="15.6" x14ac:dyDescent="0.25">
      <c r="A3" s="7"/>
      <c r="B3" s="9" t="s">
        <v>190</v>
      </c>
      <c r="E3" s="4"/>
      <c r="G3" s="4"/>
      <c r="I3" s="8"/>
      <c r="J3" s="8"/>
      <c r="K3" s="2"/>
    </row>
    <row r="4" spans="1:11" s="16" customFormat="1" ht="15.6" x14ac:dyDescent="0.3">
      <c r="A4" s="11"/>
      <c r="B4" s="9" t="s">
        <v>191</v>
      </c>
      <c r="C4" s="12"/>
      <c r="D4" s="13"/>
      <c r="E4" s="14"/>
      <c r="F4" s="13"/>
      <c r="G4" s="14"/>
      <c r="H4" s="13"/>
      <c r="I4" s="15"/>
      <c r="J4" s="15"/>
      <c r="K4" s="12"/>
    </row>
    <row r="5" spans="1:11" ht="15.6" x14ac:dyDescent="0.25">
      <c r="A5" s="7"/>
      <c r="B5" s="9" t="s">
        <v>192</v>
      </c>
      <c r="C5" s="17"/>
      <c r="D5" s="17"/>
      <c r="E5" s="18"/>
      <c r="F5" s="17"/>
      <c r="G5" s="18"/>
      <c r="H5" s="17"/>
      <c r="I5" s="5"/>
      <c r="J5" s="5"/>
      <c r="K5" s="5"/>
    </row>
    <row r="6" spans="1:11" ht="15.6" x14ac:dyDescent="0.25">
      <c r="A6" s="7"/>
      <c r="B6" s="9" t="s">
        <v>193</v>
      </c>
      <c r="E6" s="4"/>
      <c r="G6" s="4"/>
      <c r="I6" s="8"/>
      <c r="J6" s="8"/>
      <c r="K6" s="2"/>
    </row>
    <row r="7" spans="1:11" x14ac:dyDescent="0.25">
      <c r="A7" s="7"/>
      <c r="E7" s="4"/>
      <c r="G7" s="4"/>
      <c r="I7" s="8"/>
      <c r="J7" s="8"/>
      <c r="K7" s="2"/>
    </row>
    <row r="8" spans="1:11" x14ac:dyDescent="0.25">
      <c r="A8" s="7"/>
      <c r="E8" s="4"/>
      <c r="G8" s="4"/>
      <c r="I8" s="8"/>
      <c r="J8" s="8"/>
      <c r="K8" s="2"/>
    </row>
    <row r="9" spans="1:11" x14ac:dyDescent="0.25">
      <c r="A9" s="7"/>
      <c r="E9" s="4"/>
      <c r="G9" s="4"/>
      <c r="I9" s="8"/>
      <c r="J9" s="8"/>
      <c r="K9" s="2"/>
    </row>
    <row r="10" spans="1:11" x14ac:dyDescent="0.25">
      <c r="A10" s="7"/>
      <c r="B10" s="19"/>
      <c r="C10" s="20"/>
      <c r="D10" s="20"/>
      <c r="E10" s="21"/>
      <c r="F10" s="6"/>
      <c r="G10" s="21"/>
      <c r="H10" s="6"/>
      <c r="J10" s="8"/>
      <c r="K10" s="2"/>
    </row>
    <row r="11" spans="1:11" x14ac:dyDescent="0.25">
      <c r="A11" s="7"/>
      <c r="B11" s="19"/>
      <c r="C11" s="22"/>
      <c r="E11" s="4"/>
      <c r="G11" s="4"/>
      <c r="I11" s="8"/>
      <c r="J11" s="8"/>
      <c r="K11" s="2"/>
    </row>
    <row r="12" spans="1:11" x14ac:dyDescent="0.25">
      <c r="A12" s="7"/>
      <c r="B12" s="19"/>
      <c r="C12" s="23"/>
      <c r="D12" s="24"/>
      <c r="E12" s="21"/>
      <c r="F12" s="6"/>
      <c r="G12" s="21"/>
      <c r="H12" s="6"/>
      <c r="J12" s="8"/>
      <c r="K12" s="2"/>
    </row>
    <row r="13" spans="1:11" x14ac:dyDescent="0.25">
      <c r="A13" s="7"/>
      <c r="B13" s="19"/>
      <c r="C13" s="22"/>
      <c r="E13" s="4"/>
      <c r="G13" s="4"/>
      <c r="I13" s="8"/>
      <c r="J13" s="8"/>
      <c r="K13" s="2"/>
    </row>
    <row r="14" spans="1:11" x14ac:dyDescent="0.25">
      <c r="A14" s="7"/>
      <c r="B14" s="19"/>
      <c r="C14" s="22"/>
      <c r="E14" s="4"/>
      <c r="G14" s="4"/>
      <c r="I14" s="8"/>
      <c r="J14" s="8"/>
      <c r="K14" s="2"/>
    </row>
    <row r="15" spans="1:11" x14ac:dyDescent="0.25">
      <c r="A15" s="7"/>
      <c r="B15" s="19"/>
      <c r="C15" s="22"/>
      <c r="E15" s="4"/>
      <c r="G15" s="4"/>
      <c r="I15" s="8"/>
      <c r="J15" s="8"/>
      <c r="K15" s="2"/>
    </row>
    <row r="16" spans="1:11" x14ac:dyDescent="0.25">
      <c r="A16" s="7"/>
      <c r="B16" s="19"/>
      <c r="C16" s="22"/>
      <c r="E16" s="4"/>
      <c r="G16" s="4"/>
      <c r="I16" s="8"/>
      <c r="J16" s="8"/>
      <c r="K16" s="2"/>
    </row>
    <row r="17" spans="1:11" x14ac:dyDescent="0.25">
      <c r="A17" s="7"/>
      <c r="B17" s="19"/>
      <c r="C17" s="23"/>
      <c r="D17" s="25"/>
      <c r="E17" s="21"/>
      <c r="F17" s="6"/>
      <c r="G17" s="21"/>
      <c r="H17" s="6"/>
      <c r="K17" s="2"/>
    </row>
    <row r="18" spans="1:11" x14ac:dyDescent="0.25">
      <c r="A18" s="7"/>
      <c r="B18" s="19"/>
      <c r="C18" s="23"/>
      <c r="D18" s="25"/>
      <c r="E18" s="21"/>
      <c r="F18" s="6"/>
      <c r="G18" s="21"/>
      <c r="H18" s="6"/>
      <c r="K18" s="2"/>
    </row>
    <row r="19" spans="1:11" x14ac:dyDescent="0.25">
      <c r="A19" s="7"/>
      <c r="B19" s="19"/>
      <c r="C19" s="23"/>
      <c r="D19" s="25"/>
      <c r="E19" s="21"/>
      <c r="F19" s="6"/>
      <c r="G19" s="21"/>
      <c r="H19" s="6"/>
      <c r="K19" s="2"/>
    </row>
    <row r="20" spans="1:11" x14ac:dyDescent="0.25">
      <c r="A20" s="7"/>
      <c r="B20" s="19"/>
      <c r="C20" s="23"/>
      <c r="D20" s="25"/>
      <c r="E20" s="21"/>
      <c r="F20" s="6"/>
      <c r="G20" s="21"/>
      <c r="H20" s="6"/>
      <c r="K20" s="2"/>
    </row>
    <row r="21" spans="1:11" x14ac:dyDescent="0.25">
      <c r="A21" s="7"/>
      <c r="B21" s="19"/>
      <c r="C21" s="23"/>
      <c r="D21" s="25"/>
      <c r="E21" s="21"/>
      <c r="F21" s="6"/>
      <c r="G21" s="21"/>
      <c r="H21" s="6"/>
      <c r="K21" s="2"/>
    </row>
    <row r="22" spans="1:11" x14ac:dyDescent="0.25">
      <c r="A22" s="7"/>
      <c r="B22" s="19"/>
      <c r="C22" s="23"/>
      <c r="D22" s="25"/>
      <c r="E22" s="21"/>
      <c r="F22" s="6"/>
      <c r="G22" s="21"/>
      <c r="H22" s="6"/>
      <c r="K22" s="2"/>
    </row>
    <row r="23" spans="1:11" x14ac:dyDescent="0.25">
      <c r="A23" s="7"/>
      <c r="B23" s="19"/>
      <c r="C23" s="23"/>
      <c r="D23" s="25"/>
      <c r="E23" s="21"/>
      <c r="F23" s="6"/>
      <c r="G23" s="21"/>
      <c r="H23" s="6"/>
      <c r="K23" s="2"/>
    </row>
    <row r="24" spans="1:11" x14ac:dyDescent="0.25">
      <c r="A24" s="7"/>
      <c r="B24" s="19"/>
      <c r="C24" s="23"/>
      <c r="D24" s="25"/>
      <c r="E24" s="21"/>
      <c r="F24" s="6"/>
      <c r="G24" s="21"/>
      <c r="H24" s="6"/>
      <c r="K24" s="2"/>
    </row>
    <row r="25" spans="1:11" x14ac:dyDescent="0.25">
      <c r="A25" s="7"/>
      <c r="B25" s="19"/>
      <c r="C25" s="23"/>
      <c r="D25" s="25"/>
      <c r="E25" s="21"/>
      <c r="F25" s="6"/>
      <c r="G25" s="21"/>
      <c r="H25" s="6"/>
      <c r="K25" s="2"/>
    </row>
    <row r="26" spans="1:11" x14ac:dyDescent="0.25">
      <c r="A26" s="7"/>
      <c r="B26" s="19"/>
      <c r="C26" s="23"/>
      <c r="D26" s="25"/>
      <c r="E26" s="21"/>
      <c r="F26" s="6"/>
      <c r="G26" s="21"/>
      <c r="H26" s="6"/>
      <c r="K26" s="2"/>
    </row>
    <row r="27" spans="1:11" x14ac:dyDescent="0.25">
      <c r="A27" s="7"/>
      <c r="B27" s="19"/>
      <c r="C27" s="23"/>
      <c r="D27" s="25"/>
      <c r="E27" s="21"/>
      <c r="F27" s="6"/>
      <c r="G27" s="21"/>
      <c r="H27" s="6"/>
      <c r="K27" s="2"/>
    </row>
    <row r="28" spans="1:11" x14ac:dyDescent="0.25">
      <c r="A28" s="7"/>
      <c r="B28" s="19"/>
      <c r="C28" s="23"/>
      <c r="D28" s="25"/>
      <c r="E28" s="21"/>
      <c r="F28" s="6"/>
      <c r="G28" s="21"/>
      <c r="H28" s="6"/>
      <c r="K28" s="2"/>
    </row>
    <row r="29" spans="1:11" x14ac:dyDescent="0.25">
      <c r="A29" s="7"/>
      <c r="E29" s="4"/>
      <c r="G29" s="4"/>
      <c r="I29" s="8"/>
      <c r="J29" s="8"/>
      <c r="K29" s="2"/>
    </row>
    <row r="30" spans="1:11" x14ac:dyDescent="0.25">
      <c r="A30" s="7"/>
      <c r="E30" s="4"/>
      <c r="G30" s="4"/>
      <c r="I30" s="8"/>
      <c r="J30" s="8"/>
      <c r="K30" s="2"/>
    </row>
    <row r="31" spans="1:11" x14ac:dyDescent="0.25">
      <c r="A31" s="7"/>
      <c r="E31" s="4"/>
      <c r="G31" s="4"/>
      <c r="I31" s="8"/>
      <c r="J31" s="8"/>
      <c r="K31" s="2"/>
    </row>
    <row r="32" spans="1:11" x14ac:dyDescent="0.25">
      <c r="A32" s="7"/>
      <c r="E32" s="4"/>
      <c r="G32" s="4"/>
      <c r="I32" s="8"/>
      <c r="J32" s="8"/>
      <c r="K32" s="2"/>
    </row>
    <row r="33" spans="1:11" s="31" customFormat="1" ht="17.399999999999999" x14ac:dyDescent="0.3">
      <c r="A33" s="26"/>
      <c r="B33" s="27" t="s">
        <v>0</v>
      </c>
      <c r="C33" s="28"/>
      <c r="D33" s="29"/>
      <c r="E33" s="30"/>
      <c r="F33" s="29"/>
      <c r="G33" s="30"/>
      <c r="H33" s="29"/>
      <c r="I33" s="28"/>
      <c r="J33" s="28"/>
      <c r="K33" s="28"/>
    </row>
    <row r="34" spans="1:11" x14ac:dyDescent="0.25">
      <c r="A34" s="7"/>
      <c r="E34" s="4"/>
      <c r="G34" s="4"/>
      <c r="I34" s="8"/>
      <c r="J34" s="8"/>
      <c r="K34" s="2"/>
    </row>
    <row r="35" spans="1:11" x14ac:dyDescent="0.25">
      <c r="A35" s="7"/>
      <c r="E35" s="4"/>
      <c r="G35" s="4"/>
      <c r="I35" s="8"/>
      <c r="J35" s="8"/>
      <c r="K35" s="2"/>
    </row>
    <row r="36" spans="1:11" x14ac:dyDescent="0.25">
      <c r="A36" s="7"/>
      <c r="E36" s="4"/>
      <c r="G36" s="4"/>
      <c r="I36" s="8"/>
      <c r="J36" s="8"/>
      <c r="K36" s="2"/>
    </row>
    <row r="37" spans="1:11" x14ac:dyDescent="0.25">
      <c r="A37" s="7"/>
      <c r="E37" s="4"/>
      <c r="G37" s="4"/>
      <c r="I37" s="8"/>
      <c r="J37" s="8"/>
      <c r="K37" s="2"/>
    </row>
    <row r="38" spans="1:11" x14ac:dyDescent="0.25">
      <c r="A38" s="7"/>
      <c r="E38" s="4"/>
      <c r="G38" s="4"/>
      <c r="I38" s="8"/>
      <c r="J38" s="8"/>
      <c r="K38" s="2"/>
    </row>
    <row r="39" spans="1:11" x14ac:dyDescent="0.25">
      <c r="A39" s="7"/>
      <c r="E39" s="4"/>
      <c r="G39" s="4"/>
      <c r="I39" s="8"/>
      <c r="J39" s="8"/>
      <c r="K39" s="2"/>
    </row>
    <row r="40" spans="1:11" x14ac:dyDescent="0.25">
      <c r="A40" s="7"/>
      <c r="E40" s="4"/>
      <c r="G40" s="4"/>
      <c r="I40" s="8"/>
      <c r="J40" s="8"/>
      <c r="K40" s="2"/>
    </row>
    <row r="41" spans="1:11" x14ac:dyDescent="0.25">
      <c r="A41" s="7"/>
      <c r="E41" s="4"/>
      <c r="G41" s="4"/>
      <c r="I41" s="8"/>
      <c r="J41" s="8"/>
      <c r="K41" s="2"/>
    </row>
    <row r="42" spans="1:11" x14ac:dyDescent="0.25">
      <c r="A42" s="7"/>
      <c r="E42" s="4"/>
      <c r="G42" s="4"/>
      <c r="I42" s="8"/>
      <c r="J42" s="8"/>
      <c r="K42" s="2"/>
    </row>
    <row r="43" spans="1:11" x14ac:dyDescent="0.25">
      <c r="A43" s="7"/>
      <c r="E43" s="4"/>
      <c r="G43" s="4"/>
      <c r="I43" s="8"/>
      <c r="J43" s="8"/>
      <c r="K43" s="2"/>
    </row>
    <row r="44" spans="1:11" x14ac:dyDescent="0.25">
      <c r="A44" s="7"/>
      <c r="E44" s="4"/>
      <c r="G44" s="4"/>
      <c r="I44" s="8"/>
      <c r="J44" s="8"/>
      <c r="K44" s="2"/>
    </row>
    <row r="45" spans="1:11" x14ac:dyDescent="0.25">
      <c r="A45" s="7"/>
      <c r="E45" s="4"/>
      <c r="G45" s="4"/>
      <c r="I45" s="8"/>
      <c r="J45" s="8"/>
      <c r="K45" s="2"/>
    </row>
    <row r="46" spans="1:11" x14ac:dyDescent="0.25">
      <c r="A46" s="7"/>
      <c r="E46" s="4"/>
      <c r="G46" s="4"/>
      <c r="I46" s="8"/>
      <c r="J46" s="8"/>
      <c r="K46" s="2"/>
    </row>
    <row r="47" spans="1:11" x14ac:dyDescent="0.25">
      <c r="A47" s="7"/>
      <c r="E47" s="4"/>
      <c r="G47" s="4"/>
      <c r="I47" s="8"/>
      <c r="J47" s="8"/>
      <c r="K47" s="2"/>
    </row>
    <row r="48" spans="1:11" x14ac:dyDescent="0.25">
      <c r="A48" s="7"/>
      <c r="E48" s="4"/>
      <c r="G48" s="4"/>
      <c r="I48" s="8"/>
      <c r="J48" s="8"/>
      <c r="K48" s="2"/>
    </row>
    <row r="49" spans="1:11" x14ac:dyDescent="0.25">
      <c r="A49" s="7"/>
      <c r="E49" s="4"/>
      <c r="G49" s="4"/>
      <c r="I49" s="8"/>
      <c r="J49" s="8"/>
      <c r="K49" s="2"/>
    </row>
    <row r="50" spans="1:11" x14ac:dyDescent="0.25">
      <c r="B50" s="33"/>
      <c r="C50" s="6"/>
      <c r="D50" s="6"/>
      <c r="E50" s="21"/>
      <c r="F50" s="6"/>
      <c r="G50" s="21"/>
      <c r="H50" s="6"/>
      <c r="I50" s="33"/>
      <c r="J50" s="33"/>
      <c r="K50" s="33"/>
    </row>
    <row r="51" spans="1:11" x14ac:dyDescent="0.25">
      <c r="A51" s="7"/>
      <c r="E51" s="4"/>
      <c r="G51" s="4"/>
      <c r="I51" s="8"/>
      <c r="J51" s="8"/>
      <c r="K51" s="2"/>
    </row>
    <row r="52" spans="1:11" x14ac:dyDescent="0.25">
      <c r="A52" s="7"/>
      <c r="E52" s="4"/>
      <c r="G52" s="4"/>
      <c r="I52" s="8"/>
      <c r="J52" s="8"/>
      <c r="K52" s="2"/>
    </row>
    <row r="53" spans="1:11" x14ac:dyDescent="0.25">
      <c r="A53" s="7"/>
      <c r="E53" s="4"/>
      <c r="G53" s="4"/>
      <c r="I53" s="8"/>
      <c r="J53" s="8"/>
      <c r="K53" s="2"/>
    </row>
    <row r="54" spans="1:11" x14ac:dyDescent="0.25">
      <c r="A54" s="7"/>
      <c r="E54" s="4"/>
      <c r="G54" s="4"/>
      <c r="I54" s="8"/>
      <c r="J54" s="8"/>
      <c r="K54" s="2"/>
    </row>
    <row r="55" spans="1:11" x14ac:dyDescent="0.25">
      <c r="A55" s="7"/>
      <c r="E55" s="4"/>
      <c r="G55" s="4"/>
      <c r="I55" s="8"/>
      <c r="J55" s="8"/>
      <c r="K55" s="2"/>
    </row>
    <row r="57" spans="1:11" x14ac:dyDescent="0.25">
      <c r="A57" s="7"/>
      <c r="E57" s="4"/>
      <c r="G57" s="4"/>
      <c r="I57" s="8"/>
      <c r="J57" s="8"/>
      <c r="K57" s="2"/>
    </row>
    <row r="58" spans="1:11" x14ac:dyDescent="0.25">
      <c r="A58" s="7"/>
      <c r="E58" s="4"/>
      <c r="G58" s="4"/>
      <c r="I58" s="8"/>
      <c r="J58" s="8"/>
      <c r="K58" s="2"/>
    </row>
    <row r="59" spans="1:11" x14ac:dyDescent="0.25">
      <c r="A59" s="7"/>
      <c r="E59" s="4"/>
      <c r="G59" s="4"/>
      <c r="I59" s="8"/>
      <c r="J59" s="8"/>
      <c r="K59" s="2"/>
    </row>
    <row r="60" spans="1:11" x14ac:dyDescent="0.25">
      <c r="A60" s="7"/>
      <c r="E60" s="4"/>
      <c r="G60" s="4"/>
      <c r="I60" s="8"/>
      <c r="J60" s="8"/>
      <c r="K60" s="2"/>
    </row>
    <row r="61" spans="1:11" x14ac:dyDescent="0.25">
      <c r="A61" s="7"/>
      <c r="E61" s="4"/>
      <c r="G61" s="4"/>
      <c r="I61" s="8"/>
      <c r="J61" s="8"/>
      <c r="K61" s="2"/>
    </row>
    <row r="62" spans="1:11" ht="15.6" x14ac:dyDescent="0.25">
      <c r="A62" s="7"/>
      <c r="B62" s="11" t="s">
        <v>722</v>
      </c>
      <c r="E62" s="4"/>
      <c r="G62" s="4"/>
      <c r="I62" s="8"/>
      <c r="J62" s="8"/>
      <c r="K62" s="2"/>
    </row>
    <row r="63" spans="1:11" x14ac:dyDescent="0.25">
      <c r="A63" s="7"/>
      <c r="B63" s="35"/>
      <c r="E63" s="4"/>
      <c r="G63" s="4"/>
      <c r="I63" s="8"/>
      <c r="J63" s="8"/>
      <c r="K63" s="2"/>
    </row>
    <row r="64" spans="1:11" s="37" customFormat="1" ht="22.8" x14ac:dyDescent="0.3">
      <c r="A64" s="52" t="s">
        <v>1</v>
      </c>
      <c r="B64" s="53" t="s">
        <v>2</v>
      </c>
      <c r="C64" s="54" t="s">
        <v>100</v>
      </c>
      <c r="D64" s="55" t="s">
        <v>3</v>
      </c>
      <c r="E64" s="56" t="s">
        <v>4</v>
      </c>
      <c r="F64" s="55" t="s">
        <v>5</v>
      </c>
      <c r="G64" s="56" t="s">
        <v>95</v>
      </c>
      <c r="H64" s="55" t="s">
        <v>96</v>
      </c>
      <c r="I64" s="36"/>
      <c r="J64" s="36"/>
      <c r="K64" s="36"/>
    </row>
    <row r="65" spans="1:11" x14ac:dyDescent="0.25">
      <c r="A65" s="50"/>
      <c r="C65" s="38"/>
      <c r="D65" s="39"/>
      <c r="E65" s="40"/>
      <c r="F65" s="39"/>
      <c r="G65" s="40"/>
      <c r="H65" s="39"/>
      <c r="I65" s="8"/>
      <c r="J65" s="8"/>
      <c r="K65" s="2"/>
    </row>
    <row r="66" spans="1:11" x14ac:dyDescent="0.25">
      <c r="A66" s="50"/>
      <c r="B66" s="19" t="s">
        <v>93</v>
      </c>
      <c r="C66" s="38"/>
      <c r="D66" s="39"/>
      <c r="E66" s="40"/>
      <c r="F66" s="39"/>
      <c r="G66" s="40"/>
      <c r="H66" s="39"/>
      <c r="I66" s="8"/>
      <c r="J66" s="8"/>
      <c r="K66" s="2"/>
    </row>
    <row r="67" spans="1:11" x14ac:dyDescent="0.25">
      <c r="A67" s="50"/>
      <c r="B67" s="1" t="s">
        <v>187</v>
      </c>
      <c r="C67" s="38"/>
      <c r="D67" s="39"/>
      <c r="E67" s="40"/>
      <c r="F67" s="39"/>
      <c r="G67" s="40"/>
      <c r="H67" s="39"/>
      <c r="I67" s="8"/>
      <c r="J67" s="8"/>
      <c r="K67" s="2"/>
    </row>
    <row r="68" spans="1:11" x14ac:dyDescent="0.25">
      <c r="A68" s="50"/>
      <c r="B68" s="1" t="s">
        <v>94</v>
      </c>
      <c r="C68" s="38"/>
      <c r="D68" s="39"/>
      <c r="E68" s="40"/>
      <c r="F68" s="39"/>
      <c r="G68" s="40"/>
      <c r="H68" s="39"/>
      <c r="I68" s="8"/>
      <c r="J68" s="8"/>
      <c r="K68" s="2"/>
    </row>
    <row r="69" spans="1:11" ht="79.2" x14ac:dyDescent="0.25">
      <c r="A69" s="50"/>
      <c r="B69" s="1" t="s">
        <v>530</v>
      </c>
      <c r="C69" s="38"/>
      <c r="D69" s="39"/>
      <c r="E69" s="40"/>
      <c r="F69" s="39"/>
      <c r="G69" s="40"/>
      <c r="H69" s="39"/>
      <c r="I69" s="8"/>
      <c r="J69" s="8"/>
      <c r="K69" s="2"/>
    </row>
    <row r="70" spans="1:11" ht="158.4" x14ac:dyDescent="0.25">
      <c r="A70" s="50"/>
      <c r="B70" s="1" t="s">
        <v>531</v>
      </c>
      <c r="C70" s="38"/>
      <c r="D70" s="39"/>
      <c r="E70" s="40"/>
      <c r="F70" s="39"/>
      <c r="G70" s="40"/>
      <c r="H70" s="39"/>
      <c r="I70" s="8"/>
      <c r="J70" s="8"/>
      <c r="K70" s="2"/>
    </row>
    <row r="71" spans="1:11" ht="79.2" x14ac:dyDescent="0.25">
      <c r="A71" s="50"/>
      <c r="B71" s="1" t="s">
        <v>532</v>
      </c>
      <c r="C71" s="38"/>
      <c r="D71" s="39"/>
      <c r="E71" s="40"/>
      <c r="F71" s="39"/>
      <c r="G71" s="40"/>
      <c r="H71" s="39"/>
      <c r="I71" s="8"/>
      <c r="J71" s="8"/>
      <c r="K71" s="2"/>
    </row>
    <row r="72" spans="1:11" ht="66" x14ac:dyDescent="0.25">
      <c r="A72" s="50"/>
      <c r="B72" s="1" t="s">
        <v>533</v>
      </c>
      <c r="C72" s="38"/>
      <c r="D72" s="39"/>
      <c r="E72" s="40"/>
      <c r="F72" s="39"/>
      <c r="G72" s="40"/>
      <c r="H72" s="39"/>
      <c r="I72" s="8"/>
      <c r="J72" s="8"/>
      <c r="K72" s="2"/>
    </row>
    <row r="73" spans="1:11" ht="52.8" x14ac:dyDescent="0.25">
      <c r="A73" s="50"/>
      <c r="B73" s="1" t="s">
        <v>534</v>
      </c>
      <c r="C73" s="38"/>
      <c r="D73" s="39"/>
      <c r="E73" s="40"/>
      <c r="F73" s="39"/>
      <c r="G73" s="40"/>
      <c r="H73" s="39"/>
      <c r="I73" s="8"/>
      <c r="J73" s="8"/>
      <c r="K73" s="2"/>
    </row>
    <row r="74" spans="1:11" ht="79.2" x14ac:dyDescent="0.25">
      <c r="A74" s="50"/>
      <c r="B74" s="1" t="s">
        <v>535</v>
      </c>
      <c r="C74" s="38"/>
      <c r="D74" s="39"/>
      <c r="E74" s="40"/>
      <c r="F74" s="39"/>
      <c r="G74" s="40"/>
      <c r="H74" s="39"/>
      <c r="I74" s="8"/>
      <c r="J74" s="8"/>
      <c r="K74" s="2"/>
    </row>
    <row r="75" spans="1:11" ht="52.8" x14ac:dyDescent="0.25">
      <c r="A75" s="50"/>
      <c r="B75" s="1" t="s">
        <v>536</v>
      </c>
      <c r="C75" s="38"/>
      <c r="D75" s="39"/>
      <c r="E75" s="40"/>
      <c r="F75" s="39"/>
      <c r="G75" s="40"/>
      <c r="H75" s="39"/>
      <c r="I75" s="8"/>
      <c r="J75" s="8"/>
      <c r="K75" s="2"/>
    </row>
    <row r="76" spans="1:11" ht="66" x14ac:dyDescent="0.25">
      <c r="A76" s="50"/>
      <c r="B76" s="1" t="s">
        <v>537</v>
      </c>
      <c r="C76" s="38"/>
      <c r="D76" s="39"/>
      <c r="E76" s="40"/>
      <c r="F76" s="39"/>
      <c r="G76" s="40"/>
      <c r="H76" s="39"/>
      <c r="I76" s="8"/>
      <c r="J76" s="8"/>
      <c r="K76" s="2"/>
    </row>
    <row r="77" spans="1:11" x14ac:dyDescent="0.25">
      <c r="A77" s="50"/>
      <c r="B77" s="57" t="s">
        <v>538</v>
      </c>
      <c r="C77" s="38"/>
      <c r="D77" s="39"/>
      <c r="E77" s="40"/>
      <c r="F77" s="39"/>
      <c r="G77" s="40"/>
      <c r="H77" s="39"/>
      <c r="I77" s="8"/>
      <c r="J77" s="8"/>
      <c r="K77" s="2"/>
    </row>
    <row r="78" spans="1:11" ht="79.2" x14ac:dyDescent="0.25">
      <c r="A78" s="50"/>
      <c r="B78" s="1" t="s">
        <v>539</v>
      </c>
      <c r="C78" s="38"/>
      <c r="D78" s="39"/>
      <c r="E78" s="40"/>
      <c r="F78" s="39"/>
      <c r="G78" s="40"/>
      <c r="H78" s="39"/>
      <c r="I78" s="8"/>
      <c r="J78" s="8"/>
      <c r="K78" s="2"/>
    </row>
    <row r="79" spans="1:11" ht="39.6" x14ac:dyDescent="0.25">
      <c r="A79" s="50"/>
      <c r="B79" s="1" t="s">
        <v>540</v>
      </c>
      <c r="C79" s="38"/>
      <c r="D79" s="39"/>
      <c r="E79" s="40"/>
      <c r="F79" s="39"/>
      <c r="G79" s="40"/>
      <c r="H79" s="39"/>
      <c r="I79" s="8"/>
      <c r="J79" s="8"/>
      <c r="K79" s="2"/>
    </row>
    <row r="80" spans="1:11" ht="39.6" x14ac:dyDescent="0.25">
      <c r="A80" s="50"/>
      <c r="B80" s="1" t="s">
        <v>541</v>
      </c>
      <c r="C80" s="38"/>
      <c r="D80" s="39"/>
      <c r="E80" s="40"/>
      <c r="F80" s="39"/>
      <c r="G80" s="40"/>
      <c r="H80" s="39"/>
      <c r="I80" s="8"/>
      <c r="J80" s="8"/>
      <c r="K80" s="2"/>
    </row>
    <row r="81" spans="1:11" ht="26.4" x14ac:dyDescent="0.25">
      <c r="A81" s="50"/>
      <c r="B81" s="1" t="s">
        <v>542</v>
      </c>
      <c r="C81" s="38"/>
      <c r="D81" s="39"/>
      <c r="E81" s="40"/>
      <c r="F81" s="39"/>
      <c r="G81" s="40"/>
      <c r="H81" s="39"/>
      <c r="I81" s="8"/>
      <c r="J81" s="8"/>
      <c r="K81" s="2"/>
    </row>
    <row r="82" spans="1:11" ht="26.4" x14ac:dyDescent="0.25">
      <c r="A82" s="50"/>
      <c r="B82" s="1" t="s">
        <v>543</v>
      </c>
      <c r="C82" s="38"/>
      <c r="D82" s="39"/>
      <c r="E82" s="40"/>
      <c r="F82" s="39"/>
      <c r="G82" s="40"/>
      <c r="H82" s="39"/>
      <c r="I82" s="8"/>
      <c r="J82" s="8"/>
      <c r="K82" s="2"/>
    </row>
    <row r="83" spans="1:11" ht="79.2" x14ac:dyDescent="0.25">
      <c r="A83" s="50"/>
      <c r="B83" s="1" t="s">
        <v>544</v>
      </c>
      <c r="C83" s="38"/>
      <c r="D83" s="39"/>
      <c r="E83" s="40"/>
      <c r="F83" s="39"/>
      <c r="G83" s="40"/>
      <c r="H83" s="39"/>
      <c r="I83" s="8"/>
      <c r="J83" s="8"/>
      <c r="K83" s="2"/>
    </row>
    <row r="84" spans="1:11" ht="79.2" x14ac:dyDescent="0.25">
      <c r="A84" s="50"/>
      <c r="B84" s="1" t="s">
        <v>545</v>
      </c>
      <c r="C84" s="38"/>
      <c r="D84" s="39"/>
      <c r="E84" s="40"/>
      <c r="F84" s="39"/>
      <c r="G84" s="40"/>
      <c r="H84" s="39"/>
      <c r="I84" s="8"/>
      <c r="J84" s="8"/>
      <c r="K84" s="2"/>
    </row>
    <row r="85" spans="1:11" ht="39.6" x14ac:dyDescent="0.25">
      <c r="A85" s="50"/>
      <c r="B85" s="1" t="s">
        <v>546</v>
      </c>
      <c r="C85" s="38"/>
      <c r="D85" s="39"/>
      <c r="E85" s="40"/>
      <c r="F85" s="39"/>
      <c r="G85" s="40"/>
      <c r="H85" s="39"/>
      <c r="I85" s="8"/>
      <c r="J85" s="8"/>
      <c r="K85" s="2"/>
    </row>
    <row r="86" spans="1:11" x14ac:dyDescent="0.25">
      <c r="A86" s="50"/>
      <c r="B86" s="1" t="s">
        <v>501</v>
      </c>
      <c r="C86" s="38"/>
      <c r="D86" s="39"/>
      <c r="E86" s="40"/>
      <c r="F86" s="39"/>
      <c r="G86" s="40"/>
      <c r="H86" s="39"/>
      <c r="I86" s="8"/>
      <c r="J86" s="8"/>
      <c r="K86" s="2"/>
    </row>
    <row r="87" spans="1:11" ht="39.6" x14ac:dyDescent="0.25">
      <c r="A87" s="50"/>
      <c r="B87" s="1" t="s">
        <v>547</v>
      </c>
      <c r="C87" s="38"/>
      <c r="D87" s="39"/>
      <c r="E87" s="40"/>
      <c r="F87" s="39"/>
      <c r="G87" s="40"/>
      <c r="H87" s="39"/>
      <c r="I87" s="8"/>
      <c r="J87" s="8"/>
      <c r="K87" s="2"/>
    </row>
    <row r="88" spans="1:11" ht="26.4" x14ac:dyDescent="0.25">
      <c r="A88" s="50"/>
      <c r="B88" s="1" t="s">
        <v>548</v>
      </c>
      <c r="C88" s="38"/>
      <c r="D88" s="39"/>
      <c r="E88" s="40"/>
      <c r="F88" s="39"/>
      <c r="G88" s="40"/>
      <c r="H88" s="39"/>
      <c r="I88" s="8"/>
      <c r="J88" s="8"/>
      <c r="K88" s="2"/>
    </row>
    <row r="89" spans="1:11" ht="52.8" x14ac:dyDescent="0.25">
      <c r="A89" s="50"/>
      <c r="B89" s="1" t="s">
        <v>549</v>
      </c>
      <c r="C89" s="38"/>
      <c r="D89" s="39"/>
      <c r="E89" s="40"/>
      <c r="F89" s="39"/>
      <c r="G89" s="40"/>
      <c r="H89" s="39"/>
      <c r="I89" s="8"/>
      <c r="J89" s="8"/>
      <c r="K89" s="2"/>
    </row>
    <row r="90" spans="1:11" ht="237.6" x14ac:dyDescent="0.25">
      <c r="A90" s="50"/>
      <c r="B90" s="1" t="s">
        <v>575</v>
      </c>
      <c r="C90" s="38"/>
      <c r="D90" s="39"/>
      <c r="E90" s="40"/>
      <c r="F90" s="39"/>
      <c r="G90" s="40"/>
      <c r="H90" s="39"/>
      <c r="I90" s="8"/>
      <c r="J90" s="8"/>
      <c r="K90" s="2"/>
    </row>
    <row r="91" spans="1:11" ht="171.6" x14ac:dyDescent="0.25">
      <c r="A91" s="50"/>
      <c r="B91" s="1" t="s">
        <v>576</v>
      </c>
      <c r="C91" s="38"/>
      <c r="D91" s="39"/>
      <c r="E91" s="40"/>
      <c r="F91" s="39"/>
      <c r="G91" s="40"/>
      <c r="H91" s="39"/>
      <c r="I91" s="8"/>
      <c r="J91" s="8"/>
      <c r="K91" s="2"/>
    </row>
    <row r="92" spans="1:11" ht="79.2" x14ac:dyDescent="0.25">
      <c r="A92" s="50"/>
      <c r="B92" s="1" t="s">
        <v>577</v>
      </c>
      <c r="C92" s="38"/>
      <c r="D92" s="39"/>
      <c r="E92" s="40"/>
      <c r="F92" s="39"/>
      <c r="G92" s="40"/>
      <c r="H92" s="39"/>
      <c r="I92" s="8"/>
      <c r="J92" s="8"/>
      <c r="K92" s="2"/>
    </row>
    <row r="93" spans="1:11" x14ac:dyDescent="0.25">
      <c r="A93" s="50"/>
      <c r="B93" s="1" t="s">
        <v>504</v>
      </c>
      <c r="C93" s="38"/>
      <c r="D93" s="39"/>
      <c r="E93" s="40"/>
      <c r="F93" s="39"/>
      <c r="G93" s="40"/>
      <c r="H93" s="39"/>
      <c r="I93" s="8"/>
      <c r="J93" s="8"/>
      <c r="K93" s="2"/>
    </row>
    <row r="94" spans="1:11" ht="39.6" x14ac:dyDescent="0.25">
      <c r="A94" s="50"/>
      <c r="B94" s="1" t="s">
        <v>540</v>
      </c>
      <c r="C94" s="38"/>
      <c r="D94" s="39"/>
      <c r="E94" s="40"/>
      <c r="F94" s="39"/>
      <c r="G94" s="40"/>
      <c r="H94" s="39"/>
      <c r="I94" s="8"/>
      <c r="J94" s="8"/>
      <c r="K94" s="2"/>
    </row>
    <row r="95" spans="1:11" ht="39.6" x14ac:dyDescent="0.25">
      <c r="A95" s="50"/>
      <c r="B95" s="1" t="s">
        <v>541</v>
      </c>
      <c r="C95" s="38"/>
      <c r="D95" s="39"/>
      <c r="E95" s="40"/>
      <c r="F95" s="39"/>
      <c r="G95" s="40"/>
      <c r="H95" s="39"/>
      <c r="I95" s="8"/>
      <c r="J95" s="8"/>
      <c r="K95" s="2"/>
    </row>
    <row r="96" spans="1:11" ht="26.4" x14ac:dyDescent="0.25">
      <c r="A96" s="50"/>
      <c r="B96" s="1" t="s">
        <v>542</v>
      </c>
      <c r="C96" s="38"/>
      <c r="D96" s="39"/>
      <c r="E96" s="40"/>
      <c r="F96" s="39"/>
      <c r="G96" s="40"/>
      <c r="H96" s="39"/>
      <c r="I96" s="8"/>
      <c r="J96" s="8"/>
      <c r="K96" s="2"/>
    </row>
    <row r="97" spans="1:11" ht="79.2" x14ac:dyDescent="0.25">
      <c r="A97" s="50"/>
      <c r="B97" s="1" t="s">
        <v>544</v>
      </c>
      <c r="C97" s="38"/>
      <c r="D97" s="39"/>
      <c r="E97" s="40"/>
      <c r="F97" s="39"/>
      <c r="G97" s="40"/>
      <c r="H97" s="39"/>
      <c r="I97" s="8"/>
      <c r="J97" s="8"/>
      <c r="K97" s="2"/>
    </row>
    <row r="98" spans="1:11" ht="79.2" x14ac:dyDescent="0.25">
      <c r="A98" s="50"/>
      <c r="B98" s="1" t="s">
        <v>545</v>
      </c>
      <c r="C98" s="38"/>
      <c r="D98" s="39"/>
      <c r="E98" s="40"/>
      <c r="F98" s="39"/>
      <c r="G98" s="40"/>
      <c r="H98" s="39"/>
      <c r="I98" s="8"/>
      <c r="J98" s="8"/>
      <c r="K98" s="2"/>
    </row>
    <row r="99" spans="1:11" ht="39.6" x14ac:dyDescent="0.25">
      <c r="A99" s="50"/>
      <c r="B99" s="1" t="s">
        <v>546</v>
      </c>
      <c r="C99" s="38"/>
      <c r="D99" s="39"/>
      <c r="E99" s="40"/>
      <c r="F99" s="39"/>
      <c r="G99" s="40"/>
      <c r="H99" s="39"/>
      <c r="I99" s="8"/>
      <c r="J99" s="8"/>
      <c r="K99" s="2"/>
    </row>
    <row r="100" spans="1:11" x14ac:dyDescent="0.25">
      <c r="A100" s="50"/>
      <c r="C100" s="38"/>
      <c r="D100" s="39"/>
      <c r="E100" s="40"/>
      <c r="F100" s="39"/>
      <c r="G100" s="40"/>
      <c r="H100" s="39"/>
      <c r="I100" s="8"/>
      <c r="J100" s="8"/>
      <c r="K100" s="2"/>
    </row>
    <row r="101" spans="1:11" x14ac:dyDescent="0.25">
      <c r="A101" s="50"/>
      <c r="C101" s="38"/>
      <c r="D101" s="39"/>
      <c r="E101" s="40"/>
      <c r="F101" s="39"/>
      <c r="G101" s="40"/>
      <c r="H101" s="39"/>
      <c r="I101" s="8"/>
      <c r="J101" s="8"/>
      <c r="K101" s="2"/>
    </row>
    <row r="102" spans="1:11" x14ac:dyDescent="0.25">
      <c r="A102" s="50"/>
      <c r="C102" s="38"/>
      <c r="D102" s="39"/>
      <c r="E102" s="40"/>
      <c r="F102" s="39"/>
      <c r="G102" s="40"/>
      <c r="H102" s="39"/>
      <c r="I102" s="8"/>
      <c r="J102" s="8"/>
      <c r="K102" s="2"/>
    </row>
    <row r="103" spans="1:11" x14ac:dyDescent="0.25">
      <c r="A103" s="50"/>
    </row>
    <row r="104" spans="1:11" x14ac:dyDescent="0.25">
      <c r="A104" s="50"/>
    </row>
    <row r="105" spans="1:11" x14ac:dyDescent="0.25">
      <c r="A105" s="50"/>
      <c r="C105" s="41"/>
      <c r="D105" s="42"/>
      <c r="E105" s="43"/>
      <c r="F105" s="42"/>
      <c r="G105" s="43"/>
      <c r="H105" s="42"/>
    </row>
  </sheetData>
  <sheetProtection algorithmName="SHA-512" hashValue="JhhsuxZeSHT2FxLgFuiIWsOcnMzP+6BjoJb8pq5pZr/w5sDbET3xYRF+HZLnsQIMDCapxBk1NSPaYz7Kc2RSZA==" saltValue="4TNLh9rmdvRzGWx1oSBemA==" spinCount="100000" sheet="1" selectLockedCells="1"/>
  <printOptions horizontalCentered="1" gridLines="1"/>
  <pageMargins left="0.70866141732283472" right="0.70866141732283472" top="0.74803149606299213" bottom="0.74803149606299213" header="0.31496062992125984" footer="0.31496062992125984"/>
  <pageSetup paperSize="9" scale="90" orientation="portrait" r:id="rId1"/>
  <headerFooter>
    <oddHeader>&amp;L&amp;"Arial,Uobičajeno"&amp;10 Ministarstvo unutarnjih poslova RH&amp;R&amp;"Arial,Uobičajeno"&amp;10Logistički centar civilne zaštite u Jastrebarskom</oddHeader>
    <oddFooter>&amp;L&amp;"Arial,Uobičajeno"&amp;10Troškovnik radova na uređenju skladišta br. 1, 2, 5, 6 i otvorenih platoa br. 4 i 5&amp;R&amp;"Arial,Uobičajeno"&amp;10stranica &amp;P od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80"/>
  <sheetViews>
    <sheetView showZeros="0" zoomScaleNormal="100" workbookViewId="0">
      <selection activeCell="E7" sqref="E7"/>
    </sheetView>
  </sheetViews>
  <sheetFormatPr defaultRowHeight="13.2" x14ac:dyDescent="0.25"/>
  <cols>
    <col min="1" max="1" width="6.109375" style="32" customWidth="1"/>
    <col min="2" max="2" width="50.6640625" style="1" customWidth="1"/>
    <col min="3" max="3" width="5.6640625" style="2" customWidth="1"/>
    <col min="4" max="4" width="9.6640625" style="3" customWidth="1"/>
    <col min="5" max="5" width="10.88671875" style="34" customWidth="1"/>
    <col min="6" max="6" width="13.6640625" style="3" customWidth="1"/>
    <col min="7" max="252" width="9.109375" style="6"/>
    <col min="253" max="253" width="7.44140625" style="6" customWidth="1"/>
    <col min="254" max="254" width="51.88671875" style="6" customWidth="1"/>
    <col min="255" max="255" width="7.44140625" style="6" customWidth="1"/>
    <col min="256" max="256" width="11.33203125" style="6" customWidth="1"/>
    <col min="257" max="257" width="12.5546875" style="6" customWidth="1"/>
    <col min="258" max="258" width="16.44140625" style="6" customWidth="1"/>
    <col min="259" max="508" width="9.109375" style="6"/>
    <col min="509" max="509" width="7.44140625" style="6" customWidth="1"/>
    <col min="510" max="510" width="51.88671875" style="6" customWidth="1"/>
    <col min="511" max="511" width="7.44140625" style="6" customWidth="1"/>
    <col min="512" max="512" width="11.33203125" style="6" customWidth="1"/>
    <col min="513" max="513" width="12.5546875" style="6" customWidth="1"/>
    <col min="514" max="514" width="16.44140625" style="6" customWidth="1"/>
    <col min="515" max="764" width="9.109375" style="6"/>
    <col min="765" max="765" width="7.44140625" style="6" customWidth="1"/>
    <col min="766" max="766" width="51.88671875" style="6" customWidth="1"/>
    <col min="767" max="767" width="7.44140625" style="6" customWidth="1"/>
    <col min="768" max="768" width="11.33203125" style="6" customWidth="1"/>
    <col min="769" max="769" width="12.5546875" style="6" customWidth="1"/>
    <col min="770" max="770" width="16.44140625" style="6" customWidth="1"/>
    <col min="771" max="1020" width="9.109375" style="6"/>
    <col min="1021" max="1021" width="7.44140625" style="6" customWidth="1"/>
    <col min="1022" max="1022" width="51.88671875" style="6" customWidth="1"/>
    <col min="1023" max="1023" width="7.44140625" style="6" customWidth="1"/>
    <col min="1024" max="1024" width="11.33203125" style="6" customWidth="1"/>
    <col min="1025" max="1025" width="12.5546875" style="6" customWidth="1"/>
    <col min="1026" max="1026" width="16.44140625" style="6" customWidth="1"/>
    <col min="1027" max="1276" width="9.109375" style="6"/>
    <col min="1277" max="1277" width="7.44140625" style="6" customWidth="1"/>
    <col min="1278" max="1278" width="51.88671875" style="6" customWidth="1"/>
    <col min="1279" max="1279" width="7.44140625" style="6" customWidth="1"/>
    <col min="1280" max="1280" width="11.33203125" style="6" customWidth="1"/>
    <col min="1281" max="1281" width="12.5546875" style="6" customWidth="1"/>
    <col min="1282" max="1282" width="16.44140625" style="6" customWidth="1"/>
    <col min="1283" max="1532" width="9.109375" style="6"/>
    <col min="1533" max="1533" width="7.44140625" style="6" customWidth="1"/>
    <col min="1534" max="1534" width="51.88671875" style="6" customWidth="1"/>
    <col min="1535" max="1535" width="7.44140625" style="6" customWidth="1"/>
    <col min="1536" max="1536" width="11.33203125" style="6" customWidth="1"/>
    <col min="1537" max="1537" width="12.5546875" style="6" customWidth="1"/>
    <col min="1538" max="1538" width="16.44140625" style="6" customWidth="1"/>
    <col min="1539" max="1788" width="9.109375" style="6"/>
    <col min="1789" max="1789" width="7.44140625" style="6" customWidth="1"/>
    <col min="1790" max="1790" width="51.88671875" style="6" customWidth="1"/>
    <col min="1791" max="1791" width="7.44140625" style="6" customWidth="1"/>
    <col min="1792" max="1792" width="11.33203125" style="6" customWidth="1"/>
    <col min="1793" max="1793" width="12.5546875" style="6" customWidth="1"/>
    <col min="1794" max="1794" width="16.44140625" style="6" customWidth="1"/>
    <col min="1795" max="2044" width="9.109375" style="6"/>
    <col min="2045" max="2045" width="7.44140625" style="6" customWidth="1"/>
    <col min="2046" max="2046" width="51.88671875" style="6" customWidth="1"/>
    <col min="2047" max="2047" width="7.44140625" style="6" customWidth="1"/>
    <col min="2048" max="2048" width="11.33203125" style="6" customWidth="1"/>
    <col min="2049" max="2049" width="12.5546875" style="6" customWidth="1"/>
    <col min="2050" max="2050" width="16.44140625" style="6" customWidth="1"/>
    <col min="2051" max="2300" width="9.109375" style="6"/>
    <col min="2301" max="2301" width="7.44140625" style="6" customWidth="1"/>
    <col min="2302" max="2302" width="51.88671875" style="6" customWidth="1"/>
    <col min="2303" max="2303" width="7.44140625" style="6" customWidth="1"/>
    <col min="2304" max="2304" width="11.33203125" style="6" customWidth="1"/>
    <col min="2305" max="2305" width="12.5546875" style="6" customWidth="1"/>
    <col min="2306" max="2306" width="16.44140625" style="6" customWidth="1"/>
    <col min="2307" max="2556" width="9.109375" style="6"/>
    <col min="2557" max="2557" width="7.44140625" style="6" customWidth="1"/>
    <col min="2558" max="2558" width="51.88671875" style="6" customWidth="1"/>
    <col min="2559" max="2559" width="7.44140625" style="6" customWidth="1"/>
    <col min="2560" max="2560" width="11.33203125" style="6" customWidth="1"/>
    <col min="2561" max="2561" width="12.5546875" style="6" customWidth="1"/>
    <col min="2562" max="2562" width="16.44140625" style="6" customWidth="1"/>
    <col min="2563" max="2812" width="9.109375" style="6"/>
    <col min="2813" max="2813" width="7.44140625" style="6" customWidth="1"/>
    <col min="2814" max="2814" width="51.88671875" style="6" customWidth="1"/>
    <col min="2815" max="2815" width="7.44140625" style="6" customWidth="1"/>
    <col min="2816" max="2816" width="11.33203125" style="6" customWidth="1"/>
    <col min="2817" max="2817" width="12.5546875" style="6" customWidth="1"/>
    <col min="2818" max="2818" width="16.44140625" style="6" customWidth="1"/>
    <col min="2819" max="3068" width="9.109375" style="6"/>
    <col min="3069" max="3069" width="7.44140625" style="6" customWidth="1"/>
    <col min="3070" max="3070" width="51.88671875" style="6" customWidth="1"/>
    <col min="3071" max="3071" width="7.44140625" style="6" customWidth="1"/>
    <col min="3072" max="3072" width="11.33203125" style="6" customWidth="1"/>
    <col min="3073" max="3073" width="12.5546875" style="6" customWidth="1"/>
    <col min="3074" max="3074" width="16.44140625" style="6" customWidth="1"/>
    <col min="3075" max="3324" width="9.109375" style="6"/>
    <col min="3325" max="3325" width="7.44140625" style="6" customWidth="1"/>
    <col min="3326" max="3326" width="51.88671875" style="6" customWidth="1"/>
    <col min="3327" max="3327" width="7.44140625" style="6" customWidth="1"/>
    <col min="3328" max="3328" width="11.33203125" style="6" customWidth="1"/>
    <col min="3329" max="3329" width="12.5546875" style="6" customWidth="1"/>
    <col min="3330" max="3330" width="16.44140625" style="6" customWidth="1"/>
    <col min="3331" max="3580" width="9.109375" style="6"/>
    <col min="3581" max="3581" width="7.44140625" style="6" customWidth="1"/>
    <col min="3582" max="3582" width="51.88671875" style="6" customWidth="1"/>
    <col min="3583" max="3583" width="7.44140625" style="6" customWidth="1"/>
    <col min="3584" max="3584" width="11.33203125" style="6" customWidth="1"/>
    <col min="3585" max="3585" width="12.5546875" style="6" customWidth="1"/>
    <col min="3586" max="3586" width="16.44140625" style="6" customWidth="1"/>
    <col min="3587" max="3836" width="9.109375" style="6"/>
    <col min="3837" max="3837" width="7.44140625" style="6" customWidth="1"/>
    <col min="3838" max="3838" width="51.88671875" style="6" customWidth="1"/>
    <col min="3839" max="3839" width="7.44140625" style="6" customWidth="1"/>
    <col min="3840" max="3840" width="11.33203125" style="6" customWidth="1"/>
    <col min="3841" max="3841" width="12.5546875" style="6" customWidth="1"/>
    <col min="3842" max="3842" width="16.44140625" style="6" customWidth="1"/>
    <col min="3843" max="4092" width="9.109375" style="6"/>
    <col min="4093" max="4093" width="7.44140625" style="6" customWidth="1"/>
    <col min="4094" max="4094" width="51.88671875" style="6" customWidth="1"/>
    <col min="4095" max="4095" width="7.44140625" style="6" customWidth="1"/>
    <col min="4096" max="4096" width="11.33203125" style="6" customWidth="1"/>
    <col min="4097" max="4097" width="12.5546875" style="6" customWidth="1"/>
    <col min="4098" max="4098" width="16.44140625" style="6" customWidth="1"/>
    <col min="4099" max="4348" width="9.109375" style="6"/>
    <col min="4349" max="4349" width="7.44140625" style="6" customWidth="1"/>
    <col min="4350" max="4350" width="51.88671875" style="6" customWidth="1"/>
    <col min="4351" max="4351" width="7.44140625" style="6" customWidth="1"/>
    <col min="4352" max="4352" width="11.33203125" style="6" customWidth="1"/>
    <col min="4353" max="4353" width="12.5546875" style="6" customWidth="1"/>
    <col min="4354" max="4354" width="16.44140625" style="6" customWidth="1"/>
    <col min="4355" max="4604" width="9.109375" style="6"/>
    <col min="4605" max="4605" width="7.44140625" style="6" customWidth="1"/>
    <col min="4606" max="4606" width="51.88671875" style="6" customWidth="1"/>
    <col min="4607" max="4607" width="7.44140625" style="6" customWidth="1"/>
    <col min="4608" max="4608" width="11.33203125" style="6" customWidth="1"/>
    <col min="4609" max="4609" width="12.5546875" style="6" customWidth="1"/>
    <col min="4610" max="4610" width="16.44140625" style="6" customWidth="1"/>
    <col min="4611" max="4860" width="9.109375" style="6"/>
    <col min="4861" max="4861" width="7.44140625" style="6" customWidth="1"/>
    <col min="4862" max="4862" width="51.88671875" style="6" customWidth="1"/>
    <col min="4863" max="4863" width="7.44140625" style="6" customWidth="1"/>
    <col min="4864" max="4864" width="11.33203125" style="6" customWidth="1"/>
    <col min="4865" max="4865" width="12.5546875" style="6" customWidth="1"/>
    <col min="4866" max="4866" width="16.44140625" style="6" customWidth="1"/>
    <col min="4867" max="5116" width="9.109375" style="6"/>
    <col min="5117" max="5117" width="7.44140625" style="6" customWidth="1"/>
    <col min="5118" max="5118" width="51.88671875" style="6" customWidth="1"/>
    <col min="5119" max="5119" width="7.44140625" style="6" customWidth="1"/>
    <col min="5120" max="5120" width="11.33203125" style="6" customWidth="1"/>
    <col min="5121" max="5121" width="12.5546875" style="6" customWidth="1"/>
    <col min="5122" max="5122" width="16.44140625" style="6" customWidth="1"/>
    <col min="5123" max="5372" width="9.109375" style="6"/>
    <col min="5373" max="5373" width="7.44140625" style="6" customWidth="1"/>
    <col min="5374" max="5374" width="51.88671875" style="6" customWidth="1"/>
    <col min="5375" max="5375" width="7.44140625" style="6" customWidth="1"/>
    <col min="5376" max="5376" width="11.33203125" style="6" customWidth="1"/>
    <col min="5377" max="5377" width="12.5546875" style="6" customWidth="1"/>
    <col min="5378" max="5378" width="16.44140625" style="6" customWidth="1"/>
    <col min="5379" max="5628" width="9.109375" style="6"/>
    <col min="5629" max="5629" width="7.44140625" style="6" customWidth="1"/>
    <col min="5630" max="5630" width="51.88671875" style="6" customWidth="1"/>
    <col min="5631" max="5631" width="7.44140625" style="6" customWidth="1"/>
    <col min="5632" max="5632" width="11.33203125" style="6" customWidth="1"/>
    <col min="5633" max="5633" width="12.5546875" style="6" customWidth="1"/>
    <col min="5634" max="5634" width="16.44140625" style="6" customWidth="1"/>
    <col min="5635" max="5884" width="9.109375" style="6"/>
    <col min="5885" max="5885" width="7.44140625" style="6" customWidth="1"/>
    <col min="5886" max="5886" width="51.88671875" style="6" customWidth="1"/>
    <col min="5887" max="5887" width="7.44140625" style="6" customWidth="1"/>
    <col min="5888" max="5888" width="11.33203125" style="6" customWidth="1"/>
    <col min="5889" max="5889" width="12.5546875" style="6" customWidth="1"/>
    <col min="5890" max="5890" width="16.44140625" style="6" customWidth="1"/>
    <col min="5891" max="6140" width="9.109375" style="6"/>
    <col min="6141" max="6141" width="7.44140625" style="6" customWidth="1"/>
    <col min="6142" max="6142" width="51.88671875" style="6" customWidth="1"/>
    <col min="6143" max="6143" width="7.44140625" style="6" customWidth="1"/>
    <col min="6144" max="6144" width="11.33203125" style="6" customWidth="1"/>
    <col min="6145" max="6145" width="12.5546875" style="6" customWidth="1"/>
    <col min="6146" max="6146" width="16.44140625" style="6" customWidth="1"/>
    <col min="6147" max="6396" width="9.109375" style="6"/>
    <col min="6397" max="6397" width="7.44140625" style="6" customWidth="1"/>
    <col min="6398" max="6398" width="51.88671875" style="6" customWidth="1"/>
    <col min="6399" max="6399" width="7.44140625" style="6" customWidth="1"/>
    <col min="6400" max="6400" width="11.33203125" style="6" customWidth="1"/>
    <col min="6401" max="6401" width="12.5546875" style="6" customWidth="1"/>
    <col min="6402" max="6402" width="16.44140625" style="6" customWidth="1"/>
    <col min="6403" max="6652" width="9.109375" style="6"/>
    <col min="6653" max="6653" width="7.44140625" style="6" customWidth="1"/>
    <col min="6654" max="6654" width="51.88671875" style="6" customWidth="1"/>
    <col min="6655" max="6655" width="7.44140625" style="6" customWidth="1"/>
    <col min="6656" max="6656" width="11.33203125" style="6" customWidth="1"/>
    <col min="6657" max="6657" width="12.5546875" style="6" customWidth="1"/>
    <col min="6658" max="6658" width="16.44140625" style="6" customWidth="1"/>
    <col min="6659" max="6908" width="9.109375" style="6"/>
    <col min="6909" max="6909" width="7.44140625" style="6" customWidth="1"/>
    <col min="6910" max="6910" width="51.88671875" style="6" customWidth="1"/>
    <col min="6911" max="6911" width="7.44140625" style="6" customWidth="1"/>
    <col min="6912" max="6912" width="11.33203125" style="6" customWidth="1"/>
    <col min="6913" max="6913" width="12.5546875" style="6" customWidth="1"/>
    <col min="6914" max="6914" width="16.44140625" style="6" customWidth="1"/>
    <col min="6915" max="7164" width="9.109375" style="6"/>
    <col min="7165" max="7165" width="7.44140625" style="6" customWidth="1"/>
    <col min="7166" max="7166" width="51.88671875" style="6" customWidth="1"/>
    <col min="7167" max="7167" width="7.44140625" style="6" customWidth="1"/>
    <col min="7168" max="7168" width="11.33203125" style="6" customWidth="1"/>
    <col min="7169" max="7169" width="12.5546875" style="6" customWidth="1"/>
    <col min="7170" max="7170" width="16.44140625" style="6" customWidth="1"/>
    <col min="7171" max="7420" width="9.109375" style="6"/>
    <col min="7421" max="7421" width="7.44140625" style="6" customWidth="1"/>
    <col min="7422" max="7422" width="51.88671875" style="6" customWidth="1"/>
    <col min="7423" max="7423" width="7.44140625" style="6" customWidth="1"/>
    <col min="7424" max="7424" width="11.33203125" style="6" customWidth="1"/>
    <col min="7425" max="7425" width="12.5546875" style="6" customWidth="1"/>
    <col min="7426" max="7426" width="16.44140625" style="6" customWidth="1"/>
    <col min="7427" max="7676" width="9.109375" style="6"/>
    <col min="7677" max="7677" width="7.44140625" style="6" customWidth="1"/>
    <col min="7678" max="7678" width="51.88671875" style="6" customWidth="1"/>
    <col min="7679" max="7679" width="7.44140625" style="6" customWidth="1"/>
    <col min="7680" max="7680" width="11.33203125" style="6" customWidth="1"/>
    <col min="7681" max="7681" width="12.5546875" style="6" customWidth="1"/>
    <col min="7682" max="7682" width="16.44140625" style="6" customWidth="1"/>
    <col min="7683" max="7932" width="9.109375" style="6"/>
    <col min="7933" max="7933" width="7.44140625" style="6" customWidth="1"/>
    <col min="7934" max="7934" width="51.88671875" style="6" customWidth="1"/>
    <col min="7935" max="7935" width="7.44140625" style="6" customWidth="1"/>
    <col min="7936" max="7936" width="11.33203125" style="6" customWidth="1"/>
    <col min="7937" max="7937" width="12.5546875" style="6" customWidth="1"/>
    <col min="7938" max="7938" width="16.44140625" style="6" customWidth="1"/>
    <col min="7939" max="8188" width="9.109375" style="6"/>
    <col min="8189" max="8189" width="7.44140625" style="6" customWidth="1"/>
    <col min="8190" max="8190" width="51.88671875" style="6" customWidth="1"/>
    <col min="8191" max="8191" width="7.44140625" style="6" customWidth="1"/>
    <col min="8192" max="8192" width="11.33203125" style="6" customWidth="1"/>
    <col min="8193" max="8193" width="12.5546875" style="6" customWidth="1"/>
    <col min="8194" max="8194" width="16.44140625" style="6" customWidth="1"/>
    <col min="8195" max="8444" width="9.109375" style="6"/>
    <col min="8445" max="8445" width="7.44140625" style="6" customWidth="1"/>
    <col min="8446" max="8446" width="51.88671875" style="6" customWidth="1"/>
    <col min="8447" max="8447" width="7.44140625" style="6" customWidth="1"/>
    <col min="8448" max="8448" width="11.33203125" style="6" customWidth="1"/>
    <col min="8449" max="8449" width="12.5546875" style="6" customWidth="1"/>
    <col min="8450" max="8450" width="16.44140625" style="6" customWidth="1"/>
    <col min="8451" max="8700" width="9.109375" style="6"/>
    <col min="8701" max="8701" width="7.44140625" style="6" customWidth="1"/>
    <col min="8702" max="8702" width="51.88671875" style="6" customWidth="1"/>
    <col min="8703" max="8703" width="7.44140625" style="6" customWidth="1"/>
    <col min="8704" max="8704" width="11.33203125" style="6" customWidth="1"/>
    <col min="8705" max="8705" width="12.5546875" style="6" customWidth="1"/>
    <col min="8706" max="8706" width="16.44140625" style="6" customWidth="1"/>
    <col min="8707" max="8956" width="9.109375" style="6"/>
    <col min="8957" max="8957" width="7.44140625" style="6" customWidth="1"/>
    <col min="8958" max="8958" width="51.88671875" style="6" customWidth="1"/>
    <col min="8959" max="8959" width="7.44140625" style="6" customWidth="1"/>
    <col min="8960" max="8960" width="11.33203125" style="6" customWidth="1"/>
    <col min="8961" max="8961" width="12.5546875" style="6" customWidth="1"/>
    <col min="8962" max="8962" width="16.44140625" style="6" customWidth="1"/>
    <col min="8963" max="9212" width="9.109375" style="6"/>
    <col min="9213" max="9213" width="7.44140625" style="6" customWidth="1"/>
    <col min="9214" max="9214" width="51.88671875" style="6" customWidth="1"/>
    <col min="9215" max="9215" width="7.44140625" style="6" customWidth="1"/>
    <col min="9216" max="9216" width="11.33203125" style="6" customWidth="1"/>
    <col min="9217" max="9217" width="12.5546875" style="6" customWidth="1"/>
    <col min="9218" max="9218" width="16.44140625" style="6" customWidth="1"/>
    <col min="9219" max="9468" width="9.109375" style="6"/>
    <col min="9469" max="9469" width="7.44140625" style="6" customWidth="1"/>
    <col min="9470" max="9470" width="51.88671875" style="6" customWidth="1"/>
    <col min="9471" max="9471" width="7.44140625" style="6" customWidth="1"/>
    <col min="9472" max="9472" width="11.33203125" style="6" customWidth="1"/>
    <col min="9473" max="9473" width="12.5546875" style="6" customWidth="1"/>
    <col min="9474" max="9474" width="16.44140625" style="6" customWidth="1"/>
    <col min="9475" max="9724" width="9.109375" style="6"/>
    <col min="9725" max="9725" width="7.44140625" style="6" customWidth="1"/>
    <col min="9726" max="9726" width="51.88671875" style="6" customWidth="1"/>
    <col min="9727" max="9727" width="7.44140625" style="6" customWidth="1"/>
    <col min="9728" max="9728" width="11.33203125" style="6" customWidth="1"/>
    <col min="9729" max="9729" width="12.5546875" style="6" customWidth="1"/>
    <col min="9730" max="9730" width="16.44140625" style="6" customWidth="1"/>
    <col min="9731" max="9980" width="9.109375" style="6"/>
    <col min="9981" max="9981" width="7.44140625" style="6" customWidth="1"/>
    <col min="9982" max="9982" width="51.88671875" style="6" customWidth="1"/>
    <col min="9983" max="9983" width="7.44140625" style="6" customWidth="1"/>
    <col min="9984" max="9984" width="11.33203125" style="6" customWidth="1"/>
    <col min="9985" max="9985" width="12.5546875" style="6" customWidth="1"/>
    <col min="9986" max="9986" width="16.44140625" style="6" customWidth="1"/>
    <col min="9987" max="10236" width="9.109375" style="6"/>
    <col min="10237" max="10237" width="7.44140625" style="6" customWidth="1"/>
    <col min="10238" max="10238" width="51.88671875" style="6" customWidth="1"/>
    <col min="10239" max="10239" width="7.44140625" style="6" customWidth="1"/>
    <col min="10240" max="10240" width="11.33203125" style="6" customWidth="1"/>
    <col min="10241" max="10241" width="12.5546875" style="6" customWidth="1"/>
    <col min="10242" max="10242" width="16.44140625" style="6" customWidth="1"/>
    <col min="10243" max="10492" width="9.109375" style="6"/>
    <col min="10493" max="10493" width="7.44140625" style="6" customWidth="1"/>
    <col min="10494" max="10494" width="51.88671875" style="6" customWidth="1"/>
    <col min="10495" max="10495" width="7.44140625" style="6" customWidth="1"/>
    <col min="10496" max="10496" width="11.33203125" style="6" customWidth="1"/>
    <col min="10497" max="10497" width="12.5546875" style="6" customWidth="1"/>
    <col min="10498" max="10498" width="16.44140625" style="6" customWidth="1"/>
    <col min="10499" max="10748" width="9.109375" style="6"/>
    <col min="10749" max="10749" width="7.44140625" style="6" customWidth="1"/>
    <col min="10750" max="10750" width="51.88671875" style="6" customWidth="1"/>
    <col min="10751" max="10751" width="7.44140625" style="6" customWidth="1"/>
    <col min="10752" max="10752" width="11.33203125" style="6" customWidth="1"/>
    <col min="10753" max="10753" width="12.5546875" style="6" customWidth="1"/>
    <col min="10754" max="10754" width="16.44140625" style="6" customWidth="1"/>
    <col min="10755" max="11004" width="9.109375" style="6"/>
    <col min="11005" max="11005" width="7.44140625" style="6" customWidth="1"/>
    <col min="11006" max="11006" width="51.88671875" style="6" customWidth="1"/>
    <col min="11007" max="11007" width="7.44140625" style="6" customWidth="1"/>
    <col min="11008" max="11008" width="11.33203125" style="6" customWidth="1"/>
    <col min="11009" max="11009" width="12.5546875" style="6" customWidth="1"/>
    <col min="11010" max="11010" width="16.44140625" style="6" customWidth="1"/>
    <col min="11011" max="11260" width="9.109375" style="6"/>
    <col min="11261" max="11261" width="7.44140625" style="6" customWidth="1"/>
    <col min="11262" max="11262" width="51.88671875" style="6" customWidth="1"/>
    <col min="11263" max="11263" width="7.44140625" style="6" customWidth="1"/>
    <col min="11264" max="11264" width="11.33203125" style="6" customWidth="1"/>
    <col min="11265" max="11265" width="12.5546875" style="6" customWidth="1"/>
    <col min="11266" max="11266" width="16.44140625" style="6" customWidth="1"/>
    <col min="11267" max="11516" width="9.109375" style="6"/>
    <col min="11517" max="11517" width="7.44140625" style="6" customWidth="1"/>
    <col min="11518" max="11518" width="51.88671875" style="6" customWidth="1"/>
    <col min="11519" max="11519" width="7.44140625" style="6" customWidth="1"/>
    <col min="11520" max="11520" width="11.33203125" style="6" customWidth="1"/>
    <col min="11521" max="11521" width="12.5546875" style="6" customWidth="1"/>
    <col min="11522" max="11522" width="16.44140625" style="6" customWidth="1"/>
    <col min="11523" max="11772" width="9.109375" style="6"/>
    <col min="11773" max="11773" width="7.44140625" style="6" customWidth="1"/>
    <col min="11774" max="11774" width="51.88671875" style="6" customWidth="1"/>
    <col min="11775" max="11775" width="7.44140625" style="6" customWidth="1"/>
    <col min="11776" max="11776" width="11.33203125" style="6" customWidth="1"/>
    <col min="11777" max="11777" width="12.5546875" style="6" customWidth="1"/>
    <col min="11778" max="11778" width="16.44140625" style="6" customWidth="1"/>
    <col min="11779" max="12028" width="9.109375" style="6"/>
    <col min="12029" max="12029" width="7.44140625" style="6" customWidth="1"/>
    <col min="12030" max="12030" width="51.88671875" style="6" customWidth="1"/>
    <col min="12031" max="12031" width="7.44140625" style="6" customWidth="1"/>
    <col min="12032" max="12032" width="11.33203125" style="6" customWidth="1"/>
    <col min="12033" max="12033" width="12.5546875" style="6" customWidth="1"/>
    <col min="12034" max="12034" width="16.44140625" style="6" customWidth="1"/>
    <col min="12035" max="12284" width="9.109375" style="6"/>
    <col min="12285" max="12285" width="7.44140625" style="6" customWidth="1"/>
    <col min="12286" max="12286" width="51.88671875" style="6" customWidth="1"/>
    <col min="12287" max="12287" width="7.44140625" style="6" customWidth="1"/>
    <col min="12288" max="12288" width="11.33203125" style="6" customWidth="1"/>
    <col min="12289" max="12289" width="12.5546875" style="6" customWidth="1"/>
    <col min="12290" max="12290" width="16.44140625" style="6" customWidth="1"/>
    <col min="12291" max="12540" width="9.109375" style="6"/>
    <col min="12541" max="12541" width="7.44140625" style="6" customWidth="1"/>
    <col min="12542" max="12542" width="51.88671875" style="6" customWidth="1"/>
    <col min="12543" max="12543" width="7.44140625" style="6" customWidth="1"/>
    <col min="12544" max="12544" width="11.33203125" style="6" customWidth="1"/>
    <col min="12545" max="12545" width="12.5546875" style="6" customWidth="1"/>
    <col min="12546" max="12546" width="16.44140625" style="6" customWidth="1"/>
    <col min="12547" max="12796" width="9.109375" style="6"/>
    <col min="12797" max="12797" width="7.44140625" style="6" customWidth="1"/>
    <col min="12798" max="12798" width="51.88671875" style="6" customWidth="1"/>
    <col min="12799" max="12799" width="7.44140625" style="6" customWidth="1"/>
    <col min="12800" max="12800" width="11.33203125" style="6" customWidth="1"/>
    <col min="12801" max="12801" width="12.5546875" style="6" customWidth="1"/>
    <col min="12802" max="12802" width="16.44140625" style="6" customWidth="1"/>
    <col min="12803" max="13052" width="9.109375" style="6"/>
    <col min="13053" max="13053" width="7.44140625" style="6" customWidth="1"/>
    <col min="13054" max="13054" width="51.88671875" style="6" customWidth="1"/>
    <col min="13055" max="13055" width="7.44140625" style="6" customWidth="1"/>
    <col min="13056" max="13056" width="11.33203125" style="6" customWidth="1"/>
    <col min="13057" max="13057" width="12.5546875" style="6" customWidth="1"/>
    <col min="13058" max="13058" width="16.44140625" style="6" customWidth="1"/>
    <col min="13059" max="13308" width="9.109375" style="6"/>
    <col min="13309" max="13309" width="7.44140625" style="6" customWidth="1"/>
    <col min="13310" max="13310" width="51.88671875" style="6" customWidth="1"/>
    <col min="13311" max="13311" width="7.44140625" style="6" customWidth="1"/>
    <col min="13312" max="13312" width="11.33203125" style="6" customWidth="1"/>
    <col min="13313" max="13313" width="12.5546875" style="6" customWidth="1"/>
    <col min="13314" max="13314" width="16.44140625" style="6" customWidth="1"/>
    <col min="13315" max="13564" width="9.109375" style="6"/>
    <col min="13565" max="13565" width="7.44140625" style="6" customWidth="1"/>
    <col min="13566" max="13566" width="51.88671875" style="6" customWidth="1"/>
    <col min="13567" max="13567" width="7.44140625" style="6" customWidth="1"/>
    <col min="13568" max="13568" width="11.33203125" style="6" customWidth="1"/>
    <col min="13569" max="13569" width="12.5546875" style="6" customWidth="1"/>
    <col min="13570" max="13570" width="16.44140625" style="6" customWidth="1"/>
    <col min="13571" max="13820" width="9.109375" style="6"/>
    <col min="13821" max="13821" width="7.44140625" style="6" customWidth="1"/>
    <col min="13822" max="13822" width="51.88671875" style="6" customWidth="1"/>
    <col min="13823" max="13823" width="7.44140625" style="6" customWidth="1"/>
    <col min="13824" max="13824" width="11.33203125" style="6" customWidth="1"/>
    <col min="13825" max="13825" width="12.5546875" style="6" customWidth="1"/>
    <col min="13826" max="13826" width="16.44140625" style="6" customWidth="1"/>
    <col min="13827" max="14076" width="9.109375" style="6"/>
    <col min="14077" max="14077" width="7.44140625" style="6" customWidth="1"/>
    <col min="14078" max="14078" width="51.88671875" style="6" customWidth="1"/>
    <col min="14079" max="14079" width="7.44140625" style="6" customWidth="1"/>
    <col min="14080" max="14080" width="11.33203125" style="6" customWidth="1"/>
    <col min="14081" max="14081" width="12.5546875" style="6" customWidth="1"/>
    <col min="14082" max="14082" width="16.44140625" style="6" customWidth="1"/>
    <col min="14083" max="14332" width="9.109375" style="6"/>
    <col min="14333" max="14333" width="7.44140625" style="6" customWidth="1"/>
    <col min="14334" max="14334" width="51.88671875" style="6" customWidth="1"/>
    <col min="14335" max="14335" width="7.44140625" style="6" customWidth="1"/>
    <col min="14336" max="14336" width="11.33203125" style="6" customWidth="1"/>
    <col min="14337" max="14337" width="12.5546875" style="6" customWidth="1"/>
    <col min="14338" max="14338" width="16.44140625" style="6" customWidth="1"/>
    <col min="14339" max="14588" width="9.109375" style="6"/>
    <col min="14589" max="14589" width="7.44140625" style="6" customWidth="1"/>
    <col min="14590" max="14590" width="51.88671875" style="6" customWidth="1"/>
    <col min="14591" max="14591" width="7.44140625" style="6" customWidth="1"/>
    <col min="14592" max="14592" width="11.33203125" style="6" customWidth="1"/>
    <col min="14593" max="14593" width="12.5546875" style="6" customWidth="1"/>
    <col min="14594" max="14594" width="16.44140625" style="6" customWidth="1"/>
    <col min="14595" max="14844" width="9.109375" style="6"/>
    <col min="14845" max="14845" width="7.44140625" style="6" customWidth="1"/>
    <col min="14846" max="14846" width="51.88671875" style="6" customWidth="1"/>
    <col min="14847" max="14847" width="7.44140625" style="6" customWidth="1"/>
    <col min="14848" max="14848" width="11.33203125" style="6" customWidth="1"/>
    <col min="14849" max="14849" width="12.5546875" style="6" customWidth="1"/>
    <col min="14850" max="14850" width="16.44140625" style="6" customWidth="1"/>
    <col min="14851" max="15100" width="9.109375" style="6"/>
    <col min="15101" max="15101" width="7.44140625" style="6" customWidth="1"/>
    <col min="15102" max="15102" width="51.88671875" style="6" customWidth="1"/>
    <col min="15103" max="15103" width="7.44140625" style="6" customWidth="1"/>
    <col min="15104" max="15104" width="11.33203125" style="6" customWidth="1"/>
    <col min="15105" max="15105" width="12.5546875" style="6" customWidth="1"/>
    <col min="15106" max="15106" width="16.44140625" style="6" customWidth="1"/>
    <col min="15107" max="15356" width="9.109375" style="6"/>
    <col min="15357" max="15357" width="7.44140625" style="6" customWidth="1"/>
    <col min="15358" max="15358" width="51.88671875" style="6" customWidth="1"/>
    <col min="15359" max="15359" width="7.44140625" style="6" customWidth="1"/>
    <col min="15360" max="15360" width="11.33203125" style="6" customWidth="1"/>
    <col min="15361" max="15361" width="12.5546875" style="6" customWidth="1"/>
    <col min="15362" max="15362" width="16.44140625" style="6" customWidth="1"/>
    <col min="15363" max="15612" width="9.109375" style="6"/>
    <col min="15613" max="15613" width="7.44140625" style="6" customWidth="1"/>
    <col min="15614" max="15614" width="51.88671875" style="6" customWidth="1"/>
    <col min="15615" max="15615" width="7.44140625" style="6" customWidth="1"/>
    <col min="15616" max="15616" width="11.33203125" style="6" customWidth="1"/>
    <col min="15617" max="15617" width="12.5546875" style="6" customWidth="1"/>
    <col min="15618" max="15618" width="16.44140625" style="6" customWidth="1"/>
    <col min="15619" max="15868" width="9.109375" style="6"/>
    <col min="15869" max="15869" width="7.44140625" style="6" customWidth="1"/>
    <col min="15870" max="15870" width="51.88671875" style="6" customWidth="1"/>
    <col min="15871" max="15871" width="7.44140625" style="6" customWidth="1"/>
    <col min="15872" max="15872" width="11.33203125" style="6" customWidth="1"/>
    <col min="15873" max="15873" width="12.5546875" style="6" customWidth="1"/>
    <col min="15874" max="15874" width="16.44140625" style="6" customWidth="1"/>
    <col min="15875" max="16124" width="9.109375" style="6"/>
    <col min="16125" max="16125" width="7.44140625" style="6" customWidth="1"/>
    <col min="16126" max="16126" width="51.88671875" style="6" customWidth="1"/>
    <col min="16127" max="16127" width="7.44140625" style="6" customWidth="1"/>
    <col min="16128" max="16128" width="11.33203125" style="6" customWidth="1"/>
    <col min="16129" max="16129" width="12.5546875" style="6" customWidth="1"/>
    <col min="16130" max="16130" width="16.44140625" style="6" customWidth="1"/>
    <col min="16131" max="16384" width="9.109375" style="6"/>
  </cols>
  <sheetData>
    <row r="1" spans="1:6" s="37" customFormat="1" ht="22.8" x14ac:dyDescent="0.3">
      <c r="A1" s="52" t="s">
        <v>1</v>
      </c>
      <c r="B1" s="53" t="s">
        <v>2</v>
      </c>
      <c r="C1" s="54" t="s">
        <v>100</v>
      </c>
      <c r="D1" s="55" t="s">
        <v>3</v>
      </c>
      <c r="E1" s="56" t="s">
        <v>95</v>
      </c>
      <c r="F1" s="55" t="s">
        <v>96</v>
      </c>
    </row>
    <row r="2" spans="1:6" x14ac:dyDescent="0.25">
      <c r="A2" s="50"/>
      <c r="C2" s="38"/>
      <c r="D2" s="39"/>
      <c r="E2" s="40"/>
      <c r="F2" s="39"/>
    </row>
    <row r="3" spans="1:6" x14ac:dyDescent="0.25">
      <c r="A3" s="45" t="s">
        <v>20</v>
      </c>
      <c r="B3" s="19" t="s">
        <v>97</v>
      </c>
    </row>
    <row r="4" spans="1:6" x14ac:dyDescent="0.25">
      <c r="A4" s="45"/>
      <c r="B4" s="19"/>
    </row>
    <row r="5" spans="1:6" x14ac:dyDescent="0.25">
      <c r="A5" s="44" t="s">
        <v>6</v>
      </c>
      <c r="B5" s="19" t="s">
        <v>82</v>
      </c>
      <c r="C5" s="41"/>
      <c r="D5" s="42"/>
      <c r="E5" s="43"/>
      <c r="F5" s="42"/>
    </row>
    <row r="6" spans="1:6" ht="66" x14ac:dyDescent="0.25">
      <c r="A6" s="32" t="s">
        <v>21</v>
      </c>
      <c r="B6" s="59" t="s">
        <v>101</v>
      </c>
      <c r="C6" s="2" t="s">
        <v>46</v>
      </c>
      <c r="D6" s="51">
        <v>1</v>
      </c>
      <c r="E6" s="34">
        <v>5000</v>
      </c>
      <c r="F6" s="3">
        <f t="shared" ref="F6:F7" si="0">D6*$E6</f>
        <v>5000</v>
      </c>
    </row>
    <row r="7" spans="1:6" ht="66" x14ac:dyDescent="0.25">
      <c r="A7" s="32" t="s">
        <v>22</v>
      </c>
      <c r="B7" s="59" t="s">
        <v>194</v>
      </c>
      <c r="C7" s="2" t="s">
        <v>46</v>
      </c>
      <c r="D7" s="51">
        <v>1</v>
      </c>
      <c r="E7" s="34">
        <v>500</v>
      </c>
      <c r="F7" s="3">
        <f t="shared" si="0"/>
        <v>500</v>
      </c>
    </row>
    <row r="8" spans="1:6" x14ac:dyDescent="0.25">
      <c r="B8" s="44" t="s">
        <v>195</v>
      </c>
      <c r="C8" s="6"/>
      <c r="D8" s="6"/>
      <c r="E8" s="21"/>
      <c r="F8" s="42">
        <f>SUM(F6:F7)</f>
        <v>5500</v>
      </c>
    </row>
    <row r="9" spans="1:6" x14ac:dyDescent="0.25">
      <c r="B9" s="59"/>
    </row>
    <row r="10" spans="1:6" x14ac:dyDescent="0.25">
      <c r="A10" s="45" t="s">
        <v>11</v>
      </c>
      <c r="B10" s="60" t="s">
        <v>196</v>
      </c>
    </row>
    <row r="11" spans="1:6" ht="171.6" x14ac:dyDescent="0.25">
      <c r="A11" s="32" t="s">
        <v>26</v>
      </c>
      <c r="B11" s="59" t="s">
        <v>197</v>
      </c>
      <c r="C11" s="2" t="s">
        <v>9</v>
      </c>
      <c r="D11" s="3">
        <v>50</v>
      </c>
      <c r="E11" s="34">
        <v>50</v>
      </c>
      <c r="F11" s="3">
        <f t="shared" ref="F11:F12" si="1">D11*$E11</f>
        <v>2500</v>
      </c>
    </row>
    <row r="12" spans="1:6" ht="79.2" x14ac:dyDescent="0.25">
      <c r="A12" s="32" t="s">
        <v>27</v>
      </c>
      <c r="B12" s="59" t="s">
        <v>198</v>
      </c>
      <c r="C12" s="2" t="s">
        <v>8</v>
      </c>
      <c r="D12" s="51">
        <v>14</v>
      </c>
      <c r="E12" s="34">
        <v>30</v>
      </c>
      <c r="F12" s="3">
        <f t="shared" si="1"/>
        <v>420</v>
      </c>
    </row>
    <row r="13" spans="1:6" ht="39.6" x14ac:dyDescent="0.25">
      <c r="A13" s="32" t="s">
        <v>28</v>
      </c>
      <c r="B13" s="59" t="s">
        <v>199</v>
      </c>
      <c r="D13" s="51"/>
    </row>
    <row r="14" spans="1:6" x14ac:dyDescent="0.25">
      <c r="A14" s="32" t="s">
        <v>61</v>
      </c>
      <c r="B14" s="59" t="s">
        <v>200</v>
      </c>
      <c r="C14" s="2" t="s">
        <v>10</v>
      </c>
      <c r="D14" s="3">
        <v>200</v>
      </c>
      <c r="E14" s="34">
        <v>1</v>
      </c>
      <c r="F14" s="3">
        <f t="shared" ref="F14:F27" si="2">D14*$E14</f>
        <v>200</v>
      </c>
    </row>
    <row r="15" spans="1:6" x14ac:dyDescent="0.25">
      <c r="A15" s="32" t="s">
        <v>62</v>
      </c>
      <c r="B15" s="59" t="s">
        <v>201</v>
      </c>
      <c r="C15" s="2" t="s">
        <v>8</v>
      </c>
      <c r="D15" s="51">
        <v>20</v>
      </c>
      <c r="E15" s="34">
        <v>10</v>
      </c>
      <c r="F15" s="3">
        <f t="shared" si="2"/>
        <v>200</v>
      </c>
    </row>
    <row r="16" spans="1:6" x14ac:dyDescent="0.25">
      <c r="A16" s="32" t="s">
        <v>63</v>
      </c>
      <c r="B16" s="59" t="s">
        <v>202</v>
      </c>
      <c r="C16" s="2" t="s">
        <v>8</v>
      </c>
      <c r="D16" s="51">
        <v>2</v>
      </c>
      <c r="E16" s="34">
        <v>50</v>
      </c>
      <c r="F16" s="3">
        <f t="shared" si="2"/>
        <v>100</v>
      </c>
    </row>
    <row r="17" spans="1:6" ht="118.8" x14ac:dyDescent="0.25">
      <c r="A17" s="32" t="s">
        <v>29</v>
      </c>
      <c r="B17" s="59" t="s">
        <v>203</v>
      </c>
      <c r="C17" s="2" t="s">
        <v>8</v>
      </c>
      <c r="D17" s="51">
        <v>12</v>
      </c>
      <c r="E17" s="34">
        <v>50</v>
      </c>
      <c r="F17" s="3">
        <f t="shared" si="2"/>
        <v>600</v>
      </c>
    </row>
    <row r="18" spans="1:6" ht="118.8" x14ac:dyDescent="0.25">
      <c r="A18" s="32" t="s">
        <v>52</v>
      </c>
      <c r="B18" s="59" t="s">
        <v>204</v>
      </c>
      <c r="C18" s="2" t="s">
        <v>8</v>
      </c>
      <c r="D18" s="51">
        <v>20</v>
      </c>
      <c r="E18" s="34">
        <v>100</v>
      </c>
      <c r="F18" s="3">
        <f t="shared" si="2"/>
        <v>2000</v>
      </c>
    </row>
    <row r="19" spans="1:6" ht="92.4" x14ac:dyDescent="0.25">
      <c r="A19" s="32" t="s">
        <v>76</v>
      </c>
      <c r="B19" s="59" t="s">
        <v>205</v>
      </c>
      <c r="C19" s="2" t="s">
        <v>8</v>
      </c>
      <c r="D19" s="51">
        <v>1</v>
      </c>
      <c r="E19" s="34">
        <v>100</v>
      </c>
      <c r="F19" s="3">
        <f t="shared" si="2"/>
        <v>100</v>
      </c>
    </row>
    <row r="20" spans="1:6" ht="118.8" x14ac:dyDescent="0.25">
      <c r="A20" s="32" t="s">
        <v>83</v>
      </c>
      <c r="B20" s="1" t="s">
        <v>206</v>
      </c>
      <c r="C20" s="2" t="s">
        <v>10</v>
      </c>
      <c r="D20" s="3">
        <v>100</v>
      </c>
      <c r="E20" s="34">
        <v>2</v>
      </c>
      <c r="F20" s="3">
        <f t="shared" si="2"/>
        <v>200</v>
      </c>
    </row>
    <row r="21" spans="1:6" ht="158.4" x14ac:dyDescent="0.25">
      <c r="A21" s="32" t="s">
        <v>84</v>
      </c>
      <c r="B21" s="59" t="s">
        <v>207</v>
      </c>
      <c r="C21" s="2" t="s">
        <v>10</v>
      </c>
      <c r="D21" s="3">
        <v>150</v>
      </c>
      <c r="E21" s="34">
        <v>5</v>
      </c>
      <c r="F21" s="3">
        <f t="shared" si="2"/>
        <v>750</v>
      </c>
    </row>
    <row r="22" spans="1:6" ht="92.4" x14ac:dyDescent="0.25">
      <c r="A22" s="32" t="s">
        <v>86</v>
      </c>
      <c r="B22" s="59" t="s">
        <v>208</v>
      </c>
      <c r="C22" s="2" t="s">
        <v>7</v>
      </c>
      <c r="D22" s="3">
        <v>650</v>
      </c>
      <c r="E22" s="34">
        <v>22</v>
      </c>
      <c r="F22" s="3">
        <f t="shared" si="2"/>
        <v>14300</v>
      </c>
    </row>
    <row r="23" spans="1:6" ht="92.4" x14ac:dyDescent="0.25">
      <c r="A23" s="32" t="s">
        <v>87</v>
      </c>
      <c r="B23" s="59" t="s">
        <v>209</v>
      </c>
      <c r="C23" s="2" t="s">
        <v>104</v>
      </c>
      <c r="D23" s="3">
        <v>100</v>
      </c>
      <c r="E23" s="34">
        <v>3</v>
      </c>
      <c r="F23" s="3">
        <f t="shared" si="2"/>
        <v>300</v>
      </c>
    </row>
    <row r="24" spans="1:6" ht="171.6" x14ac:dyDescent="0.25">
      <c r="A24" s="32" t="s">
        <v>88</v>
      </c>
      <c r="B24" s="59" t="s">
        <v>210</v>
      </c>
      <c r="C24" s="2" t="s">
        <v>9</v>
      </c>
      <c r="D24" s="3">
        <v>14</v>
      </c>
      <c r="E24" s="34">
        <v>400</v>
      </c>
      <c r="F24" s="3">
        <f t="shared" si="2"/>
        <v>5600</v>
      </c>
    </row>
    <row r="25" spans="1:6" ht="237.6" x14ac:dyDescent="0.25">
      <c r="A25" s="32" t="s">
        <v>89</v>
      </c>
      <c r="B25" s="59" t="s">
        <v>211</v>
      </c>
      <c r="C25" s="2" t="s">
        <v>9</v>
      </c>
      <c r="D25" s="3">
        <v>29</v>
      </c>
      <c r="E25" s="34">
        <v>400</v>
      </c>
      <c r="F25" s="3">
        <f t="shared" si="2"/>
        <v>11600</v>
      </c>
    </row>
    <row r="26" spans="1:6" ht="79.2" x14ac:dyDescent="0.25">
      <c r="A26" s="32" t="s">
        <v>90</v>
      </c>
      <c r="B26" s="59" t="s">
        <v>212</v>
      </c>
      <c r="C26" s="2" t="s">
        <v>7</v>
      </c>
      <c r="D26" s="3">
        <v>150</v>
      </c>
      <c r="E26" s="34">
        <v>15</v>
      </c>
      <c r="F26" s="3">
        <f t="shared" si="2"/>
        <v>2250</v>
      </c>
    </row>
    <row r="27" spans="1:6" ht="52.8" x14ac:dyDescent="0.25">
      <c r="A27" s="32" t="s">
        <v>157</v>
      </c>
      <c r="B27" s="59" t="s">
        <v>213</v>
      </c>
      <c r="C27" s="2" t="s">
        <v>7</v>
      </c>
      <c r="D27" s="3">
        <v>550</v>
      </c>
      <c r="E27" s="34">
        <v>5</v>
      </c>
      <c r="F27" s="3">
        <f t="shared" si="2"/>
        <v>2750</v>
      </c>
    </row>
    <row r="28" spans="1:6" x14ac:dyDescent="0.25">
      <c r="B28" s="44" t="s">
        <v>214</v>
      </c>
      <c r="C28" s="6"/>
      <c r="D28" s="6"/>
      <c r="E28" s="21"/>
      <c r="F28" s="42">
        <f>SUM(F11:F27)</f>
        <v>43870</v>
      </c>
    </row>
    <row r="29" spans="1:6" x14ac:dyDescent="0.25">
      <c r="B29" s="44"/>
      <c r="C29" s="6"/>
      <c r="D29" s="6"/>
      <c r="E29" s="21"/>
    </row>
    <row r="30" spans="1:6" x14ac:dyDescent="0.25">
      <c r="A30" s="45" t="s">
        <v>12</v>
      </c>
      <c r="B30" s="61" t="s">
        <v>65</v>
      </c>
      <c r="C30" s="41"/>
      <c r="D30" s="41"/>
      <c r="E30" s="62"/>
      <c r="F30" s="41"/>
    </row>
    <row r="31" spans="1:6" ht="184.8" x14ac:dyDescent="0.25">
      <c r="A31" s="32" t="s">
        <v>30</v>
      </c>
      <c r="B31" s="1" t="s">
        <v>215</v>
      </c>
    </row>
    <row r="32" spans="1:6" x14ac:dyDescent="0.25">
      <c r="A32" s="32" t="s">
        <v>61</v>
      </c>
      <c r="B32" s="1" t="s">
        <v>734</v>
      </c>
      <c r="C32" s="2" t="s">
        <v>9</v>
      </c>
      <c r="D32" s="3">
        <v>18</v>
      </c>
      <c r="E32" s="34">
        <v>20</v>
      </c>
      <c r="F32" s="3">
        <f t="shared" ref="F32:F42" si="3">D32*$E32</f>
        <v>360</v>
      </c>
    </row>
    <row r="33" spans="1:6" x14ac:dyDescent="0.25">
      <c r="A33" s="32" t="s">
        <v>62</v>
      </c>
      <c r="B33" s="1" t="s">
        <v>735</v>
      </c>
      <c r="C33" s="2" t="s">
        <v>9</v>
      </c>
      <c r="D33" s="3">
        <v>17</v>
      </c>
      <c r="E33" s="34">
        <v>80</v>
      </c>
      <c r="F33" s="3">
        <f t="shared" si="3"/>
        <v>1360</v>
      </c>
    </row>
    <row r="34" spans="1:6" ht="198" x14ac:dyDescent="0.25">
      <c r="A34" s="32" t="s">
        <v>31</v>
      </c>
      <c r="B34" s="1" t="s">
        <v>216</v>
      </c>
    </row>
    <row r="35" spans="1:6" x14ac:dyDescent="0.25">
      <c r="A35" s="32" t="s">
        <v>61</v>
      </c>
      <c r="B35" s="1" t="s">
        <v>734</v>
      </c>
      <c r="C35" s="2" t="s">
        <v>9</v>
      </c>
      <c r="D35" s="3">
        <v>8</v>
      </c>
      <c r="E35" s="34">
        <v>20</v>
      </c>
      <c r="F35" s="3">
        <f t="shared" si="3"/>
        <v>160</v>
      </c>
    </row>
    <row r="36" spans="1:6" x14ac:dyDescent="0.25">
      <c r="A36" s="32" t="s">
        <v>62</v>
      </c>
      <c r="B36" s="1" t="s">
        <v>735</v>
      </c>
      <c r="C36" s="2" t="s">
        <v>9</v>
      </c>
      <c r="D36" s="3">
        <v>2</v>
      </c>
      <c r="E36" s="34">
        <v>80</v>
      </c>
      <c r="F36" s="3">
        <f t="shared" si="3"/>
        <v>160</v>
      </c>
    </row>
    <row r="37" spans="1:6" ht="26.4" x14ac:dyDescent="0.25">
      <c r="A37" s="32" t="s">
        <v>32</v>
      </c>
      <c r="B37" s="1" t="s">
        <v>217</v>
      </c>
    </row>
    <row r="38" spans="1:6" x14ac:dyDescent="0.25">
      <c r="A38" s="32" t="s">
        <v>61</v>
      </c>
      <c r="B38" s="1" t="s">
        <v>736</v>
      </c>
      <c r="C38" s="2" t="s">
        <v>7</v>
      </c>
      <c r="D38" s="3">
        <v>50</v>
      </c>
      <c r="E38" s="34">
        <v>5</v>
      </c>
      <c r="F38" s="3">
        <f t="shared" si="3"/>
        <v>250</v>
      </c>
    </row>
    <row r="39" spans="1:6" x14ac:dyDescent="0.25">
      <c r="A39" s="32" t="s">
        <v>62</v>
      </c>
      <c r="B39" s="1" t="s">
        <v>737</v>
      </c>
      <c r="C39" s="2" t="s">
        <v>7</v>
      </c>
      <c r="D39" s="3">
        <v>50</v>
      </c>
      <c r="E39" s="34">
        <v>5</v>
      </c>
      <c r="F39" s="3">
        <f t="shared" si="3"/>
        <v>250</v>
      </c>
    </row>
    <row r="40" spans="1:6" ht="132" x14ac:dyDescent="0.25">
      <c r="A40" s="32" t="s">
        <v>33</v>
      </c>
      <c r="B40" s="1" t="s">
        <v>218</v>
      </c>
      <c r="C40" s="2" t="s">
        <v>9</v>
      </c>
      <c r="D40" s="3">
        <v>30</v>
      </c>
      <c r="E40" s="34">
        <v>60</v>
      </c>
      <c r="F40" s="3">
        <f t="shared" si="3"/>
        <v>1800</v>
      </c>
    </row>
    <row r="41" spans="1:6" ht="79.2" x14ac:dyDescent="0.25">
      <c r="A41" s="32" t="s">
        <v>53</v>
      </c>
      <c r="B41" s="1" t="s">
        <v>219</v>
      </c>
      <c r="C41" s="2" t="s">
        <v>7</v>
      </c>
      <c r="D41" s="3">
        <v>20</v>
      </c>
      <c r="E41" s="34">
        <v>20</v>
      </c>
      <c r="F41" s="3">
        <f t="shared" si="3"/>
        <v>400</v>
      </c>
    </row>
    <row r="42" spans="1:6" ht="79.2" x14ac:dyDescent="0.25">
      <c r="A42" s="32" t="s">
        <v>54</v>
      </c>
      <c r="B42" s="1" t="s">
        <v>220</v>
      </c>
      <c r="C42" s="2" t="s">
        <v>46</v>
      </c>
      <c r="D42" s="51">
        <v>1</v>
      </c>
      <c r="E42" s="34">
        <v>300</v>
      </c>
      <c r="F42" s="3">
        <f t="shared" si="3"/>
        <v>300</v>
      </c>
    </row>
    <row r="43" spans="1:6" x14ac:dyDescent="0.25">
      <c r="B43" s="44" t="s">
        <v>221</v>
      </c>
      <c r="C43" s="6"/>
      <c r="D43" s="6"/>
      <c r="E43" s="21"/>
      <c r="F43" s="42">
        <f>SUM(F32:F42)</f>
        <v>5040</v>
      </c>
    </row>
    <row r="44" spans="1:6" x14ac:dyDescent="0.25">
      <c r="B44" s="44"/>
      <c r="C44" s="6"/>
      <c r="D44" s="6"/>
      <c r="E44" s="21"/>
    </row>
    <row r="45" spans="1:6" x14ac:dyDescent="0.25">
      <c r="A45" s="45" t="s">
        <v>13</v>
      </c>
      <c r="B45" s="61" t="s">
        <v>222</v>
      </c>
      <c r="C45" s="41"/>
      <c r="D45" s="41"/>
      <c r="E45" s="62"/>
      <c r="F45" s="41"/>
    </row>
    <row r="46" spans="1:6" ht="158.4" x14ac:dyDescent="0.25">
      <c r="A46" s="32" t="s">
        <v>34</v>
      </c>
      <c r="B46" s="1" t="s">
        <v>225</v>
      </c>
      <c r="D46" s="51"/>
    </row>
    <row r="47" spans="1:6" x14ac:dyDescent="0.25">
      <c r="A47" s="32" t="s">
        <v>61</v>
      </c>
      <c r="B47" s="1" t="s">
        <v>114</v>
      </c>
      <c r="C47" s="2" t="s">
        <v>9</v>
      </c>
      <c r="D47" s="3">
        <v>55</v>
      </c>
      <c r="E47" s="34">
        <v>190</v>
      </c>
      <c r="F47" s="3">
        <f>D47*$E47</f>
        <v>10450</v>
      </c>
    </row>
    <row r="48" spans="1:6" x14ac:dyDescent="0.25">
      <c r="A48" s="32" t="s">
        <v>62</v>
      </c>
      <c r="B48" s="1" t="s">
        <v>102</v>
      </c>
      <c r="C48" s="2" t="s">
        <v>7</v>
      </c>
      <c r="D48" s="3">
        <v>105</v>
      </c>
      <c r="E48" s="34">
        <v>30</v>
      </c>
      <c r="F48" s="3">
        <f>D48*$E48</f>
        <v>3150</v>
      </c>
    </row>
    <row r="49" spans="1:6" x14ac:dyDescent="0.25">
      <c r="A49" s="32" t="s">
        <v>63</v>
      </c>
      <c r="B49" s="1" t="s">
        <v>223</v>
      </c>
      <c r="C49" s="2" t="s">
        <v>104</v>
      </c>
      <c r="D49" s="3">
        <v>4500</v>
      </c>
      <c r="E49" s="34">
        <v>1.5</v>
      </c>
      <c r="F49" s="3">
        <f>D49*$E49</f>
        <v>6750</v>
      </c>
    </row>
    <row r="50" spans="1:6" ht="158.4" x14ac:dyDescent="0.25">
      <c r="A50" s="32" t="s">
        <v>43</v>
      </c>
      <c r="B50" s="1" t="s">
        <v>224</v>
      </c>
      <c r="D50" s="51"/>
    </row>
    <row r="51" spans="1:6" x14ac:dyDescent="0.25">
      <c r="A51" s="32" t="s">
        <v>61</v>
      </c>
      <c r="B51" s="1" t="s">
        <v>114</v>
      </c>
      <c r="C51" s="2" t="s">
        <v>9</v>
      </c>
      <c r="D51" s="3">
        <v>15</v>
      </c>
      <c r="E51" s="34">
        <v>190</v>
      </c>
      <c r="F51" s="3">
        <f>D51*$E51</f>
        <v>2850</v>
      </c>
    </row>
    <row r="52" spans="1:6" x14ac:dyDescent="0.25">
      <c r="A52" s="32" t="s">
        <v>62</v>
      </c>
      <c r="B52" s="1" t="s">
        <v>102</v>
      </c>
      <c r="C52" s="2" t="s">
        <v>7</v>
      </c>
      <c r="D52" s="3">
        <v>80</v>
      </c>
      <c r="E52" s="34">
        <v>30</v>
      </c>
      <c r="F52" s="3">
        <f>D52*$E52</f>
        <v>2400</v>
      </c>
    </row>
    <row r="53" spans="1:6" x14ac:dyDescent="0.25">
      <c r="A53" s="32" t="s">
        <v>63</v>
      </c>
      <c r="B53" s="1" t="s">
        <v>223</v>
      </c>
      <c r="C53" s="2" t="s">
        <v>104</v>
      </c>
      <c r="D53" s="3">
        <v>1500</v>
      </c>
      <c r="E53" s="34">
        <v>1.5</v>
      </c>
      <c r="F53" s="3">
        <f>D53*$E53</f>
        <v>2250</v>
      </c>
    </row>
    <row r="54" spans="1:6" ht="198" x14ac:dyDescent="0.25">
      <c r="A54" s="32" t="s">
        <v>44</v>
      </c>
      <c r="B54" s="1" t="s">
        <v>226</v>
      </c>
    </row>
    <row r="55" spans="1:6" x14ac:dyDescent="0.25">
      <c r="A55" s="32" t="s">
        <v>61</v>
      </c>
      <c r="B55" s="1" t="s">
        <v>114</v>
      </c>
      <c r="C55" s="2" t="s">
        <v>9</v>
      </c>
      <c r="D55" s="3">
        <v>10</v>
      </c>
      <c r="E55" s="34">
        <v>250</v>
      </c>
      <c r="F55" s="3">
        <f>D55*$E55</f>
        <v>2500</v>
      </c>
    </row>
    <row r="56" spans="1:6" x14ac:dyDescent="0.25">
      <c r="A56" s="32" t="s">
        <v>62</v>
      </c>
      <c r="B56" s="1" t="s">
        <v>102</v>
      </c>
      <c r="C56" s="2" t="s">
        <v>7</v>
      </c>
      <c r="D56" s="3">
        <v>30</v>
      </c>
      <c r="E56" s="34">
        <v>50</v>
      </c>
      <c r="F56" s="3">
        <f>D56*$E56</f>
        <v>1500</v>
      </c>
    </row>
    <row r="57" spans="1:6" x14ac:dyDescent="0.25">
      <c r="A57" s="32" t="s">
        <v>63</v>
      </c>
      <c r="B57" s="1" t="s">
        <v>223</v>
      </c>
      <c r="C57" s="2" t="s">
        <v>104</v>
      </c>
      <c r="D57" s="3">
        <v>1000</v>
      </c>
      <c r="E57" s="34">
        <v>1.5</v>
      </c>
      <c r="F57" s="3">
        <f>D57*$E57</f>
        <v>1500</v>
      </c>
    </row>
    <row r="58" spans="1:6" ht="132" x14ac:dyDescent="0.25">
      <c r="A58" s="32" t="s">
        <v>69</v>
      </c>
      <c r="B58" s="1" t="s">
        <v>227</v>
      </c>
    </row>
    <row r="59" spans="1:6" x14ac:dyDescent="0.25">
      <c r="A59" s="32" t="s">
        <v>61</v>
      </c>
      <c r="B59" s="1" t="s">
        <v>114</v>
      </c>
      <c r="C59" s="2" t="s">
        <v>9</v>
      </c>
      <c r="D59" s="3">
        <v>8</v>
      </c>
      <c r="E59" s="34">
        <v>250</v>
      </c>
      <c r="F59" s="3">
        <f>D59*$E59</f>
        <v>2000</v>
      </c>
    </row>
    <row r="60" spans="1:6" x14ac:dyDescent="0.25">
      <c r="A60" s="32" t="s">
        <v>62</v>
      </c>
      <c r="B60" s="1" t="s">
        <v>102</v>
      </c>
      <c r="C60" s="2" t="s">
        <v>7</v>
      </c>
      <c r="D60" s="3">
        <v>25</v>
      </c>
      <c r="E60" s="34">
        <v>50</v>
      </c>
      <c r="F60" s="3">
        <f>D60*$E60</f>
        <v>1250</v>
      </c>
    </row>
    <row r="61" spans="1:6" x14ac:dyDescent="0.25">
      <c r="A61" s="32" t="s">
        <v>63</v>
      </c>
      <c r="B61" s="1" t="s">
        <v>223</v>
      </c>
      <c r="C61" s="2" t="s">
        <v>104</v>
      </c>
      <c r="D61" s="3">
        <v>800</v>
      </c>
      <c r="E61" s="34">
        <v>1.6</v>
      </c>
      <c r="F61" s="3">
        <f>D61*$E61</f>
        <v>1280</v>
      </c>
    </row>
    <row r="62" spans="1:6" ht="145.19999999999999" x14ac:dyDescent="0.25">
      <c r="A62" s="32" t="s">
        <v>78</v>
      </c>
      <c r="B62" s="1" t="s">
        <v>228</v>
      </c>
    </row>
    <row r="63" spans="1:6" x14ac:dyDescent="0.25">
      <c r="A63" s="32" t="s">
        <v>61</v>
      </c>
      <c r="B63" s="1" t="s">
        <v>114</v>
      </c>
      <c r="C63" s="2" t="s">
        <v>9</v>
      </c>
      <c r="D63" s="3">
        <v>7</v>
      </c>
      <c r="E63" s="34">
        <v>250</v>
      </c>
      <c r="F63" s="3">
        <f>D63*$E63</f>
        <v>1750</v>
      </c>
    </row>
    <row r="64" spans="1:6" x14ac:dyDescent="0.25">
      <c r="A64" s="32" t="s">
        <v>62</v>
      </c>
      <c r="B64" s="1" t="s">
        <v>102</v>
      </c>
      <c r="C64" s="2" t="s">
        <v>7</v>
      </c>
      <c r="D64" s="3">
        <v>15</v>
      </c>
      <c r="E64" s="34">
        <v>50</v>
      </c>
      <c r="F64" s="3">
        <f>D64*$E64</f>
        <v>750</v>
      </c>
    </row>
    <row r="65" spans="1:6" x14ac:dyDescent="0.25">
      <c r="A65" s="32" t="s">
        <v>63</v>
      </c>
      <c r="B65" s="1" t="s">
        <v>223</v>
      </c>
      <c r="C65" s="2" t="s">
        <v>104</v>
      </c>
      <c r="D65" s="3">
        <v>700</v>
      </c>
      <c r="E65" s="34">
        <v>1.6</v>
      </c>
      <c r="F65" s="3">
        <f>D65*$E65</f>
        <v>1120</v>
      </c>
    </row>
    <row r="66" spans="1:6" ht="118.8" x14ac:dyDescent="0.25">
      <c r="A66" s="32" t="s">
        <v>79</v>
      </c>
      <c r="B66" s="1" t="s">
        <v>229</v>
      </c>
    </row>
    <row r="67" spans="1:6" x14ac:dyDescent="0.25">
      <c r="A67" s="32" t="s">
        <v>61</v>
      </c>
      <c r="B67" s="1" t="s">
        <v>114</v>
      </c>
      <c r="C67" s="2" t="s">
        <v>9</v>
      </c>
      <c r="D67" s="3">
        <v>3</v>
      </c>
      <c r="E67" s="34">
        <v>500</v>
      </c>
      <c r="F67" s="3">
        <f>D67*$E67</f>
        <v>1500</v>
      </c>
    </row>
    <row r="68" spans="1:6" x14ac:dyDescent="0.25">
      <c r="A68" s="32" t="s">
        <v>62</v>
      </c>
      <c r="B68" s="1" t="s">
        <v>102</v>
      </c>
      <c r="C68" s="2" t="s">
        <v>7</v>
      </c>
      <c r="D68" s="3">
        <v>10</v>
      </c>
      <c r="E68" s="34">
        <v>100</v>
      </c>
      <c r="F68" s="3">
        <f>D68*$E68</f>
        <v>1000</v>
      </c>
    </row>
    <row r="69" spans="1:6" ht="145.19999999999999" x14ac:dyDescent="0.25">
      <c r="A69" s="32" t="s">
        <v>85</v>
      </c>
      <c r="B69" s="1" t="s">
        <v>230</v>
      </c>
    </row>
    <row r="70" spans="1:6" x14ac:dyDescent="0.25">
      <c r="A70" s="32" t="s">
        <v>61</v>
      </c>
      <c r="B70" s="1" t="s">
        <v>231</v>
      </c>
      <c r="C70" s="2" t="s">
        <v>9</v>
      </c>
      <c r="D70" s="3">
        <v>4.7</v>
      </c>
      <c r="E70" s="34">
        <v>190</v>
      </c>
      <c r="F70" s="3">
        <f>D70*$E70</f>
        <v>893</v>
      </c>
    </row>
    <row r="71" spans="1:6" x14ac:dyDescent="0.25">
      <c r="A71" s="32" t="s">
        <v>62</v>
      </c>
      <c r="B71" s="1" t="s">
        <v>232</v>
      </c>
      <c r="C71" s="2" t="s">
        <v>7</v>
      </c>
      <c r="D71" s="3">
        <v>14.5</v>
      </c>
      <c r="E71" s="34">
        <v>50</v>
      </c>
      <c r="F71" s="3">
        <f>D71*$E71</f>
        <v>725</v>
      </c>
    </row>
    <row r="72" spans="1:6" x14ac:dyDescent="0.25">
      <c r="A72" s="32" t="s">
        <v>63</v>
      </c>
      <c r="B72" s="1" t="s">
        <v>233</v>
      </c>
      <c r="C72" s="2" t="s">
        <v>104</v>
      </c>
      <c r="D72" s="3">
        <v>450</v>
      </c>
      <c r="E72" s="34">
        <v>1.5</v>
      </c>
      <c r="F72" s="3">
        <f>D72*$E72</f>
        <v>675</v>
      </c>
    </row>
    <row r="73" spans="1:6" x14ac:dyDescent="0.25">
      <c r="A73" s="32" t="s">
        <v>64</v>
      </c>
      <c r="B73" s="1" t="s">
        <v>102</v>
      </c>
      <c r="C73" s="2" t="s">
        <v>7</v>
      </c>
      <c r="D73" s="3">
        <v>8.1999999999999993</v>
      </c>
      <c r="E73" s="34">
        <v>50</v>
      </c>
      <c r="F73" s="3">
        <f>D73*$E73</f>
        <v>409.99999999999994</v>
      </c>
    </row>
    <row r="74" spans="1:6" x14ac:dyDescent="0.25">
      <c r="A74" s="7"/>
      <c r="B74" s="44" t="s">
        <v>234</v>
      </c>
      <c r="C74" s="6"/>
      <c r="D74" s="6"/>
      <c r="E74" s="21"/>
      <c r="F74" s="42">
        <f>SUM(F47:F73)</f>
        <v>46703</v>
      </c>
    </row>
    <row r="76" spans="1:6" x14ac:dyDescent="0.25">
      <c r="A76" s="35" t="s">
        <v>14</v>
      </c>
      <c r="B76" s="61" t="s">
        <v>235</v>
      </c>
      <c r="C76" s="63"/>
      <c r="D76" s="63"/>
      <c r="E76" s="64"/>
      <c r="F76" s="63"/>
    </row>
    <row r="77" spans="1:6" ht="356.4" x14ac:dyDescent="0.25">
      <c r="A77" s="32" t="s">
        <v>35</v>
      </c>
      <c r="B77" s="1" t="s">
        <v>236</v>
      </c>
    </row>
    <row r="78" spans="1:6" x14ac:dyDescent="0.25">
      <c r="A78" s="32" t="s">
        <v>61</v>
      </c>
      <c r="B78" s="1" t="s">
        <v>237</v>
      </c>
      <c r="C78" s="2" t="s">
        <v>7</v>
      </c>
      <c r="D78" s="3">
        <v>330</v>
      </c>
      <c r="E78" s="34">
        <v>55</v>
      </c>
      <c r="F78" s="3">
        <f>D78*$E78</f>
        <v>18150</v>
      </c>
    </row>
    <row r="79" spans="1:6" x14ac:dyDescent="0.25">
      <c r="A79" s="32" t="s">
        <v>62</v>
      </c>
      <c r="B79" s="1" t="s">
        <v>238</v>
      </c>
      <c r="C79" s="2" t="s">
        <v>7</v>
      </c>
      <c r="D79" s="3">
        <v>80</v>
      </c>
      <c r="E79" s="34">
        <v>55</v>
      </c>
      <c r="F79" s="3">
        <f>D79*$E79</f>
        <v>4400</v>
      </c>
    </row>
    <row r="80" spans="1:6" x14ac:dyDescent="0.25">
      <c r="A80" s="32" t="s">
        <v>63</v>
      </c>
      <c r="B80" s="1" t="s">
        <v>239</v>
      </c>
      <c r="C80" s="2" t="s">
        <v>7</v>
      </c>
      <c r="D80" s="3">
        <v>40</v>
      </c>
      <c r="E80" s="34">
        <v>55</v>
      </c>
      <c r="F80" s="3">
        <f>D80*$E80</f>
        <v>2200</v>
      </c>
    </row>
    <row r="81" spans="1:6" ht="92.4" x14ac:dyDescent="0.25">
      <c r="A81" s="32" t="s">
        <v>36</v>
      </c>
      <c r="B81" s="1" t="s">
        <v>738</v>
      </c>
      <c r="C81" s="2" t="s">
        <v>104</v>
      </c>
      <c r="D81" s="3">
        <v>100</v>
      </c>
      <c r="E81" s="34">
        <v>8</v>
      </c>
      <c r="F81" s="3">
        <f>D81*$E81</f>
        <v>800</v>
      </c>
    </row>
    <row r="82" spans="1:6" ht="184.8" x14ac:dyDescent="0.25">
      <c r="A82" s="32" t="s">
        <v>37</v>
      </c>
      <c r="B82" s="1" t="s">
        <v>739</v>
      </c>
      <c r="C82" s="2" t="s">
        <v>10</v>
      </c>
      <c r="D82" s="3">
        <v>20</v>
      </c>
      <c r="E82" s="34">
        <v>230</v>
      </c>
      <c r="F82" s="3">
        <f>D82*$E82</f>
        <v>4600</v>
      </c>
    </row>
    <row r="83" spans="1:6" x14ac:dyDescent="0.25">
      <c r="B83" s="44" t="s">
        <v>240</v>
      </c>
      <c r="C83" s="6"/>
      <c r="D83" s="6"/>
      <c r="E83" s="21"/>
      <c r="F83" s="42">
        <f>SUM(F78:F82)</f>
        <v>30150</v>
      </c>
    </row>
    <row r="85" spans="1:6" x14ac:dyDescent="0.25">
      <c r="A85" s="45" t="s">
        <v>15</v>
      </c>
      <c r="B85" s="61" t="s">
        <v>241</v>
      </c>
      <c r="C85" s="41"/>
      <c r="D85" s="41"/>
      <c r="E85" s="62"/>
      <c r="F85" s="41"/>
    </row>
    <row r="86" spans="1:6" ht="198" x14ac:dyDescent="0.25">
      <c r="A86" s="32" t="s">
        <v>39</v>
      </c>
      <c r="B86" s="59" t="s">
        <v>242</v>
      </c>
      <c r="C86" s="2" t="s">
        <v>9</v>
      </c>
      <c r="D86" s="3">
        <v>90</v>
      </c>
      <c r="E86" s="34">
        <v>250</v>
      </c>
      <c r="F86" s="3">
        <f t="shared" ref="F86:F102" si="4">D86*$E86</f>
        <v>22500</v>
      </c>
    </row>
    <row r="87" spans="1:6" ht="237.6" x14ac:dyDescent="0.25">
      <c r="A87" s="32" t="s">
        <v>40</v>
      </c>
      <c r="B87" s="1" t="s">
        <v>243</v>
      </c>
      <c r="C87" s="2" t="s">
        <v>7</v>
      </c>
      <c r="D87" s="3">
        <v>530</v>
      </c>
      <c r="E87" s="34">
        <v>17</v>
      </c>
      <c r="F87" s="3">
        <f t="shared" si="4"/>
        <v>9010</v>
      </c>
    </row>
    <row r="88" spans="1:6" ht="92.4" x14ac:dyDescent="0.25">
      <c r="A88" s="32" t="s">
        <v>70</v>
      </c>
      <c r="B88" s="1" t="s">
        <v>244</v>
      </c>
      <c r="C88" s="2" t="s">
        <v>7</v>
      </c>
      <c r="D88" s="3">
        <v>20</v>
      </c>
      <c r="E88" s="34">
        <v>30</v>
      </c>
      <c r="F88" s="3">
        <f t="shared" si="4"/>
        <v>600</v>
      </c>
    </row>
    <row r="89" spans="1:6" ht="79.2" x14ac:dyDescent="0.25">
      <c r="A89" s="32" t="s">
        <v>71</v>
      </c>
      <c r="B89" s="1" t="s">
        <v>245</v>
      </c>
      <c r="C89" s="2" t="s">
        <v>7</v>
      </c>
      <c r="D89" s="3">
        <v>20</v>
      </c>
      <c r="E89" s="34">
        <v>30</v>
      </c>
      <c r="F89" s="3">
        <f t="shared" si="4"/>
        <v>600</v>
      </c>
    </row>
    <row r="90" spans="1:6" ht="92.4" x14ac:dyDescent="0.25">
      <c r="A90" s="32" t="s">
        <v>72</v>
      </c>
      <c r="B90" s="1" t="s">
        <v>246</v>
      </c>
      <c r="C90" s="2" t="s">
        <v>10</v>
      </c>
      <c r="D90" s="3">
        <v>70</v>
      </c>
      <c r="E90" s="34">
        <v>10</v>
      </c>
      <c r="F90" s="3">
        <f t="shared" si="4"/>
        <v>700</v>
      </c>
    </row>
    <row r="91" spans="1:6" ht="224.4" x14ac:dyDescent="0.25">
      <c r="A91" s="32" t="s">
        <v>73</v>
      </c>
      <c r="B91" s="1" t="s">
        <v>259</v>
      </c>
    </row>
    <row r="92" spans="1:6" ht="277.2" x14ac:dyDescent="0.25">
      <c r="B92" s="1" t="s">
        <v>258</v>
      </c>
      <c r="C92" s="2" t="s">
        <v>10</v>
      </c>
      <c r="D92" s="3">
        <v>66</v>
      </c>
      <c r="E92" s="34">
        <v>2</v>
      </c>
      <c r="F92" s="3">
        <f t="shared" ref="F92" si="5">D92*$E92</f>
        <v>132</v>
      </c>
    </row>
    <row r="93" spans="1:6" ht="92.4" x14ac:dyDescent="0.25">
      <c r="A93" s="32" t="s">
        <v>165</v>
      </c>
      <c r="B93" s="1" t="s">
        <v>247</v>
      </c>
      <c r="C93" s="2" t="s">
        <v>7</v>
      </c>
      <c r="D93" s="3">
        <v>70</v>
      </c>
      <c r="E93" s="34">
        <v>30</v>
      </c>
      <c r="F93" s="3">
        <f t="shared" si="4"/>
        <v>2100</v>
      </c>
    </row>
    <row r="94" spans="1:6" ht="211.2" x14ac:dyDescent="0.25">
      <c r="A94" s="32" t="s">
        <v>74</v>
      </c>
      <c r="B94" s="1" t="s">
        <v>740</v>
      </c>
    </row>
    <row r="95" spans="1:6" x14ac:dyDescent="0.25">
      <c r="A95" s="32" t="s">
        <v>61</v>
      </c>
      <c r="B95" s="1" t="s">
        <v>741</v>
      </c>
      <c r="C95" s="2" t="s">
        <v>8</v>
      </c>
      <c r="D95" s="51">
        <v>4</v>
      </c>
      <c r="E95" s="34">
        <v>120</v>
      </c>
      <c r="F95" s="3">
        <f t="shared" ref="F95" si="6">D95*$E95</f>
        <v>480</v>
      </c>
    </row>
    <row r="96" spans="1:6" ht="145.19999999999999" x14ac:dyDescent="0.25">
      <c r="A96" s="32" t="s">
        <v>166</v>
      </c>
      <c r="B96" s="1" t="s">
        <v>248</v>
      </c>
      <c r="C96" s="2" t="s">
        <v>7</v>
      </c>
      <c r="D96" s="3">
        <v>85</v>
      </c>
      <c r="E96" s="34">
        <v>20</v>
      </c>
      <c r="F96" s="3">
        <f t="shared" si="4"/>
        <v>1700</v>
      </c>
    </row>
    <row r="97" spans="1:6" ht="105.6" x14ac:dyDescent="0.25">
      <c r="A97" s="32" t="s">
        <v>167</v>
      </c>
      <c r="B97" s="59" t="s">
        <v>249</v>
      </c>
      <c r="C97" s="2" t="s">
        <v>7</v>
      </c>
      <c r="D97" s="3">
        <v>530</v>
      </c>
      <c r="E97" s="34">
        <v>10</v>
      </c>
      <c r="F97" s="3">
        <f t="shared" si="4"/>
        <v>5300</v>
      </c>
    </row>
    <row r="98" spans="1:6" ht="145.19999999999999" x14ac:dyDescent="0.25">
      <c r="A98" s="32" t="s">
        <v>250</v>
      </c>
      <c r="B98" s="59" t="s">
        <v>251</v>
      </c>
      <c r="C98" s="2" t="s">
        <v>7</v>
      </c>
      <c r="D98" s="3">
        <v>500</v>
      </c>
      <c r="E98" s="34">
        <v>12</v>
      </c>
      <c r="F98" s="3">
        <f t="shared" si="4"/>
        <v>6000</v>
      </c>
    </row>
    <row r="99" spans="1:6" ht="145.19999999999999" x14ac:dyDescent="0.25">
      <c r="A99" s="32" t="s">
        <v>253</v>
      </c>
      <c r="B99" s="59" t="s">
        <v>252</v>
      </c>
      <c r="C99" s="2" t="s">
        <v>7</v>
      </c>
      <c r="D99" s="3">
        <v>420</v>
      </c>
      <c r="E99" s="34">
        <v>8</v>
      </c>
      <c r="F99" s="3">
        <f t="shared" si="4"/>
        <v>3360</v>
      </c>
    </row>
    <row r="100" spans="1:6" ht="66" x14ac:dyDescent="0.25">
      <c r="A100" s="32" t="s">
        <v>260</v>
      </c>
      <c r="B100" s="59" t="s">
        <v>255</v>
      </c>
    </row>
    <row r="101" spans="1:6" x14ac:dyDescent="0.25">
      <c r="A101" s="32" t="s">
        <v>61</v>
      </c>
      <c r="B101" s="59" t="s">
        <v>256</v>
      </c>
      <c r="C101" s="2" t="s">
        <v>7</v>
      </c>
      <c r="D101" s="3">
        <v>420</v>
      </c>
      <c r="E101" s="34">
        <v>26</v>
      </c>
      <c r="F101" s="3">
        <f t="shared" ref="F101" si="7">D101*$E101</f>
        <v>10920</v>
      </c>
    </row>
    <row r="102" spans="1:6" x14ac:dyDescent="0.25">
      <c r="A102" s="32" t="s">
        <v>62</v>
      </c>
      <c r="B102" s="59" t="s">
        <v>257</v>
      </c>
      <c r="C102" s="2" t="s">
        <v>7</v>
      </c>
      <c r="D102" s="3">
        <v>100</v>
      </c>
      <c r="E102" s="34">
        <v>35</v>
      </c>
      <c r="F102" s="3">
        <f t="shared" si="4"/>
        <v>3500</v>
      </c>
    </row>
    <row r="103" spans="1:6" x14ac:dyDescent="0.25">
      <c r="B103" s="44" t="s">
        <v>254</v>
      </c>
      <c r="C103" s="6"/>
      <c r="D103" s="6"/>
      <c r="E103" s="21"/>
      <c r="F103" s="42">
        <f>SUM(F86:F102)</f>
        <v>66902</v>
      </c>
    </row>
    <row r="105" spans="1:6" x14ac:dyDescent="0.25">
      <c r="A105" s="45" t="s">
        <v>16</v>
      </c>
      <c r="B105" s="61" t="s">
        <v>261</v>
      </c>
      <c r="C105" s="41"/>
      <c r="D105" s="41"/>
      <c r="E105" s="62"/>
      <c r="F105" s="41"/>
    </row>
    <row r="106" spans="1:6" ht="198" x14ac:dyDescent="0.25">
      <c r="A106" s="32" t="s">
        <v>41</v>
      </c>
      <c r="B106" s="59" t="s">
        <v>723</v>
      </c>
      <c r="C106" s="2" t="s">
        <v>7</v>
      </c>
      <c r="D106" s="3">
        <v>672</v>
      </c>
      <c r="E106" s="34">
        <v>70</v>
      </c>
      <c r="F106" s="3">
        <f t="shared" ref="F106:F111" si="8">D106*$E106</f>
        <v>47040</v>
      </c>
    </row>
    <row r="107" spans="1:6" ht="158.4" x14ac:dyDescent="0.25">
      <c r="A107" s="32" t="s">
        <v>262</v>
      </c>
      <c r="B107" s="59" t="s">
        <v>263</v>
      </c>
      <c r="C107" s="2" t="s">
        <v>10</v>
      </c>
      <c r="D107" s="3">
        <v>110</v>
      </c>
      <c r="E107" s="34">
        <v>40</v>
      </c>
      <c r="F107" s="3">
        <f t="shared" si="8"/>
        <v>4400</v>
      </c>
    </row>
    <row r="108" spans="1:6" ht="79.2" x14ac:dyDescent="0.25">
      <c r="A108" s="32" t="s">
        <v>264</v>
      </c>
      <c r="B108" s="59" t="s">
        <v>265</v>
      </c>
      <c r="C108" s="2" t="s">
        <v>10</v>
      </c>
      <c r="D108" s="3">
        <v>36.5</v>
      </c>
      <c r="E108" s="34">
        <v>40</v>
      </c>
      <c r="F108" s="3">
        <f t="shared" si="8"/>
        <v>1460</v>
      </c>
    </row>
    <row r="109" spans="1:6" ht="66" x14ac:dyDescent="0.25">
      <c r="A109" s="32" t="s">
        <v>266</v>
      </c>
      <c r="B109" s="59" t="s">
        <v>267</v>
      </c>
      <c r="C109" s="2" t="s">
        <v>10</v>
      </c>
      <c r="D109" s="3">
        <v>141</v>
      </c>
      <c r="E109" s="34">
        <v>60</v>
      </c>
      <c r="F109" s="3">
        <f t="shared" si="8"/>
        <v>8460</v>
      </c>
    </row>
    <row r="110" spans="1:6" ht="105.6" x14ac:dyDescent="0.25">
      <c r="A110" s="32" t="s">
        <v>268</v>
      </c>
      <c r="B110" s="59" t="s">
        <v>269</v>
      </c>
      <c r="C110" s="2" t="s">
        <v>7</v>
      </c>
      <c r="D110" s="3">
        <v>48</v>
      </c>
      <c r="E110" s="34">
        <v>45</v>
      </c>
      <c r="F110" s="3">
        <f t="shared" si="8"/>
        <v>2160</v>
      </c>
    </row>
    <row r="111" spans="1:6" ht="92.4" x14ac:dyDescent="0.25">
      <c r="A111" s="32" t="s">
        <v>270</v>
      </c>
      <c r="B111" s="59" t="s">
        <v>271</v>
      </c>
      <c r="C111" s="2" t="s">
        <v>7</v>
      </c>
      <c r="D111" s="3">
        <v>73</v>
      </c>
      <c r="E111" s="34">
        <v>200</v>
      </c>
      <c r="F111" s="3">
        <f t="shared" si="8"/>
        <v>14600</v>
      </c>
    </row>
    <row r="112" spans="1:6" x14ac:dyDescent="0.25">
      <c r="B112" s="44" t="s">
        <v>272</v>
      </c>
      <c r="C112" s="6"/>
      <c r="D112" s="6"/>
      <c r="E112" s="21"/>
      <c r="F112" s="42">
        <f>SUM(F106:F111)</f>
        <v>78120</v>
      </c>
    </row>
    <row r="114" spans="1:6" x14ac:dyDescent="0.25">
      <c r="A114" s="45" t="s">
        <v>17</v>
      </c>
      <c r="B114" s="61" t="s">
        <v>60</v>
      </c>
      <c r="C114" s="41"/>
      <c r="D114" s="41"/>
      <c r="E114" s="62"/>
      <c r="F114" s="41"/>
    </row>
    <row r="115" spans="1:6" ht="250.8" x14ac:dyDescent="0.25">
      <c r="A115" s="32" t="s">
        <v>42</v>
      </c>
      <c r="B115" s="59" t="s">
        <v>733</v>
      </c>
    </row>
    <row r="116" spans="1:6" ht="39.6" x14ac:dyDescent="0.25">
      <c r="A116" s="32" t="s">
        <v>61</v>
      </c>
      <c r="B116" s="59" t="s">
        <v>698</v>
      </c>
      <c r="C116" s="2" t="s">
        <v>8</v>
      </c>
      <c r="D116" s="51">
        <v>1</v>
      </c>
      <c r="E116" s="34">
        <v>500</v>
      </c>
      <c r="F116" s="3">
        <f t="shared" ref="F116:F128" si="9">D116*$E116</f>
        <v>500</v>
      </c>
    </row>
    <row r="117" spans="1:6" ht="39.6" x14ac:dyDescent="0.25">
      <c r="A117" s="32" t="s">
        <v>62</v>
      </c>
      <c r="B117" s="59" t="s">
        <v>699</v>
      </c>
      <c r="C117" s="2" t="s">
        <v>8</v>
      </c>
      <c r="D117" s="51">
        <v>1</v>
      </c>
      <c r="E117" s="34">
        <v>500</v>
      </c>
      <c r="F117" s="3">
        <f t="shared" si="9"/>
        <v>500</v>
      </c>
    </row>
    <row r="118" spans="1:6" ht="39.6" x14ac:dyDescent="0.25">
      <c r="A118" s="32" t="s">
        <v>63</v>
      </c>
      <c r="B118" s="59" t="s">
        <v>700</v>
      </c>
      <c r="C118" s="2" t="s">
        <v>8</v>
      </c>
      <c r="D118" s="51">
        <v>1</v>
      </c>
      <c r="E118" s="34">
        <v>900</v>
      </c>
      <c r="F118" s="3">
        <f t="shared" si="9"/>
        <v>900</v>
      </c>
    </row>
    <row r="119" spans="1:6" ht="52.8" x14ac:dyDescent="0.25">
      <c r="A119" s="32" t="s">
        <v>64</v>
      </c>
      <c r="B119" s="59" t="s">
        <v>701</v>
      </c>
      <c r="C119" s="2" t="s">
        <v>8</v>
      </c>
      <c r="D119" s="51">
        <v>1</v>
      </c>
      <c r="E119" s="34">
        <v>900</v>
      </c>
      <c r="F119" s="3">
        <f t="shared" ref="F119" si="10">D119*$E119</f>
        <v>900</v>
      </c>
    </row>
    <row r="120" spans="1:6" ht="39.6" x14ac:dyDescent="0.25">
      <c r="A120" s="32" t="s">
        <v>103</v>
      </c>
      <c r="B120" s="59" t="s">
        <v>702</v>
      </c>
      <c r="C120" s="2" t="s">
        <v>8</v>
      </c>
      <c r="D120" s="51">
        <v>1</v>
      </c>
      <c r="E120" s="34">
        <v>1100</v>
      </c>
      <c r="F120" s="3">
        <f t="shared" si="9"/>
        <v>1100</v>
      </c>
    </row>
    <row r="121" spans="1:6" ht="39.6" x14ac:dyDescent="0.25">
      <c r="A121" s="32" t="s">
        <v>115</v>
      </c>
      <c r="B121" s="59" t="s">
        <v>703</v>
      </c>
      <c r="C121" s="2" t="s">
        <v>8</v>
      </c>
      <c r="D121" s="51">
        <v>1</v>
      </c>
      <c r="E121" s="34">
        <v>1100</v>
      </c>
      <c r="F121" s="3">
        <f t="shared" ref="F121" si="11">D121*$E121</f>
        <v>1100</v>
      </c>
    </row>
    <row r="122" spans="1:6" ht="52.8" x14ac:dyDescent="0.25">
      <c r="A122" s="32" t="s">
        <v>116</v>
      </c>
      <c r="B122" s="59" t="s">
        <v>704</v>
      </c>
      <c r="C122" s="2" t="s">
        <v>8</v>
      </c>
      <c r="D122" s="51">
        <v>1</v>
      </c>
      <c r="E122" s="34">
        <v>800</v>
      </c>
      <c r="F122" s="3">
        <f t="shared" ref="F122" si="12">D122*$E122</f>
        <v>800</v>
      </c>
    </row>
    <row r="123" spans="1:6" ht="52.8" x14ac:dyDescent="0.25">
      <c r="A123" s="32" t="s">
        <v>117</v>
      </c>
      <c r="B123" s="59" t="s">
        <v>705</v>
      </c>
      <c r="C123" s="2" t="s">
        <v>8</v>
      </c>
      <c r="D123" s="51">
        <v>1</v>
      </c>
      <c r="E123" s="34">
        <v>800</v>
      </c>
      <c r="F123" s="3">
        <f t="shared" ref="F123" si="13">D123*$E123</f>
        <v>800</v>
      </c>
    </row>
    <row r="124" spans="1:6" ht="277.2" x14ac:dyDescent="0.25">
      <c r="A124" s="32" t="s">
        <v>57</v>
      </c>
      <c r="B124" s="59" t="s">
        <v>694</v>
      </c>
      <c r="D124" s="51"/>
    </row>
    <row r="125" spans="1:6" ht="26.4" x14ac:dyDescent="0.25">
      <c r="A125" s="32" t="s">
        <v>61</v>
      </c>
      <c r="B125" s="59" t="s">
        <v>706</v>
      </c>
      <c r="C125" s="2" t="s">
        <v>8</v>
      </c>
      <c r="D125" s="51">
        <v>4</v>
      </c>
      <c r="E125" s="34">
        <v>950</v>
      </c>
      <c r="F125" s="3">
        <f t="shared" ref="F125" si="14">D125*$E125</f>
        <v>3800</v>
      </c>
    </row>
    <row r="126" spans="1:6" ht="132" x14ac:dyDescent="0.25">
      <c r="A126" s="32" t="s">
        <v>58</v>
      </c>
      <c r="B126" s="59" t="s">
        <v>695</v>
      </c>
      <c r="C126" s="2" t="s">
        <v>8</v>
      </c>
      <c r="D126" s="51">
        <v>4</v>
      </c>
      <c r="E126" s="34">
        <v>1400</v>
      </c>
      <c r="F126" s="3">
        <f t="shared" si="9"/>
        <v>5600</v>
      </c>
    </row>
    <row r="127" spans="1:6" ht="132" x14ac:dyDescent="0.25">
      <c r="A127" s="32" t="s">
        <v>120</v>
      </c>
      <c r="B127" s="59" t="s">
        <v>696</v>
      </c>
      <c r="C127" s="2" t="s">
        <v>8</v>
      </c>
      <c r="D127" s="51">
        <v>3</v>
      </c>
      <c r="E127" s="34">
        <v>3500</v>
      </c>
      <c r="F127" s="3">
        <f t="shared" si="9"/>
        <v>10500</v>
      </c>
    </row>
    <row r="128" spans="1:6" ht="118.8" x14ac:dyDescent="0.25">
      <c r="A128" s="32" t="s">
        <v>121</v>
      </c>
      <c r="B128" s="59" t="s">
        <v>697</v>
      </c>
      <c r="C128" s="2" t="s">
        <v>10</v>
      </c>
      <c r="D128" s="3">
        <v>23</v>
      </c>
      <c r="E128" s="34">
        <v>30</v>
      </c>
      <c r="F128" s="3">
        <f t="shared" si="9"/>
        <v>690</v>
      </c>
    </row>
    <row r="129" spans="1:6" x14ac:dyDescent="0.25">
      <c r="B129" s="44" t="s">
        <v>273</v>
      </c>
      <c r="C129" s="6"/>
      <c r="D129" s="6"/>
      <c r="E129" s="21"/>
      <c r="F129" s="42">
        <f>SUM(F116:F128)</f>
        <v>27190</v>
      </c>
    </row>
    <row r="131" spans="1:6" x14ac:dyDescent="0.25">
      <c r="A131" s="45" t="s">
        <v>18</v>
      </c>
      <c r="B131" s="61" t="s">
        <v>143</v>
      </c>
      <c r="C131" s="41"/>
      <c r="D131" s="41"/>
      <c r="E131" s="62"/>
      <c r="F131" s="41"/>
    </row>
    <row r="132" spans="1:6" ht="52.8" x14ac:dyDescent="0.25">
      <c r="A132" s="32" t="s">
        <v>47</v>
      </c>
      <c r="B132" s="59" t="s">
        <v>274</v>
      </c>
      <c r="C132" s="2" t="s">
        <v>7</v>
      </c>
      <c r="D132" s="3">
        <v>145</v>
      </c>
      <c r="E132" s="34">
        <v>3</v>
      </c>
      <c r="F132" s="3">
        <f t="shared" ref="F132:F138" si="15">D132*$E132</f>
        <v>435</v>
      </c>
    </row>
    <row r="133" spans="1:6" ht="39.6" x14ac:dyDescent="0.25">
      <c r="A133" s="32" t="s">
        <v>48</v>
      </c>
      <c r="B133" s="1" t="s">
        <v>275</v>
      </c>
      <c r="C133" s="2" t="s">
        <v>7</v>
      </c>
      <c r="D133" s="3">
        <v>145</v>
      </c>
      <c r="E133" s="34">
        <v>3</v>
      </c>
      <c r="F133" s="3">
        <f t="shared" si="15"/>
        <v>435</v>
      </c>
    </row>
    <row r="134" spans="1:6" ht="66" x14ac:dyDescent="0.25">
      <c r="A134" s="32" t="s">
        <v>49</v>
      </c>
      <c r="B134" s="1" t="s">
        <v>276</v>
      </c>
      <c r="C134" s="2" t="s">
        <v>7</v>
      </c>
      <c r="D134" s="3">
        <v>30</v>
      </c>
      <c r="E134" s="34">
        <v>10</v>
      </c>
      <c r="F134" s="3">
        <f t="shared" si="15"/>
        <v>300</v>
      </c>
    </row>
    <row r="135" spans="1:6" ht="39.6" x14ac:dyDescent="0.25">
      <c r="A135" s="32" t="s">
        <v>50</v>
      </c>
      <c r="B135" s="1" t="s">
        <v>277</v>
      </c>
      <c r="C135" s="2" t="s">
        <v>7</v>
      </c>
      <c r="D135" s="3">
        <v>390</v>
      </c>
      <c r="E135" s="34">
        <v>3</v>
      </c>
      <c r="F135" s="3">
        <f t="shared" si="15"/>
        <v>1170</v>
      </c>
    </row>
    <row r="136" spans="1:6" ht="39.6" x14ac:dyDescent="0.25">
      <c r="A136" s="32" t="s">
        <v>127</v>
      </c>
      <c r="B136" s="1" t="s">
        <v>278</v>
      </c>
      <c r="C136" s="2" t="s">
        <v>7</v>
      </c>
      <c r="D136" s="3">
        <v>325</v>
      </c>
      <c r="E136" s="34">
        <v>15</v>
      </c>
      <c r="F136" s="3">
        <f t="shared" si="15"/>
        <v>4875</v>
      </c>
    </row>
    <row r="137" spans="1:6" ht="145.19999999999999" x14ac:dyDescent="0.25">
      <c r="A137" s="32" t="s">
        <v>128</v>
      </c>
      <c r="B137" s="1" t="s">
        <v>279</v>
      </c>
      <c r="C137" s="2" t="s">
        <v>7</v>
      </c>
      <c r="D137" s="3">
        <v>35</v>
      </c>
      <c r="E137" s="34">
        <v>70</v>
      </c>
      <c r="F137" s="3">
        <f t="shared" si="15"/>
        <v>2450</v>
      </c>
    </row>
    <row r="138" spans="1:6" ht="303.60000000000002" x14ac:dyDescent="0.25">
      <c r="A138" s="32" t="s">
        <v>129</v>
      </c>
      <c r="B138" s="59" t="s">
        <v>280</v>
      </c>
      <c r="C138" s="2" t="s">
        <v>7</v>
      </c>
      <c r="D138" s="3">
        <v>450</v>
      </c>
      <c r="E138" s="34">
        <v>55</v>
      </c>
      <c r="F138" s="3">
        <f t="shared" si="15"/>
        <v>24750</v>
      </c>
    </row>
    <row r="139" spans="1:6" x14ac:dyDescent="0.25">
      <c r="B139" s="44" t="s">
        <v>281</v>
      </c>
      <c r="C139" s="6"/>
      <c r="D139" s="6"/>
      <c r="E139" s="21"/>
      <c r="F139" s="42">
        <f>SUM(F132:F138)</f>
        <v>34415</v>
      </c>
    </row>
    <row r="141" spans="1:6" x14ac:dyDescent="0.25">
      <c r="A141" s="45" t="s">
        <v>19</v>
      </c>
      <c r="B141" s="61" t="s">
        <v>282</v>
      </c>
      <c r="C141" s="41"/>
      <c r="D141" s="41"/>
      <c r="E141" s="62"/>
      <c r="F141" s="41"/>
    </row>
    <row r="142" spans="1:6" ht="409.6" x14ac:dyDescent="0.25">
      <c r="A142" s="32" t="s">
        <v>51</v>
      </c>
      <c r="B142" s="59" t="s">
        <v>742</v>
      </c>
    </row>
    <row r="143" spans="1:6" x14ac:dyDescent="0.25">
      <c r="A143" s="32" t="s">
        <v>61</v>
      </c>
      <c r="B143" s="1" t="s">
        <v>283</v>
      </c>
      <c r="C143" s="2" t="s">
        <v>7</v>
      </c>
      <c r="D143" s="3">
        <v>554</v>
      </c>
      <c r="E143" s="34">
        <v>55</v>
      </c>
      <c r="F143" s="3">
        <f t="shared" ref="F143:F146" si="16">D143*$E143</f>
        <v>30470</v>
      </c>
    </row>
    <row r="144" spans="1:6" ht="26.4" x14ac:dyDescent="0.25">
      <c r="A144" s="32" t="s">
        <v>62</v>
      </c>
      <c r="B144" s="1" t="s">
        <v>743</v>
      </c>
      <c r="C144" s="2" t="s">
        <v>10</v>
      </c>
      <c r="D144" s="3">
        <v>100</v>
      </c>
      <c r="E144" s="34">
        <v>18</v>
      </c>
      <c r="F144" s="3">
        <f t="shared" si="16"/>
        <v>1800</v>
      </c>
    </row>
    <row r="145" spans="1:6" ht="79.2" x14ac:dyDescent="0.25">
      <c r="A145" s="32" t="s">
        <v>140</v>
      </c>
      <c r="B145" s="1" t="s">
        <v>284</v>
      </c>
      <c r="C145" s="2" t="s">
        <v>7</v>
      </c>
      <c r="D145" s="3">
        <v>554</v>
      </c>
      <c r="E145" s="34">
        <v>20</v>
      </c>
      <c r="F145" s="3">
        <f t="shared" si="16"/>
        <v>11080</v>
      </c>
    </row>
    <row r="146" spans="1:6" ht="66" x14ac:dyDescent="0.25">
      <c r="A146" s="32" t="s">
        <v>747</v>
      </c>
      <c r="B146" s="1" t="s">
        <v>748</v>
      </c>
      <c r="C146" s="2" t="s">
        <v>10</v>
      </c>
      <c r="D146" s="3">
        <v>120</v>
      </c>
      <c r="E146" s="34">
        <v>9.5</v>
      </c>
      <c r="F146" s="3">
        <f t="shared" si="16"/>
        <v>1140</v>
      </c>
    </row>
    <row r="147" spans="1:6" x14ac:dyDescent="0.25">
      <c r="B147" s="44" t="s">
        <v>285</v>
      </c>
      <c r="C147" s="6"/>
      <c r="D147" s="6"/>
      <c r="E147" s="21"/>
      <c r="F147" s="42">
        <f>SUM(F143:F146)</f>
        <v>44490</v>
      </c>
    </row>
    <row r="149" spans="1:6" x14ac:dyDescent="0.25">
      <c r="A149" s="45" t="s">
        <v>66</v>
      </c>
      <c r="B149" s="61" t="s">
        <v>286</v>
      </c>
      <c r="C149" s="41"/>
      <c r="D149" s="41"/>
      <c r="E149" s="62"/>
      <c r="F149" s="41"/>
    </row>
    <row r="150" spans="1:6" x14ac:dyDescent="0.25">
      <c r="A150" s="32" t="s">
        <v>67</v>
      </c>
      <c r="B150" s="59" t="s">
        <v>287</v>
      </c>
      <c r="C150" s="2" t="s">
        <v>7</v>
      </c>
      <c r="D150" s="3">
        <v>525</v>
      </c>
      <c r="E150" s="34">
        <v>3</v>
      </c>
      <c r="F150" s="3">
        <f t="shared" ref="F150" si="17">D150*$E150</f>
        <v>1575</v>
      </c>
    </row>
    <row r="151" spans="1:6" ht="52.8" x14ac:dyDescent="0.25">
      <c r="A151" s="32" t="s">
        <v>68</v>
      </c>
      <c r="B151" s="1" t="s">
        <v>292</v>
      </c>
      <c r="D151" s="51"/>
    </row>
    <row r="152" spans="1:6" x14ac:dyDescent="0.25">
      <c r="A152" s="32" t="s">
        <v>61</v>
      </c>
      <c r="B152" s="1" t="s">
        <v>288</v>
      </c>
      <c r="C152" s="2" t="s">
        <v>9</v>
      </c>
      <c r="D152" s="3">
        <v>40</v>
      </c>
      <c r="E152" s="34">
        <v>30</v>
      </c>
      <c r="F152" s="3">
        <f t="shared" ref="F152:F155" si="18">D152*$E152</f>
        <v>1200</v>
      </c>
    </row>
    <row r="153" spans="1:6" x14ac:dyDescent="0.25">
      <c r="A153" s="32" t="s">
        <v>62</v>
      </c>
      <c r="B153" s="1" t="s">
        <v>289</v>
      </c>
      <c r="C153" s="2" t="s">
        <v>10</v>
      </c>
      <c r="D153" s="3">
        <v>75</v>
      </c>
      <c r="E153" s="34">
        <v>25</v>
      </c>
      <c r="F153" s="3">
        <f t="shared" si="18"/>
        <v>1875</v>
      </c>
    </row>
    <row r="154" spans="1:6" x14ac:dyDescent="0.25">
      <c r="A154" s="32" t="s">
        <v>63</v>
      </c>
      <c r="B154" s="1" t="s">
        <v>290</v>
      </c>
      <c r="C154" s="2" t="s">
        <v>9</v>
      </c>
      <c r="D154" s="3">
        <v>15</v>
      </c>
      <c r="E154" s="34">
        <v>20</v>
      </c>
      <c r="F154" s="3">
        <f t="shared" si="18"/>
        <v>300</v>
      </c>
    </row>
    <row r="155" spans="1:6" x14ac:dyDescent="0.25">
      <c r="A155" s="32" t="s">
        <v>64</v>
      </c>
      <c r="B155" s="1" t="s">
        <v>291</v>
      </c>
      <c r="C155" s="2" t="s">
        <v>9</v>
      </c>
      <c r="D155" s="3">
        <v>25</v>
      </c>
      <c r="E155" s="34">
        <v>20</v>
      </c>
      <c r="F155" s="3">
        <f t="shared" si="18"/>
        <v>500</v>
      </c>
    </row>
    <row r="156" spans="1:6" ht="66" x14ac:dyDescent="0.25">
      <c r="A156" s="32" t="s">
        <v>75</v>
      </c>
      <c r="B156" s="1" t="s">
        <v>293</v>
      </c>
      <c r="D156" s="51"/>
    </row>
    <row r="157" spans="1:6" x14ac:dyDescent="0.25">
      <c r="A157" s="32" t="s">
        <v>61</v>
      </c>
      <c r="B157" s="1" t="s">
        <v>288</v>
      </c>
      <c r="C157" s="2" t="s">
        <v>9</v>
      </c>
      <c r="D157" s="3">
        <v>40</v>
      </c>
      <c r="E157" s="34">
        <v>30</v>
      </c>
      <c r="F157" s="3">
        <f t="shared" ref="F157:F163" si="19">D157*$E157</f>
        <v>1200</v>
      </c>
    </row>
    <row r="158" spans="1:6" x14ac:dyDescent="0.25">
      <c r="A158" s="32" t="s">
        <v>62</v>
      </c>
      <c r="B158" s="1" t="s">
        <v>289</v>
      </c>
      <c r="C158" s="2" t="s">
        <v>10</v>
      </c>
      <c r="D158" s="3">
        <v>75</v>
      </c>
      <c r="E158" s="34">
        <v>25</v>
      </c>
      <c r="F158" s="3">
        <f t="shared" si="19"/>
        <v>1875</v>
      </c>
    </row>
    <row r="159" spans="1:6" x14ac:dyDescent="0.25">
      <c r="A159" s="32" t="s">
        <v>63</v>
      </c>
      <c r="B159" s="1" t="s">
        <v>290</v>
      </c>
      <c r="C159" s="2" t="s">
        <v>9</v>
      </c>
      <c r="D159" s="3">
        <v>15</v>
      </c>
      <c r="E159" s="34">
        <v>20</v>
      </c>
      <c r="F159" s="3">
        <f t="shared" si="19"/>
        <v>300</v>
      </c>
    </row>
    <row r="160" spans="1:6" x14ac:dyDescent="0.25">
      <c r="A160" s="32" t="s">
        <v>64</v>
      </c>
      <c r="B160" s="1" t="s">
        <v>291</v>
      </c>
      <c r="C160" s="2" t="s">
        <v>9</v>
      </c>
      <c r="D160" s="3">
        <v>25</v>
      </c>
      <c r="E160" s="34">
        <v>20</v>
      </c>
      <c r="F160" s="3">
        <f t="shared" si="19"/>
        <v>500</v>
      </c>
    </row>
    <row r="161" spans="1:6" ht="224.4" x14ac:dyDescent="0.25">
      <c r="A161" s="32" t="s">
        <v>77</v>
      </c>
      <c r="B161" s="1" t="s">
        <v>688</v>
      </c>
      <c r="C161" s="2" t="s">
        <v>7</v>
      </c>
      <c r="D161" s="3">
        <v>550</v>
      </c>
      <c r="E161" s="34">
        <v>18</v>
      </c>
      <c r="F161" s="3">
        <f t="shared" si="19"/>
        <v>9900</v>
      </c>
    </row>
    <row r="162" spans="1:6" ht="264" x14ac:dyDescent="0.25">
      <c r="A162" s="32" t="s">
        <v>141</v>
      </c>
      <c r="B162" s="1" t="s">
        <v>689</v>
      </c>
      <c r="C162" s="2" t="s">
        <v>7</v>
      </c>
      <c r="D162" s="3">
        <v>550</v>
      </c>
      <c r="E162" s="34">
        <v>15</v>
      </c>
      <c r="F162" s="3">
        <f t="shared" si="19"/>
        <v>8250</v>
      </c>
    </row>
    <row r="163" spans="1:6" ht="132" x14ac:dyDescent="0.25">
      <c r="A163" s="32" t="s">
        <v>142</v>
      </c>
      <c r="B163" s="59" t="s">
        <v>294</v>
      </c>
      <c r="C163" s="2" t="s">
        <v>10</v>
      </c>
      <c r="D163" s="3">
        <v>38</v>
      </c>
      <c r="E163" s="34">
        <v>40</v>
      </c>
      <c r="F163" s="3">
        <f t="shared" si="19"/>
        <v>1520</v>
      </c>
    </row>
    <row r="164" spans="1:6" x14ac:dyDescent="0.25">
      <c r="B164" s="44" t="s">
        <v>295</v>
      </c>
      <c r="C164" s="6"/>
      <c r="D164" s="6"/>
      <c r="E164" s="21"/>
      <c r="F164" s="42">
        <f>SUM(F150:F163)</f>
        <v>28995</v>
      </c>
    </row>
    <row r="168" spans="1:6" x14ac:dyDescent="0.25">
      <c r="A168" s="45" t="s">
        <v>20</v>
      </c>
      <c r="B168" s="23" t="s">
        <v>98</v>
      </c>
    </row>
    <row r="170" spans="1:6" x14ac:dyDescent="0.25">
      <c r="A170" s="45" t="s">
        <v>6</v>
      </c>
      <c r="B170" s="19" t="s">
        <v>82</v>
      </c>
      <c r="C170" s="22"/>
      <c r="D170" s="42"/>
      <c r="E170" s="49"/>
      <c r="F170" s="42">
        <f>SUM(F8)</f>
        <v>5500</v>
      </c>
    </row>
    <row r="171" spans="1:6" x14ac:dyDescent="0.25">
      <c r="A171" s="45" t="s">
        <v>11</v>
      </c>
      <c r="B171" s="19" t="s">
        <v>196</v>
      </c>
      <c r="C171" s="22"/>
      <c r="D171" s="42"/>
      <c r="E171" s="49"/>
      <c r="F171" s="42">
        <f>SUM(F28)</f>
        <v>43870</v>
      </c>
    </row>
    <row r="172" spans="1:6" x14ac:dyDescent="0.25">
      <c r="A172" s="45" t="s">
        <v>12</v>
      </c>
      <c r="B172" s="19" t="s">
        <v>65</v>
      </c>
      <c r="C172" s="22"/>
      <c r="D172" s="42"/>
      <c r="E172" s="49"/>
      <c r="F172" s="42">
        <f>SUM(F43)</f>
        <v>5040</v>
      </c>
    </row>
    <row r="173" spans="1:6" x14ac:dyDescent="0.25">
      <c r="A173" s="45" t="s">
        <v>13</v>
      </c>
      <c r="B173" s="19" t="s">
        <v>222</v>
      </c>
      <c r="C173" s="22"/>
      <c r="D173" s="42"/>
      <c r="E173" s="49"/>
      <c r="F173" s="42">
        <f>SUM(F74)</f>
        <v>46703</v>
      </c>
    </row>
    <row r="174" spans="1:6" x14ac:dyDescent="0.25">
      <c r="A174" s="45" t="s">
        <v>14</v>
      </c>
      <c r="B174" s="19" t="s">
        <v>235</v>
      </c>
      <c r="C174" s="22"/>
      <c r="D174" s="42"/>
      <c r="E174" s="49"/>
      <c r="F174" s="42">
        <f>SUM(F83)</f>
        <v>30150</v>
      </c>
    </row>
    <row r="175" spans="1:6" x14ac:dyDescent="0.25">
      <c r="A175" s="45" t="s">
        <v>15</v>
      </c>
      <c r="B175" s="19" t="s">
        <v>241</v>
      </c>
      <c r="C175" s="22"/>
      <c r="D175" s="42"/>
      <c r="E175" s="49"/>
      <c r="F175" s="42">
        <f>SUM(F103)</f>
        <v>66902</v>
      </c>
    </row>
    <row r="176" spans="1:6" x14ac:dyDescent="0.25">
      <c r="A176" s="45" t="s">
        <v>16</v>
      </c>
      <c r="B176" s="19" t="s">
        <v>261</v>
      </c>
      <c r="C176" s="22"/>
      <c r="D176" s="42"/>
      <c r="E176" s="47"/>
      <c r="F176" s="48">
        <f>SUM(F112)</f>
        <v>78120</v>
      </c>
    </row>
    <row r="177" spans="1:6" x14ac:dyDescent="0.25">
      <c r="A177" s="45" t="s">
        <v>17</v>
      </c>
      <c r="B177" s="19" t="s">
        <v>60</v>
      </c>
      <c r="C177" s="22"/>
      <c r="D177" s="42"/>
      <c r="E177" s="47"/>
      <c r="F177" s="48">
        <f>SUM(F129)</f>
        <v>27190</v>
      </c>
    </row>
    <row r="178" spans="1:6" x14ac:dyDescent="0.25">
      <c r="A178" s="45" t="s">
        <v>18</v>
      </c>
      <c r="B178" s="19" t="s">
        <v>143</v>
      </c>
      <c r="C178" s="22"/>
      <c r="D178" s="42"/>
      <c r="E178" s="47"/>
      <c r="F178" s="48">
        <f>SUM(F139)</f>
        <v>34415</v>
      </c>
    </row>
    <row r="179" spans="1:6" x14ac:dyDescent="0.25">
      <c r="A179" s="45" t="s">
        <v>19</v>
      </c>
      <c r="B179" s="19" t="s">
        <v>282</v>
      </c>
      <c r="C179" s="22"/>
      <c r="D179" s="42"/>
      <c r="E179" s="47"/>
      <c r="F179" s="48">
        <f>SUM(F147)</f>
        <v>44490</v>
      </c>
    </row>
    <row r="180" spans="1:6" x14ac:dyDescent="0.25">
      <c r="A180" s="45" t="s">
        <v>66</v>
      </c>
      <c r="B180" s="19" t="s">
        <v>286</v>
      </c>
      <c r="C180" s="22"/>
      <c r="D180" s="42"/>
      <c r="E180" s="47"/>
      <c r="F180" s="48">
        <f>SUM(F164)</f>
        <v>28995</v>
      </c>
    </row>
    <row r="181" spans="1:6" x14ac:dyDescent="0.25">
      <c r="A181" s="45"/>
      <c r="B181" s="19"/>
      <c r="C181" s="22"/>
      <c r="D181" s="42"/>
      <c r="E181" s="47"/>
      <c r="F181" s="42"/>
    </row>
    <row r="182" spans="1:6" x14ac:dyDescent="0.25">
      <c r="A182" s="45"/>
      <c r="B182" s="35" t="s">
        <v>99</v>
      </c>
      <c r="C182" s="22"/>
      <c r="D182" s="42"/>
      <c r="E182" s="49"/>
      <c r="F182" s="42">
        <f>SUM(F170:F180)</f>
        <v>411375</v>
      </c>
    </row>
    <row r="183" spans="1:6" x14ac:dyDescent="0.25">
      <c r="B183" s="50"/>
      <c r="E183" s="46"/>
    </row>
    <row r="184" spans="1:6" x14ac:dyDescent="0.25">
      <c r="B184" s="50"/>
      <c r="E184" s="46"/>
    </row>
    <row r="185" spans="1:6" x14ac:dyDescent="0.25">
      <c r="A185" s="45" t="s">
        <v>45</v>
      </c>
      <c r="B185" s="23" t="s">
        <v>296</v>
      </c>
    </row>
    <row r="186" spans="1:6" x14ac:dyDescent="0.25">
      <c r="A186" s="45"/>
      <c r="B186" s="19"/>
    </row>
    <row r="187" spans="1:6" x14ac:dyDescent="0.25">
      <c r="A187" s="45" t="s">
        <v>6</v>
      </c>
      <c r="B187" s="61" t="s">
        <v>144</v>
      </c>
      <c r="C187" s="41"/>
      <c r="D187" s="41"/>
      <c r="E187" s="62"/>
      <c r="F187" s="41"/>
    </row>
    <row r="188" spans="1:6" x14ac:dyDescent="0.25">
      <c r="A188" s="45"/>
      <c r="B188" s="65" t="s">
        <v>325</v>
      </c>
      <c r="C188" s="41"/>
      <c r="D188" s="41"/>
      <c r="E188" s="62"/>
      <c r="F188" s="41"/>
    </row>
    <row r="189" spans="1:6" ht="26.4" x14ac:dyDescent="0.25">
      <c r="A189" s="32" t="s">
        <v>21</v>
      </c>
      <c r="B189" s="1" t="s">
        <v>297</v>
      </c>
      <c r="C189" s="2" t="s">
        <v>10</v>
      </c>
      <c r="D189" s="3">
        <v>706</v>
      </c>
      <c r="E189" s="34">
        <v>1</v>
      </c>
      <c r="F189" s="3">
        <f t="shared" ref="F189:F203" si="20">D189*$E189</f>
        <v>706</v>
      </c>
    </row>
    <row r="190" spans="1:6" ht="52.8" x14ac:dyDescent="0.25">
      <c r="A190" s="66" t="s">
        <v>22</v>
      </c>
      <c r="B190" s="67" t="s">
        <v>327</v>
      </c>
      <c r="C190" s="2" t="s">
        <v>9</v>
      </c>
      <c r="D190" s="3">
        <v>680</v>
      </c>
      <c r="E190" s="34">
        <v>15</v>
      </c>
      <c r="F190" s="3">
        <f t="shared" si="20"/>
        <v>10200</v>
      </c>
    </row>
    <row r="191" spans="1:6" ht="52.8" x14ac:dyDescent="0.25">
      <c r="A191" s="32" t="s">
        <v>23</v>
      </c>
      <c r="B191" s="1" t="s">
        <v>298</v>
      </c>
      <c r="C191" s="2" t="s">
        <v>9</v>
      </c>
      <c r="D191" s="3">
        <v>22</v>
      </c>
      <c r="E191" s="34">
        <v>20</v>
      </c>
      <c r="F191" s="3">
        <f t="shared" si="20"/>
        <v>440</v>
      </c>
    </row>
    <row r="192" spans="1:6" x14ac:dyDescent="0.25">
      <c r="A192" s="66" t="s">
        <v>24</v>
      </c>
      <c r="B192" s="67" t="s">
        <v>299</v>
      </c>
      <c r="C192" s="2" t="s">
        <v>10</v>
      </c>
      <c r="D192" s="3">
        <v>565</v>
      </c>
      <c r="E192" s="34">
        <v>1.5</v>
      </c>
      <c r="F192" s="3">
        <f t="shared" si="20"/>
        <v>847.5</v>
      </c>
    </row>
    <row r="193" spans="1:6" ht="26.4" x14ac:dyDescent="0.25">
      <c r="A193" s="66" t="s">
        <v>25</v>
      </c>
      <c r="B193" s="67" t="s">
        <v>300</v>
      </c>
      <c r="C193" s="2" t="s">
        <v>9</v>
      </c>
      <c r="D193" s="3">
        <v>57</v>
      </c>
      <c r="E193" s="34">
        <v>50</v>
      </c>
      <c r="F193" s="3">
        <f t="shared" si="20"/>
        <v>2850</v>
      </c>
    </row>
    <row r="194" spans="1:6" ht="26.4" x14ac:dyDescent="0.25">
      <c r="A194" s="66" t="s">
        <v>145</v>
      </c>
      <c r="B194" s="67" t="s">
        <v>301</v>
      </c>
      <c r="C194" s="2" t="s">
        <v>9</v>
      </c>
      <c r="D194" s="3">
        <v>170</v>
      </c>
      <c r="E194" s="34">
        <v>35</v>
      </c>
      <c r="F194" s="3">
        <f t="shared" si="20"/>
        <v>5950</v>
      </c>
    </row>
    <row r="195" spans="1:6" ht="39.6" x14ac:dyDescent="0.25">
      <c r="A195" s="66" t="s">
        <v>146</v>
      </c>
      <c r="B195" s="67" t="s">
        <v>302</v>
      </c>
      <c r="C195" s="2" t="s">
        <v>10</v>
      </c>
      <c r="D195" s="3">
        <v>706</v>
      </c>
      <c r="E195" s="34">
        <v>1</v>
      </c>
      <c r="F195" s="3">
        <f t="shared" si="20"/>
        <v>706</v>
      </c>
    </row>
    <row r="196" spans="1:6" ht="52.8" x14ac:dyDescent="0.25">
      <c r="A196" s="66" t="s">
        <v>147</v>
      </c>
      <c r="B196" s="67" t="s">
        <v>303</v>
      </c>
      <c r="C196" s="2" t="s">
        <v>9</v>
      </c>
      <c r="D196" s="3">
        <v>452</v>
      </c>
      <c r="E196" s="34">
        <v>10</v>
      </c>
      <c r="F196" s="3">
        <f t="shared" si="20"/>
        <v>4520</v>
      </c>
    </row>
    <row r="197" spans="1:6" ht="52.8" x14ac:dyDescent="0.25">
      <c r="A197" s="66" t="s">
        <v>148</v>
      </c>
      <c r="B197" s="67" t="s">
        <v>304</v>
      </c>
      <c r="C197" s="2" t="s">
        <v>9</v>
      </c>
      <c r="D197" s="3">
        <v>313</v>
      </c>
      <c r="E197" s="34">
        <v>10</v>
      </c>
      <c r="F197" s="3">
        <f t="shared" si="20"/>
        <v>3130</v>
      </c>
    </row>
    <row r="198" spans="1:6" ht="39.6" x14ac:dyDescent="0.25">
      <c r="A198" s="66" t="s">
        <v>149</v>
      </c>
      <c r="B198" s="67" t="s">
        <v>305</v>
      </c>
      <c r="C198" s="2" t="s">
        <v>7</v>
      </c>
      <c r="D198" s="3">
        <v>706</v>
      </c>
      <c r="E198" s="34">
        <v>2</v>
      </c>
      <c r="F198" s="3">
        <f t="shared" si="20"/>
        <v>1412</v>
      </c>
    </row>
    <row r="199" spans="1:6" ht="264" x14ac:dyDescent="0.25">
      <c r="A199" s="66" t="s">
        <v>150</v>
      </c>
      <c r="B199" s="67" t="s">
        <v>306</v>
      </c>
      <c r="C199" s="2" t="s">
        <v>46</v>
      </c>
      <c r="D199" s="51">
        <v>1</v>
      </c>
      <c r="E199" s="34">
        <v>3000</v>
      </c>
      <c r="F199" s="3">
        <f t="shared" si="20"/>
        <v>3000</v>
      </c>
    </row>
    <row r="200" spans="1:6" ht="52.8" x14ac:dyDescent="0.25">
      <c r="A200" s="66" t="s">
        <v>151</v>
      </c>
      <c r="B200" s="67" t="s">
        <v>307</v>
      </c>
      <c r="C200" s="2" t="s">
        <v>8</v>
      </c>
      <c r="D200" s="51">
        <v>4</v>
      </c>
      <c r="E200" s="34">
        <v>100</v>
      </c>
      <c r="F200" s="3">
        <f t="shared" si="20"/>
        <v>400</v>
      </c>
    </row>
    <row r="201" spans="1:6" ht="52.8" x14ac:dyDescent="0.25">
      <c r="A201" s="66" t="s">
        <v>152</v>
      </c>
      <c r="B201" s="67" t="s">
        <v>308</v>
      </c>
      <c r="C201" s="2" t="s">
        <v>8</v>
      </c>
      <c r="D201" s="51">
        <v>2</v>
      </c>
      <c r="E201" s="34">
        <v>200</v>
      </c>
      <c r="F201" s="3">
        <f t="shared" si="20"/>
        <v>400</v>
      </c>
    </row>
    <row r="202" spans="1:6" ht="52.8" x14ac:dyDescent="0.25">
      <c r="A202" s="66" t="s">
        <v>153</v>
      </c>
      <c r="B202" s="67" t="s">
        <v>309</v>
      </c>
      <c r="C202" s="2" t="s">
        <v>8</v>
      </c>
      <c r="D202" s="51">
        <v>5</v>
      </c>
      <c r="E202" s="34">
        <v>100</v>
      </c>
      <c r="F202" s="3">
        <f t="shared" si="20"/>
        <v>500</v>
      </c>
    </row>
    <row r="203" spans="1:6" ht="26.4" x14ac:dyDescent="0.25">
      <c r="A203" s="66" t="s">
        <v>154</v>
      </c>
      <c r="B203" s="67" t="s">
        <v>310</v>
      </c>
      <c r="C203" s="2" t="s">
        <v>8</v>
      </c>
      <c r="D203" s="51">
        <v>5</v>
      </c>
      <c r="E203" s="34">
        <v>150</v>
      </c>
      <c r="F203" s="3">
        <f t="shared" si="20"/>
        <v>750</v>
      </c>
    </row>
    <row r="204" spans="1:6" ht="66" x14ac:dyDescent="0.25">
      <c r="A204" s="66" t="s">
        <v>155</v>
      </c>
      <c r="B204" s="67" t="s">
        <v>321</v>
      </c>
      <c r="C204" s="2" t="s">
        <v>8</v>
      </c>
      <c r="D204" s="51">
        <v>10</v>
      </c>
      <c r="E204" s="34">
        <v>50</v>
      </c>
      <c r="F204" s="3">
        <f>D204*$E204</f>
        <v>500</v>
      </c>
    </row>
    <row r="205" spans="1:6" ht="92.4" x14ac:dyDescent="0.25">
      <c r="A205" s="66" t="s">
        <v>164</v>
      </c>
      <c r="B205" s="67" t="s">
        <v>311</v>
      </c>
      <c r="D205" s="51"/>
    </row>
    <row r="206" spans="1:6" x14ac:dyDescent="0.25">
      <c r="A206" s="66" t="s">
        <v>61</v>
      </c>
      <c r="B206" s="67" t="s">
        <v>312</v>
      </c>
      <c r="C206" s="2" t="s">
        <v>10</v>
      </c>
      <c r="D206" s="3">
        <v>595</v>
      </c>
      <c r="E206" s="34">
        <v>80</v>
      </c>
      <c r="F206" s="3">
        <f>D206*$E206</f>
        <v>47600</v>
      </c>
    </row>
    <row r="207" spans="1:6" x14ac:dyDescent="0.25">
      <c r="A207" s="66" t="s">
        <v>62</v>
      </c>
      <c r="B207" s="67" t="s">
        <v>313</v>
      </c>
      <c r="C207" s="2" t="s">
        <v>10</v>
      </c>
      <c r="D207" s="3">
        <v>75</v>
      </c>
      <c r="E207" s="34">
        <v>50</v>
      </c>
      <c r="F207" s="3">
        <f>D207*$E207</f>
        <v>3750</v>
      </c>
    </row>
    <row r="208" spans="1:6" x14ac:dyDescent="0.25">
      <c r="A208" s="66" t="s">
        <v>63</v>
      </c>
      <c r="B208" s="67" t="s">
        <v>314</v>
      </c>
      <c r="C208" s="2" t="s">
        <v>10</v>
      </c>
      <c r="D208" s="3">
        <v>73</v>
      </c>
      <c r="E208" s="34">
        <v>28</v>
      </c>
      <c r="F208" s="3">
        <f>D208*$E208</f>
        <v>2044</v>
      </c>
    </row>
    <row r="209" spans="1:6" ht="118.8" x14ac:dyDescent="0.25">
      <c r="A209" s="66" t="s">
        <v>169</v>
      </c>
      <c r="B209" s="67" t="s">
        <v>315</v>
      </c>
      <c r="D209" s="51"/>
    </row>
    <row r="210" spans="1:6" x14ac:dyDescent="0.25">
      <c r="A210" s="66" t="s">
        <v>61</v>
      </c>
      <c r="B210" s="67" t="s">
        <v>316</v>
      </c>
      <c r="C210" s="2" t="s">
        <v>10</v>
      </c>
      <c r="D210" s="3">
        <v>75</v>
      </c>
      <c r="E210" s="34">
        <v>29</v>
      </c>
      <c r="F210" s="3">
        <f>D210*$E210</f>
        <v>2175</v>
      </c>
    </row>
    <row r="211" spans="1:6" x14ac:dyDescent="0.25">
      <c r="A211" s="66" t="s">
        <v>62</v>
      </c>
      <c r="B211" s="67" t="s">
        <v>317</v>
      </c>
      <c r="C211" s="2" t="s">
        <v>10</v>
      </c>
      <c r="D211" s="3">
        <v>73</v>
      </c>
      <c r="E211" s="34">
        <v>22</v>
      </c>
      <c r="F211" s="3">
        <f>D211*$E211</f>
        <v>1606</v>
      </c>
    </row>
    <row r="212" spans="1:6" ht="171.6" x14ac:dyDescent="0.25">
      <c r="A212" s="66" t="s">
        <v>170</v>
      </c>
      <c r="B212" s="59" t="s">
        <v>318</v>
      </c>
      <c r="C212" s="2" t="s">
        <v>46</v>
      </c>
      <c r="D212" s="51">
        <v>1</v>
      </c>
      <c r="E212" s="34">
        <v>5698</v>
      </c>
      <c r="F212" s="3">
        <f t="shared" ref="F212:F218" si="21">D212*$E212</f>
        <v>5698</v>
      </c>
    </row>
    <row r="213" spans="1:6" ht="184.8" x14ac:dyDescent="0.25">
      <c r="A213" s="66" t="s">
        <v>171</v>
      </c>
      <c r="B213" s="59" t="s">
        <v>319</v>
      </c>
      <c r="C213" s="2" t="s">
        <v>46</v>
      </c>
      <c r="D213" s="51">
        <v>5</v>
      </c>
      <c r="E213" s="34">
        <v>2450</v>
      </c>
      <c r="F213" s="3">
        <f t="shared" si="21"/>
        <v>12250</v>
      </c>
    </row>
    <row r="214" spans="1:6" ht="132" x14ac:dyDescent="0.25">
      <c r="A214" s="66" t="s">
        <v>172</v>
      </c>
      <c r="B214" s="59" t="s">
        <v>324</v>
      </c>
      <c r="C214" s="2" t="s">
        <v>46</v>
      </c>
      <c r="D214" s="51">
        <v>5</v>
      </c>
      <c r="E214" s="34">
        <v>354</v>
      </c>
      <c r="F214" s="3">
        <f t="shared" si="21"/>
        <v>1770</v>
      </c>
    </row>
    <row r="215" spans="1:6" ht="26.4" x14ac:dyDescent="0.25">
      <c r="A215" s="66" t="s">
        <v>173</v>
      </c>
      <c r="B215" s="59" t="s">
        <v>320</v>
      </c>
      <c r="C215" s="2" t="s">
        <v>46</v>
      </c>
      <c r="D215" s="51">
        <v>5</v>
      </c>
      <c r="E215" s="34">
        <v>89</v>
      </c>
      <c r="F215" s="3">
        <f t="shared" si="21"/>
        <v>445</v>
      </c>
    </row>
    <row r="216" spans="1:6" ht="26.4" x14ac:dyDescent="0.25">
      <c r="A216" s="66" t="s">
        <v>174</v>
      </c>
      <c r="B216" s="59" t="s">
        <v>322</v>
      </c>
      <c r="C216" s="2" t="s">
        <v>46</v>
      </c>
      <c r="D216" s="51">
        <v>1</v>
      </c>
      <c r="E216" s="34">
        <v>1500</v>
      </c>
      <c r="F216" s="3">
        <f t="shared" si="21"/>
        <v>1500</v>
      </c>
    </row>
    <row r="217" spans="1:6" ht="26.4" x14ac:dyDescent="0.25">
      <c r="A217" s="66" t="s">
        <v>175</v>
      </c>
      <c r="B217" s="59" t="s">
        <v>323</v>
      </c>
      <c r="C217" s="2" t="s">
        <v>46</v>
      </c>
      <c r="D217" s="51">
        <v>1</v>
      </c>
      <c r="E217" s="34">
        <v>1800</v>
      </c>
      <c r="F217" s="3">
        <f t="shared" si="21"/>
        <v>1800</v>
      </c>
    </row>
    <row r="218" spans="1:6" ht="39.6" x14ac:dyDescent="0.25">
      <c r="A218" s="66" t="s">
        <v>176</v>
      </c>
      <c r="B218" s="59" t="s">
        <v>724</v>
      </c>
      <c r="C218" s="2" t="s">
        <v>46</v>
      </c>
      <c r="D218" s="51">
        <v>1</v>
      </c>
      <c r="E218" s="34">
        <v>500</v>
      </c>
      <c r="F218" s="3">
        <f t="shared" si="21"/>
        <v>500</v>
      </c>
    </row>
    <row r="219" spans="1:6" x14ac:dyDescent="0.25">
      <c r="A219" s="66"/>
      <c r="B219" s="59" t="s">
        <v>326</v>
      </c>
      <c r="D219" s="51"/>
    </row>
    <row r="220" spans="1:6" ht="52.8" x14ac:dyDescent="0.25">
      <c r="A220" s="66" t="s">
        <v>177</v>
      </c>
      <c r="B220" s="59" t="s">
        <v>726</v>
      </c>
      <c r="C220" s="2" t="s">
        <v>8</v>
      </c>
      <c r="D220" s="51">
        <v>1</v>
      </c>
      <c r="E220" s="34">
        <v>250</v>
      </c>
      <c r="F220" s="3">
        <f t="shared" ref="F220" si="22">D220*$E220</f>
        <v>250</v>
      </c>
    </row>
    <row r="221" spans="1:6" ht="52.8" x14ac:dyDescent="0.25">
      <c r="A221" s="66" t="s">
        <v>178</v>
      </c>
      <c r="B221" s="67" t="s">
        <v>328</v>
      </c>
      <c r="D221" s="51"/>
    </row>
    <row r="222" spans="1:6" x14ac:dyDescent="0.25">
      <c r="A222" s="66" t="s">
        <v>61</v>
      </c>
      <c r="B222" s="67" t="s">
        <v>329</v>
      </c>
      <c r="C222" s="2" t="s">
        <v>10</v>
      </c>
      <c r="D222" s="3">
        <v>35</v>
      </c>
      <c r="E222" s="34">
        <v>36</v>
      </c>
      <c r="F222" s="3">
        <f>D222*$E222</f>
        <v>1260</v>
      </c>
    </row>
    <row r="223" spans="1:6" x14ac:dyDescent="0.25">
      <c r="A223" s="66" t="s">
        <v>62</v>
      </c>
      <c r="B223" s="67" t="s">
        <v>330</v>
      </c>
      <c r="C223" s="2" t="s">
        <v>10</v>
      </c>
      <c r="D223" s="3">
        <v>58</v>
      </c>
      <c r="E223" s="34">
        <v>50</v>
      </c>
      <c r="F223" s="3">
        <f>D223*$E223</f>
        <v>2900</v>
      </c>
    </row>
    <row r="224" spans="1:6" ht="105.6" x14ac:dyDescent="0.25">
      <c r="A224" s="66" t="s">
        <v>179</v>
      </c>
      <c r="B224" s="67" t="s">
        <v>331</v>
      </c>
      <c r="C224" s="2" t="s">
        <v>8</v>
      </c>
      <c r="D224" s="51">
        <v>6</v>
      </c>
      <c r="E224" s="34">
        <v>350</v>
      </c>
      <c r="F224" s="3">
        <f t="shared" ref="F224" si="23">D224*$E224</f>
        <v>2100</v>
      </c>
    </row>
    <row r="225" spans="1:6" ht="145.19999999999999" x14ac:dyDescent="0.25">
      <c r="A225" s="66" t="s">
        <v>180</v>
      </c>
      <c r="B225" s="67" t="s">
        <v>727</v>
      </c>
    </row>
    <row r="226" spans="1:6" x14ac:dyDescent="0.25">
      <c r="A226" s="66" t="s">
        <v>61</v>
      </c>
      <c r="B226" s="67" t="s">
        <v>329</v>
      </c>
      <c r="C226" s="2" t="s">
        <v>10</v>
      </c>
      <c r="D226" s="3">
        <v>35</v>
      </c>
      <c r="E226" s="34">
        <v>8</v>
      </c>
      <c r="F226" s="3">
        <f>D226*$E226</f>
        <v>280</v>
      </c>
    </row>
    <row r="227" spans="1:6" x14ac:dyDescent="0.25">
      <c r="A227" s="66" t="s">
        <v>62</v>
      </c>
      <c r="B227" s="67" t="s">
        <v>330</v>
      </c>
      <c r="C227" s="2" t="s">
        <v>10</v>
      </c>
      <c r="D227" s="3">
        <v>58</v>
      </c>
      <c r="E227" s="34">
        <v>10</v>
      </c>
      <c r="F227" s="3">
        <f>D227*$E227</f>
        <v>580</v>
      </c>
    </row>
    <row r="228" spans="1:6" x14ac:dyDescent="0.25">
      <c r="A228" s="66" t="s">
        <v>181</v>
      </c>
      <c r="B228" s="59" t="s">
        <v>332</v>
      </c>
      <c r="C228" s="2" t="s">
        <v>46</v>
      </c>
      <c r="D228" s="51">
        <v>1</v>
      </c>
      <c r="E228" s="34">
        <v>256</v>
      </c>
      <c r="F228" s="3">
        <f t="shared" ref="F228:F232" si="24">D228*$E228</f>
        <v>256</v>
      </c>
    </row>
    <row r="229" spans="1:6" ht="26.4" x14ac:dyDescent="0.25">
      <c r="A229" s="66" t="s">
        <v>182</v>
      </c>
      <c r="B229" s="59" t="s">
        <v>320</v>
      </c>
      <c r="C229" s="2" t="s">
        <v>46</v>
      </c>
      <c r="D229" s="51">
        <v>6</v>
      </c>
      <c r="E229" s="34">
        <v>80</v>
      </c>
      <c r="F229" s="3">
        <f t="shared" si="24"/>
        <v>480</v>
      </c>
    </row>
    <row r="230" spans="1:6" ht="26.4" x14ac:dyDescent="0.25">
      <c r="A230" s="66" t="s">
        <v>183</v>
      </c>
      <c r="B230" s="59" t="s">
        <v>333</v>
      </c>
      <c r="C230" s="2" t="s">
        <v>46</v>
      </c>
      <c r="D230" s="51">
        <v>1</v>
      </c>
      <c r="E230" s="34">
        <v>200</v>
      </c>
      <c r="F230" s="3">
        <f t="shared" si="24"/>
        <v>200</v>
      </c>
    </row>
    <row r="231" spans="1:6" x14ac:dyDescent="0.25">
      <c r="A231" s="66" t="s">
        <v>184</v>
      </c>
      <c r="B231" s="59" t="s">
        <v>334</v>
      </c>
      <c r="C231" s="2" t="s">
        <v>46</v>
      </c>
      <c r="D231" s="51">
        <v>1</v>
      </c>
      <c r="E231" s="34">
        <v>150</v>
      </c>
      <c r="F231" s="3">
        <f t="shared" si="24"/>
        <v>150</v>
      </c>
    </row>
    <row r="232" spans="1:6" ht="26.4" x14ac:dyDescent="0.25">
      <c r="A232" s="32" t="s">
        <v>185</v>
      </c>
      <c r="B232" s="59" t="s">
        <v>335</v>
      </c>
      <c r="C232" s="2" t="s">
        <v>46</v>
      </c>
      <c r="D232" s="51">
        <v>1</v>
      </c>
      <c r="E232" s="34">
        <v>250</v>
      </c>
      <c r="F232" s="3">
        <f t="shared" si="24"/>
        <v>250</v>
      </c>
    </row>
    <row r="233" spans="1:6" x14ac:dyDescent="0.25">
      <c r="A233" s="7"/>
      <c r="B233" s="44" t="s">
        <v>156</v>
      </c>
      <c r="C233" s="6"/>
      <c r="D233" s="6"/>
      <c r="E233" s="21"/>
      <c r="F233" s="42">
        <f>SUM(F189:F232)</f>
        <v>126155.5</v>
      </c>
    </row>
    <row r="235" spans="1:6" x14ac:dyDescent="0.25">
      <c r="A235" s="45" t="s">
        <v>11</v>
      </c>
      <c r="B235" s="61" t="s">
        <v>336</v>
      </c>
      <c r="C235" s="41"/>
      <c r="D235" s="41"/>
      <c r="E235" s="62"/>
      <c r="F235" s="41"/>
    </row>
    <row r="236" spans="1:6" x14ac:dyDescent="0.25">
      <c r="A236" s="45"/>
      <c r="B236" s="65" t="s">
        <v>338</v>
      </c>
      <c r="C236" s="41"/>
      <c r="D236" s="41"/>
      <c r="E236" s="62"/>
      <c r="F236" s="41"/>
    </row>
    <row r="237" spans="1:6" x14ac:dyDescent="0.25">
      <c r="A237" s="32" t="s">
        <v>26</v>
      </c>
      <c r="B237" s="1" t="s">
        <v>337</v>
      </c>
      <c r="C237" s="2" t="s">
        <v>10</v>
      </c>
      <c r="D237" s="3">
        <v>35</v>
      </c>
      <c r="E237" s="34">
        <v>20</v>
      </c>
      <c r="F237" s="3">
        <f>D237*$E237</f>
        <v>700</v>
      </c>
    </row>
    <row r="238" spans="1:6" ht="79.2" x14ac:dyDescent="0.25">
      <c r="A238" s="66" t="s">
        <v>27</v>
      </c>
      <c r="B238" s="67" t="s">
        <v>339</v>
      </c>
      <c r="C238" s="2" t="s">
        <v>10</v>
      </c>
      <c r="D238" s="3">
        <v>35</v>
      </c>
      <c r="E238" s="34">
        <v>60</v>
      </c>
      <c r="F238" s="3">
        <f>D238*$E238</f>
        <v>2100</v>
      </c>
    </row>
    <row r="239" spans="1:6" x14ac:dyDescent="0.25">
      <c r="A239" s="66"/>
      <c r="B239" s="67" t="s">
        <v>340</v>
      </c>
    </row>
    <row r="240" spans="1:6" ht="52.8" x14ac:dyDescent="0.25">
      <c r="A240" s="66" t="s">
        <v>28</v>
      </c>
      <c r="B240" s="67" t="s">
        <v>729</v>
      </c>
      <c r="C240" s="2" t="s">
        <v>8</v>
      </c>
      <c r="D240" s="51">
        <v>2</v>
      </c>
      <c r="E240" s="34">
        <v>100</v>
      </c>
      <c r="F240" s="3">
        <f>D240*$E240</f>
        <v>200</v>
      </c>
    </row>
    <row r="241" spans="1:6" ht="52.8" x14ac:dyDescent="0.25">
      <c r="A241" s="66" t="s">
        <v>29</v>
      </c>
      <c r="B241" s="67" t="s">
        <v>341</v>
      </c>
    </row>
    <row r="242" spans="1:6" x14ac:dyDescent="0.25">
      <c r="A242" s="66" t="s">
        <v>61</v>
      </c>
      <c r="B242" s="67" t="s">
        <v>342</v>
      </c>
      <c r="C242" s="2" t="s">
        <v>10</v>
      </c>
      <c r="D242" s="3">
        <v>25</v>
      </c>
      <c r="E242" s="34">
        <v>8</v>
      </c>
      <c r="F242" s="3">
        <f>D242*$E242</f>
        <v>200</v>
      </c>
    </row>
    <row r="243" spans="1:6" x14ac:dyDescent="0.25">
      <c r="A243" s="66" t="s">
        <v>62</v>
      </c>
      <c r="B243" s="67" t="s">
        <v>343</v>
      </c>
      <c r="C243" s="2" t="s">
        <v>8</v>
      </c>
      <c r="D243" s="51">
        <v>12</v>
      </c>
      <c r="E243" s="34">
        <v>5</v>
      </c>
      <c r="F243" s="3">
        <f>D243*$E243</f>
        <v>60</v>
      </c>
    </row>
    <row r="244" spans="1:6" ht="52.8" x14ac:dyDescent="0.25">
      <c r="A244" s="66" t="s">
        <v>52</v>
      </c>
      <c r="B244" s="67" t="s">
        <v>344</v>
      </c>
      <c r="C244" s="2" t="s">
        <v>10</v>
      </c>
      <c r="D244" s="3">
        <v>37</v>
      </c>
      <c r="E244" s="34">
        <v>5</v>
      </c>
      <c r="F244" s="3">
        <f>D244*$E244</f>
        <v>185</v>
      </c>
    </row>
    <row r="245" spans="1:6" x14ac:dyDescent="0.25">
      <c r="A245" s="66" t="s">
        <v>76</v>
      </c>
      <c r="B245" s="67" t="s">
        <v>345</v>
      </c>
      <c r="C245" s="2" t="s">
        <v>8</v>
      </c>
      <c r="D245" s="51">
        <v>2</v>
      </c>
      <c r="E245" s="34">
        <v>80</v>
      </c>
      <c r="F245" s="3">
        <f>D245*$E245</f>
        <v>160</v>
      </c>
    </row>
    <row r="246" spans="1:6" ht="26.4" x14ac:dyDescent="0.25">
      <c r="A246" s="66" t="s">
        <v>83</v>
      </c>
      <c r="B246" s="67" t="s">
        <v>346</v>
      </c>
      <c r="C246" s="2" t="s">
        <v>46</v>
      </c>
      <c r="D246" s="51">
        <v>1</v>
      </c>
      <c r="E246" s="34">
        <v>200</v>
      </c>
      <c r="F246" s="3">
        <f t="shared" ref="F246" si="25">D246*$E246</f>
        <v>200</v>
      </c>
    </row>
    <row r="247" spans="1:6" x14ac:dyDescent="0.25">
      <c r="A247" s="7"/>
      <c r="B247" s="44" t="s">
        <v>347</v>
      </c>
      <c r="C247" s="6"/>
      <c r="D247" s="6"/>
      <c r="E247" s="21"/>
      <c r="F247" s="42">
        <f>SUM(F237:F246)</f>
        <v>3805</v>
      </c>
    </row>
    <row r="249" spans="1:6" x14ac:dyDescent="0.25">
      <c r="A249" s="35" t="s">
        <v>12</v>
      </c>
      <c r="B249" s="61" t="s">
        <v>348</v>
      </c>
      <c r="C249" s="41"/>
      <c r="D249" s="41"/>
      <c r="E249" s="62"/>
      <c r="F249" s="41"/>
    </row>
    <row r="250" spans="1:6" ht="66" x14ac:dyDescent="0.25">
      <c r="A250" s="32" t="s">
        <v>30</v>
      </c>
      <c r="B250" s="1" t="s">
        <v>349</v>
      </c>
      <c r="C250" s="2" t="s">
        <v>46</v>
      </c>
      <c r="D250" s="51">
        <v>1</v>
      </c>
      <c r="E250" s="34">
        <v>500</v>
      </c>
      <c r="F250" s="3">
        <f t="shared" ref="F250:F252" si="26">D250*$E250</f>
        <v>500</v>
      </c>
    </row>
    <row r="251" spans="1:6" ht="52.8" x14ac:dyDescent="0.25">
      <c r="A251" s="32" t="s">
        <v>31</v>
      </c>
      <c r="B251" s="1" t="s">
        <v>350</v>
      </c>
      <c r="C251" s="2" t="s">
        <v>46</v>
      </c>
      <c r="D251" s="51">
        <v>1</v>
      </c>
      <c r="E251" s="34">
        <v>400</v>
      </c>
      <c r="F251" s="3">
        <f t="shared" si="26"/>
        <v>400</v>
      </c>
    </row>
    <row r="252" spans="1:6" ht="52.8" x14ac:dyDescent="0.25">
      <c r="A252" s="32" t="s">
        <v>32</v>
      </c>
      <c r="B252" s="1" t="s">
        <v>351</v>
      </c>
      <c r="C252" s="2" t="s">
        <v>46</v>
      </c>
      <c r="D252" s="51">
        <v>1</v>
      </c>
      <c r="E252" s="34">
        <v>500</v>
      </c>
      <c r="F252" s="3">
        <f t="shared" si="26"/>
        <v>500</v>
      </c>
    </row>
    <row r="253" spans="1:6" x14ac:dyDescent="0.25">
      <c r="B253" s="44" t="s">
        <v>352</v>
      </c>
      <c r="C253" s="6"/>
      <c r="D253" s="6"/>
      <c r="E253" s="21"/>
      <c r="F253" s="42">
        <f>SUM(F250:F252)</f>
        <v>1400</v>
      </c>
    </row>
    <row r="255" spans="1:6" x14ac:dyDescent="0.25">
      <c r="A255" s="45" t="s">
        <v>45</v>
      </c>
      <c r="B255" s="23" t="s">
        <v>353</v>
      </c>
    </row>
    <row r="257" spans="1:6" x14ac:dyDescent="0.25">
      <c r="A257" s="45" t="s">
        <v>6</v>
      </c>
      <c r="B257" s="19" t="s">
        <v>144</v>
      </c>
      <c r="C257" s="22"/>
      <c r="D257" s="42"/>
      <c r="E257" s="49"/>
      <c r="F257" s="42">
        <f>SUM(F233)</f>
        <v>126155.5</v>
      </c>
    </row>
    <row r="258" spans="1:6" x14ac:dyDescent="0.25">
      <c r="A258" s="45" t="s">
        <v>11</v>
      </c>
      <c r="B258" s="19" t="s">
        <v>336</v>
      </c>
      <c r="C258" s="22"/>
      <c r="D258" s="42"/>
      <c r="E258" s="49"/>
      <c r="F258" s="42">
        <f>SUM(F247)</f>
        <v>3805</v>
      </c>
    </row>
    <row r="259" spans="1:6" x14ac:dyDescent="0.25">
      <c r="A259" s="45" t="s">
        <v>12</v>
      </c>
      <c r="B259" s="19" t="s">
        <v>348</v>
      </c>
      <c r="C259" s="22"/>
      <c r="D259" s="42"/>
      <c r="E259" s="49"/>
      <c r="F259" s="42">
        <f>SUM(F253)</f>
        <v>1400</v>
      </c>
    </row>
    <row r="260" spans="1:6" x14ac:dyDescent="0.25">
      <c r="A260" s="45"/>
      <c r="B260" s="19"/>
      <c r="C260" s="22"/>
      <c r="D260" s="42"/>
      <c r="E260" s="47"/>
      <c r="F260" s="42"/>
    </row>
    <row r="261" spans="1:6" x14ac:dyDescent="0.25">
      <c r="A261" s="45"/>
      <c r="B261" s="35" t="s">
        <v>354</v>
      </c>
      <c r="C261" s="22"/>
      <c r="D261" s="42"/>
      <c r="E261" s="49"/>
      <c r="F261" s="42">
        <f>SUM(F257:F259)</f>
        <v>131360.5</v>
      </c>
    </row>
    <row r="262" spans="1:6" x14ac:dyDescent="0.25">
      <c r="B262" s="50"/>
      <c r="E262" s="46"/>
    </row>
    <row r="263" spans="1:6" x14ac:dyDescent="0.25">
      <c r="B263" s="50"/>
      <c r="E263" s="46"/>
    </row>
    <row r="264" spans="1:6" x14ac:dyDescent="0.25">
      <c r="A264" s="45" t="s">
        <v>80</v>
      </c>
      <c r="B264" s="23" t="s">
        <v>501</v>
      </c>
      <c r="C264" s="22"/>
      <c r="D264" s="42"/>
      <c r="E264" s="49"/>
      <c r="F264" s="42"/>
    </row>
    <row r="265" spans="1:6" x14ac:dyDescent="0.25">
      <c r="A265" s="45"/>
      <c r="B265" s="23"/>
      <c r="C265" s="22"/>
      <c r="D265" s="42"/>
      <c r="E265" s="49"/>
      <c r="F265" s="42"/>
    </row>
    <row r="266" spans="1:6" x14ac:dyDescent="0.25">
      <c r="A266" s="35" t="s">
        <v>6</v>
      </c>
      <c r="B266" s="61" t="s">
        <v>158</v>
      </c>
      <c r="C266" s="41"/>
      <c r="D266" s="41"/>
      <c r="E266" s="62"/>
      <c r="F266" s="41"/>
    </row>
    <row r="267" spans="1:6" ht="132" x14ac:dyDescent="0.25">
      <c r="A267" s="35"/>
      <c r="B267" s="1" t="s">
        <v>355</v>
      </c>
      <c r="C267" s="41"/>
      <c r="D267" s="41"/>
      <c r="E267" s="62"/>
      <c r="F267" s="41"/>
    </row>
    <row r="268" spans="1:6" ht="303.60000000000002" x14ac:dyDescent="0.25">
      <c r="A268" s="32" t="s">
        <v>21</v>
      </c>
      <c r="B268" s="1" t="s">
        <v>356</v>
      </c>
      <c r="C268" s="2" t="s">
        <v>46</v>
      </c>
      <c r="D268" s="51">
        <v>1</v>
      </c>
      <c r="E268" s="34">
        <v>3300</v>
      </c>
      <c r="F268" s="3">
        <f>D268*$E268</f>
        <v>3300</v>
      </c>
    </row>
    <row r="269" spans="1:6" ht="330" x14ac:dyDescent="0.25">
      <c r="A269" s="32" t="s">
        <v>22</v>
      </c>
      <c r="B269" s="59" t="s">
        <v>357</v>
      </c>
      <c r="C269" s="2" t="s">
        <v>46</v>
      </c>
      <c r="D269" s="51">
        <v>1</v>
      </c>
      <c r="E269" s="34">
        <v>2100</v>
      </c>
      <c r="F269" s="3">
        <f>D269*$E269</f>
        <v>2100</v>
      </c>
    </row>
    <row r="270" spans="1:6" x14ac:dyDescent="0.25">
      <c r="B270" s="44" t="s">
        <v>159</v>
      </c>
      <c r="C270" s="6"/>
      <c r="D270" s="6"/>
      <c r="E270" s="21"/>
      <c r="F270" s="42">
        <f>SUM(F268:F269)</f>
        <v>5400</v>
      </c>
    </row>
    <row r="271" spans="1:6" x14ac:dyDescent="0.25">
      <c r="D271" s="51"/>
    </row>
    <row r="272" spans="1:6" x14ac:dyDescent="0.25">
      <c r="A272" s="35" t="s">
        <v>11</v>
      </c>
      <c r="B272" s="68" t="s">
        <v>389</v>
      </c>
      <c r="C272" s="41"/>
      <c r="D272" s="41"/>
      <c r="E272" s="62"/>
      <c r="F272" s="41"/>
    </row>
    <row r="273" spans="1:6" ht="79.2" x14ac:dyDescent="0.25">
      <c r="A273" s="7" t="s">
        <v>26</v>
      </c>
      <c r="B273" s="1" t="s">
        <v>358</v>
      </c>
    </row>
    <row r="274" spans="1:6" x14ac:dyDescent="0.25">
      <c r="A274" s="7" t="s">
        <v>61</v>
      </c>
      <c r="B274" s="1" t="s">
        <v>359</v>
      </c>
      <c r="C274" s="2" t="s">
        <v>10</v>
      </c>
      <c r="D274" s="3">
        <v>95</v>
      </c>
      <c r="E274" s="34">
        <v>4.3499999999999996</v>
      </c>
      <c r="F274" s="3">
        <f t="shared" ref="F274:F286" si="27">D274*$E274</f>
        <v>413.24999999999994</v>
      </c>
    </row>
    <row r="275" spans="1:6" x14ac:dyDescent="0.25">
      <c r="A275" s="7" t="s">
        <v>62</v>
      </c>
      <c r="B275" s="1" t="s">
        <v>360</v>
      </c>
      <c r="C275" s="2" t="s">
        <v>10</v>
      </c>
      <c r="D275" s="3">
        <v>380</v>
      </c>
      <c r="E275" s="34">
        <v>3.33</v>
      </c>
      <c r="F275" s="3">
        <f t="shared" si="27"/>
        <v>1265.4000000000001</v>
      </c>
    </row>
    <row r="276" spans="1:6" x14ac:dyDescent="0.25">
      <c r="A276" s="7" t="s">
        <v>63</v>
      </c>
      <c r="B276" s="1" t="s">
        <v>361</v>
      </c>
      <c r="C276" s="2" t="s">
        <v>10</v>
      </c>
      <c r="D276" s="3">
        <v>510</v>
      </c>
      <c r="E276" s="34">
        <v>3.98</v>
      </c>
      <c r="F276" s="3">
        <f t="shared" si="27"/>
        <v>2029.8</v>
      </c>
    </row>
    <row r="277" spans="1:6" x14ac:dyDescent="0.25">
      <c r="A277" s="7" t="s">
        <v>64</v>
      </c>
      <c r="B277" s="1" t="s">
        <v>362</v>
      </c>
      <c r="C277" s="2" t="s">
        <v>10</v>
      </c>
      <c r="D277" s="3">
        <v>5</v>
      </c>
      <c r="E277" s="34">
        <v>4</v>
      </c>
      <c r="F277" s="3">
        <f t="shared" si="27"/>
        <v>20</v>
      </c>
    </row>
    <row r="278" spans="1:6" x14ac:dyDescent="0.25">
      <c r="A278" s="7" t="s">
        <v>103</v>
      </c>
      <c r="B278" s="1" t="s">
        <v>363</v>
      </c>
      <c r="C278" s="2" t="s">
        <v>10</v>
      </c>
      <c r="D278" s="3">
        <v>180</v>
      </c>
      <c r="E278" s="34">
        <v>20</v>
      </c>
      <c r="F278" s="3">
        <f t="shared" si="27"/>
        <v>3600</v>
      </c>
    </row>
    <row r="279" spans="1:6" x14ac:dyDescent="0.25">
      <c r="A279" s="7" t="s">
        <v>115</v>
      </c>
      <c r="B279" s="1" t="s">
        <v>364</v>
      </c>
      <c r="C279" s="2" t="s">
        <v>10</v>
      </c>
      <c r="D279" s="3">
        <v>480</v>
      </c>
      <c r="E279" s="34">
        <v>27</v>
      </c>
      <c r="F279" s="3">
        <f t="shared" si="27"/>
        <v>12960</v>
      </c>
    </row>
    <row r="280" spans="1:6" x14ac:dyDescent="0.25">
      <c r="A280" s="7" t="s">
        <v>116</v>
      </c>
      <c r="B280" s="1" t="s">
        <v>163</v>
      </c>
      <c r="C280" s="2" t="s">
        <v>10</v>
      </c>
      <c r="D280" s="3">
        <v>50</v>
      </c>
      <c r="E280" s="34">
        <v>4.0999999999999996</v>
      </c>
      <c r="F280" s="3">
        <f t="shared" si="27"/>
        <v>204.99999999999997</v>
      </c>
    </row>
    <row r="281" spans="1:6" x14ac:dyDescent="0.25">
      <c r="A281" s="7" t="s">
        <v>117</v>
      </c>
      <c r="B281" s="1" t="s">
        <v>365</v>
      </c>
      <c r="C281" s="2" t="s">
        <v>10</v>
      </c>
      <c r="D281" s="3">
        <v>80</v>
      </c>
      <c r="E281" s="34">
        <v>5</v>
      </c>
      <c r="F281" s="3">
        <f t="shared" si="27"/>
        <v>400</v>
      </c>
    </row>
    <row r="282" spans="1:6" x14ac:dyDescent="0.25">
      <c r="A282" s="7" t="s">
        <v>118</v>
      </c>
      <c r="B282" s="1" t="s">
        <v>366</v>
      </c>
      <c r="C282" s="2" t="s">
        <v>10</v>
      </c>
      <c r="D282" s="3">
        <v>1200</v>
      </c>
      <c r="E282" s="34">
        <v>7.99</v>
      </c>
      <c r="F282" s="3">
        <f t="shared" si="27"/>
        <v>9588</v>
      </c>
    </row>
    <row r="283" spans="1:6" x14ac:dyDescent="0.25">
      <c r="A283" s="7" t="s">
        <v>119</v>
      </c>
      <c r="B283" s="1" t="s">
        <v>367</v>
      </c>
      <c r="C283" s="2" t="s">
        <v>10</v>
      </c>
      <c r="D283" s="3">
        <v>1400</v>
      </c>
      <c r="E283" s="34">
        <v>8</v>
      </c>
      <c r="F283" s="3">
        <f t="shared" si="27"/>
        <v>11200</v>
      </c>
    </row>
    <row r="284" spans="1:6" x14ac:dyDescent="0.25">
      <c r="A284" s="7" t="s">
        <v>160</v>
      </c>
      <c r="B284" s="1" t="s">
        <v>363</v>
      </c>
      <c r="C284" s="2" t="s">
        <v>10</v>
      </c>
      <c r="D284" s="3">
        <v>40</v>
      </c>
      <c r="E284" s="34">
        <v>20</v>
      </c>
      <c r="F284" s="3">
        <f t="shared" si="27"/>
        <v>800</v>
      </c>
    </row>
    <row r="285" spans="1:6" x14ac:dyDescent="0.25">
      <c r="A285" s="7" t="s">
        <v>161</v>
      </c>
      <c r="B285" s="1" t="s">
        <v>368</v>
      </c>
      <c r="C285" s="2" t="s">
        <v>10</v>
      </c>
      <c r="D285" s="3">
        <v>20</v>
      </c>
      <c r="E285" s="34">
        <v>10</v>
      </c>
      <c r="F285" s="3">
        <f t="shared" si="27"/>
        <v>200</v>
      </c>
    </row>
    <row r="286" spans="1:6" ht="26.4" x14ac:dyDescent="0.25">
      <c r="A286" s="7" t="s">
        <v>162</v>
      </c>
      <c r="B286" s="1" t="s">
        <v>369</v>
      </c>
      <c r="C286" s="2" t="s">
        <v>10</v>
      </c>
      <c r="D286" s="3">
        <v>30</v>
      </c>
      <c r="E286" s="34">
        <v>5</v>
      </c>
      <c r="F286" s="3">
        <f t="shared" si="27"/>
        <v>150</v>
      </c>
    </row>
    <row r="287" spans="1:6" x14ac:dyDescent="0.25">
      <c r="B287" s="44" t="s">
        <v>390</v>
      </c>
      <c r="C287" s="6"/>
      <c r="D287" s="6"/>
      <c r="E287" s="21"/>
      <c r="F287" s="42">
        <f>SUM(F274:F286)</f>
        <v>42831.45</v>
      </c>
    </row>
    <row r="288" spans="1:6" x14ac:dyDescent="0.25">
      <c r="D288" s="51"/>
    </row>
    <row r="289" spans="1:6" x14ac:dyDescent="0.25">
      <c r="A289" s="35" t="s">
        <v>12</v>
      </c>
      <c r="B289" s="68" t="s">
        <v>392</v>
      </c>
      <c r="C289" s="41"/>
      <c r="D289" s="41"/>
      <c r="E289" s="62"/>
      <c r="F289" s="41"/>
    </row>
    <row r="290" spans="1:6" ht="382.8" x14ac:dyDescent="0.25">
      <c r="A290" s="32" t="s">
        <v>30</v>
      </c>
      <c r="B290" s="1" t="s">
        <v>370</v>
      </c>
      <c r="C290" s="2" t="s">
        <v>8</v>
      </c>
      <c r="D290" s="51">
        <v>32</v>
      </c>
      <c r="E290" s="34">
        <v>140</v>
      </c>
      <c r="F290" s="3">
        <f t="shared" ref="F290:F308" si="28">D290*$E290</f>
        <v>4480</v>
      </c>
    </row>
    <row r="291" spans="1:6" ht="264" x14ac:dyDescent="0.25">
      <c r="A291" s="32" t="s">
        <v>31</v>
      </c>
      <c r="B291" s="1" t="s">
        <v>371</v>
      </c>
      <c r="D291" s="51"/>
    </row>
    <row r="292" spans="1:6" ht="184.8" x14ac:dyDescent="0.25">
      <c r="B292" s="59" t="s">
        <v>372</v>
      </c>
      <c r="C292" s="2" t="s">
        <v>8</v>
      </c>
      <c r="D292" s="51">
        <v>4</v>
      </c>
      <c r="E292" s="34">
        <v>149</v>
      </c>
      <c r="F292" s="3">
        <f t="shared" ref="F292:F293" si="29">D292*$E292</f>
        <v>596</v>
      </c>
    </row>
    <row r="293" spans="1:6" ht="277.2" x14ac:dyDescent="0.25">
      <c r="A293" s="32" t="s">
        <v>32</v>
      </c>
      <c r="B293" s="1" t="s">
        <v>373</v>
      </c>
      <c r="C293" s="2" t="s">
        <v>8</v>
      </c>
      <c r="D293" s="51">
        <v>17</v>
      </c>
      <c r="E293" s="34">
        <v>96</v>
      </c>
      <c r="F293" s="3">
        <f t="shared" si="29"/>
        <v>1632</v>
      </c>
    </row>
    <row r="294" spans="1:6" ht="303.60000000000002" x14ac:dyDescent="0.25">
      <c r="A294" s="32" t="s">
        <v>33</v>
      </c>
      <c r="B294" s="1" t="s">
        <v>374</v>
      </c>
      <c r="C294" s="2" t="s">
        <v>8</v>
      </c>
      <c r="D294" s="51">
        <v>4</v>
      </c>
      <c r="E294" s="34">
        <v>75</v>
      </c>
      <c r="F294" s="3">
        <f t="shared" si="28"/>
        <v>300</v>
      </c>
    </row>
    <row r="295" spans="1:6" ht="39.6" x14ac:dyDescent="0.25">
      <c r="A295" s="32" t="s">
        <v>53</v>
      </c>
      <c r="B295" s="1" t="s">
        <v>375</v>
      </c>
      <c r="D295" s="51"/>
    </row>
    <row r="296" spans="1:6" x14ac:dyDescent="0.25">
      <c r="A296" s="32" t="s">
        <v>61</v>
      </c>
      <c r="B296" s="59" t="s">
        <v>376</v>
      </c>
      <c r="C296" s="2" t="s">
        <v>8</v>
      </c>
      <c r="D296" s="51">
        <v>16</v>
      </c>
      <c r="E296" s="34">
        <v>18</v>
      </c>
      <c r="F296" s="3">
        <f t="shared" ref="F296:F304" si="30">D296*$E296</f>
        <v>288</v>
      </c>
    </row>
    <row r="297" spans="1:6" x14ac:dyDescent="0.25">
      <c r="A297" s="32" t="s">
        <v>62</v>
      </c>
      <c r="B297" s="1" t="s">
        <v>377</v>
      </c>
      <c r="C297" s="2" t="s">
        <v>8</v>
      </c>
      <c r="D297" s="51">
        <v>3</v>
      </c>
      <c r="E297" s="34">
        <v>25</v>
      </c>
      <c r="F297" s="3">
        <f t="shared" si="30"/>
        <v>75</v>
      </c>
    </row>
    <row r="298" spans="1:6" x14ac:dyDescent="0.25">
      <c r="A298" s="32" t="s">
        <v>63</v>
      </c>
      <c r="B298" s="1" t="s">
        <v>378</v>
      </c>
      <c r="C298" s="2" t="s">
        <v>8</v>
      </c>
      <c r="D298" s="51">
        <v>3</v>
      </c>
      <c r="E298" s="34">
        <v>28</v>
      </c>
      <c r="F298" s="3">
        <f t="shared" si="30"/>
        <v>84</v>
      </c>
    </row>
    <row r="299" spans="1:6" x14ac:dyDescent="0.25">
      <c r="A299" s="32" t="s">
        <v>64</v>
      </c>
      <c r="B299" s="1" t="s">
        <v>379</v>
      </c>
      <c r="C299" s="2" t="s">
        <v>8</v>
      </c>
      <c r="D299" s="51">
        <v>2</v>
      </c>
      <c r="E299" s="34">
        <v>31</v>
      </c>
      <c r="F299" s="3">
        <f t="shared" si="30"/>
        <v>62</v>
      </c>
    </row>
    <row r="300" spans="1:6" x14ac:dyDescent="0.25">
      <c r="A300" s="32" t="s">
        <v>103</v>
      </c>
      <c r="B300" s="1" t="s">
        <v>380</v>
      </c>
      <c r="C300" s="2" t="s">
        <v>8</v>
      </c>
      <c r="D300" s="51">
        <v>2</v>
      </c>
      <c r="E300" s="34">
        <v>32</v>
      </c>
      <c r="F300" s="3">
        <f t="shared" si="30"/>
        <v>64</v>
      </c>
    </row>
    <row r="301" spans="1:6" x14ac:dyDescent="0.25">
      <c r="A301" s="32" t="s">
        <v>115</v>
      </c>
      <c r="B301" s="1" t="s">
        <v>381</v>
      </c>
      <c r="C301" s="2" t="s">
        <v>8</v>
      </c>
      <c r="D301" s="51">
        <v>4</v>
      </c>
      <c r="E301" s="34">
        <v>15</v>
      </c>
      <c r="F301" s="3">
        <f t="shared" si="30"/>
        <v>60</v>
      </c>
    </row>
    <row r="302" spans="1:6" x14ac:dyDescent="0.25">
      <c r="A302" s="32" t="s">
        <v>116</v>
      </c>
      <c r="B302" s="1" t="s">
        <v>382</v>
      </c>
      <c r="C302" s="2" t="s">
        <v>8</v>
      </c>
      <c r="D302" s="51">
        <v>28</v>
      </c>
      <c r="E302" s="34">
        <v>15</v>
      </c>
      <c r="F302" s="3">
        <f t="shared" si="30"/>
        <v>420</v>
      </c>
    </row>
    <row r="303" spans="1:6" x14ac:dyDescent="0.25">
      <c r="A303" s="32" t="s">
        <v>117</v>
      </c>
      <c r="B303" s="1" t="s">
        <v>383</v>
      </c>
      <c r="C303" s="2" t="s">
        <v>8</v>
      </c>
      <c r="D303" s="51">
        <v>4</v>
      </c>
      <c r="E303" s="34">
        <v>65</v>
      </c>
      <c r="F303" s="3">
        <f t="shared" si="30"/>
        <v>260</v>
      </c>
    </row>
    <row r="304" spans="1:6" ht="52.8" x14ac:dyDescent="0.25">
      <c r="A304" s="32" t="s">
        <v>54</v>
      </c>
      <c r="B304" s="1" t="s">
        <v>384</v>
      </c>
      <c r="C304" s="2" t="s">
        <v>10</v>
      </c>
      <c r="D304" s="3">
        <v>95</v>
      </c>
      <c r="E304" s="34">
        <v>25</v>
      </c>
      <c r="F304" s="3">
        <f t="shared" si="30"/>
        <v>2375</v>
      </c>
    </row>
    <row r="305" spans="1:6" ht="39.6" x14ac:dyDescent="0.25">
      <c r="A305" s="32" t="s">
        <v>55</v>
      </c>
      <c r="B305" s="1" t="s">
        <v>385</v>
      </c>
      <c r="D305" s="51"/>
    </row>
    <row r="306" spans="1:6" x14ac:dyDescent="0.25">
      <c r="A306" s="32" t="s">
        <v>61</v>
      </c>
      <c r="B306" s="59" t="s">
        <v>386</v>
      </c>
      <c r="C306" s="2" t="s">
        <v>10</v>
      </c>
      <c r="D306" s="3">
        <v>480</v>
      </c>
      <c r="E306" s="34">
        <v>4</v>
      </c>
      <c r="F306" s="3">
        <f t="shared" ref="F306:F307" si="31">D306*$E306</f>
        <v>1920</v>
      </c>
    </row>
    <row r="307" spans="1:6" ht="26.4" x14ac:dyDescent="0.25">
      <c r="A307" s="32" t="s">
        <v>62</v>
      </c>
      <c r="B307" s="1" t="s">
        <v>387</v>
      </c>
      <c r="C307" s="2" t="s">
        <v>46</v>
      </c>
      <c r="D307" s="51">
        <v>25</v>
      </c>
      <c r="E307" s="34">
        <v>5</v>
      </c>
      <c r="F307" s="3">
        <f t="shared" si="31"/>
        <v>125</v>
      </c>
    </row>
    <row r="308" spans="1:6" ht="26.4" x14ac:dyDescent="0.25">
      <c r="A308" s="32" t="s">
        <v>56</v>
      </c>
      <c r="B308" s="1" t="s">
        <v>388</v>
      </c>
      <c r="C308" s="2" t="s">
        <v>8</v>
      </c>
      <c r="D308" s="51">
        <v>11</v>
      </c>
      <c r="E308" s="34">
        <v>30</v>
      </c>
      <c r="F308" s="3">
        <f t="shared" si="28"/>
        <v>330</v>
      </c>
    </row>
    <row r="309" spans="1:6" x14ac:dyDescent="0.25">
      <c r="B309" s="35" t="s">
        <v>391</v>
      </c>
      <c r="C309" s="6"/>
      <c r="D309" s="6"/>
      <c r="E309" s="21"/>
      <c r="F309" s="42">
        <f>SUM(F290:F308)</f>
        <v>13071</v>
      </c>
    </row>
    <row r="310" spans="1:6" x14ac:dyDescent="0.25">
      <c r="D310" s="51"/>
    </row>
    <row r="311" spans="1:6" x14ac:dyDescent="0.25">
      <c r="A311" s="35" t="s">
        <v>13</v>
      </c>
      <c r="B311" s="68" t="s">
        <v>393</v>
      </c>
      <c r="C311" s="41"/>
      <c r="D311" s="41"/>
      <c r="E311" s="62"/>
      <c r="F311" s="41"/>
    </row>
    <row r="312" spans="1:6" ht="39.6" x14ac:dyDescent="0.25">
      <c r="A312" s="32" t="s">
        <v>34</v>
      </c>
      <c r="B312" s="1" t="s">
        <v>394</v>
      </c>
      <c r="C312" s="2" t="s">
        <v>8</v>
      </c>
      <c r="D312" s="51">
        <v>1</v>
      </c>
      <c r="E312" s="34">
        <v>425</v>
      </c>
      <c r="F312" s="3">
        <f t="shared" ref="F312:F316" si="32">D312*$E312</f>
        <v>425</v>
      </c>
    </row>
    <row r="313" spans="1:6" ht="26.4" x14ac:dyDescent="0.25">
      <c r="A313" s="32" t="s">
        <v>43</v>
      </c>
      <c r="B313" s="59" t="s">
        <v>395</v>
      </c>
      <c r="C313" s="2" t="s">
        <v>10</v>
      </c>
      <c r="D313" s="3">
        <v>45</v>
      </c>
      <c r="E313" s="34">
        <v>2.98</v>
      </c>
      <c r="F313" s="3">
        <f t="shared" si="32"/>
        <v>134.1</v>
      </c>
    </row>
    <row r="314" spans="1:6" ht="26.4" x14ac:dyDescent="0.25">
      <c r="A314" s="32" t="s">
        <v>44</v>
      </c>
      <c r="B314" s="1" t="s">
        <v>396</v>
      </c>
      <c r="C314" s="2" t="s">
        <v>10</v>
      </c>
      <c r="D314" s="3">
        <v>40</v>
      </c>
      <c r="E314" s="34">
        <v>5</v>
      </c>
      <c r="F314" s="3">
        <f t="shared" si="32"/>
        <v>200</v>
      </c>
    </row>
    <row r="315" spans="1:6" ht="26.4" x14ac:dyDescent="0.25">
      <c r="A315" s="32" t="s">
        <v>69</v>
      </c>
      <c r="B315" s="1" t="s">
        <v>397</v>
      </c>
      <c r="C315" s="2" t="s">
        <v>8</v>
      </c>
      <c r="D315" s="51">
        <v>3</v>
      </c>
      <c r="E315" s="34">
        <v>35</v>
      </c>
      <c r="F315" s="3">
        <f t="shared" si="32"/>
        <v>105</v>
      </c>
    </row>
    <row r="316" spans="1:6" ht="26.4" x14ac:dyDescent="0.25">
      <c r="A316" s="32" t="s">
        <v>78</v>
      </c>
      <c r="B316" s="1" t="s">
        <v>388</v>
      </c>
      <c r="C316" s="2" t="s">
        <v>8</v>
      </c>
      <c r="D316" s="51">
        <v>3</v>
      </c>
      <c r="E316" s="34">
        <v>25</v>
      </c>
      <c r="F316" s="3">
        <f t="shared" si="32"/>
        <v>75</v>
      </c>
    </row>
    <row r="317" spans="1:6" x14ac:dyDescent="0.25">
      <c r="B317" s="35" t="s">
        <v>398</v>
      </c>
      <c r="C317" s="6"/>
      <c r="D317" s="6"/>
      <c r="E317" s="21"/>
      <c r="F317" s="42">
        <f>SUM(F312:F316)</f>
        <v>939.1</v>
      </c>
    </row>
    <row r="318" spans="1:6" x14ac:dyDescent="0.25">
      <c r="D318" s="51"/>
    </row>
    <row r="319" spans="1:6" x14ac:dyDescent="0.25">
      <c r="A319" s="35" t="s">
        <v>14</v>
      </c>
      <c r="B319" s="68" t="s">
        <v>399</v>
      </c>
      <c r="C319" s="41"/>
      <c r="D319" s="41"/>
      <c r="E319" s="62"/>
      <c r="F319" s="41"/>
    </row>
    <row r="320" spans="1:6" ht="39.6" x14ac:dyDescent="0.25">
      <c r="A320" s="32" t="s">
        <v>35</v>
      </c>
      <c r="B320" s="1" t="s">
        <v>400</v>
      </c>
      <c r="C320" s="2" t="s">
        <v>46</v>
      </c>
      <c r="D320" s="51">
        <v>1</v>
      </c>
      <c r="E320" s="34">
        <v>350</v>
      </c>
      <c r="F320" s="3">
        <f t="shared" ref="F320:F322" si="33">D320*$E320</f>
        <v>350</v>
      </c>
    </row>
    <row r="321" spans="1:6" ht="39.6" x14ac:dyDescent="0.25">
      <c r="A321" s="32" t="s">
        <v>36</v>
      </c>
      <c r="B321" s="59" t="s">
        <v>401</v>
      </c>
      <c r="C321" s="2" t="s">
        <v>10</v>
      </c>
      <c r="D321" s="3">
        <v>20</v>
      </c>
      <c r="E321" s="34">
        <v>3</v>
      </c>
      <c r="F321" s="3">
        <f t="shared" si="33"/>
        <v>60</v>
      </c>
    </row>
    <row r="322" spans="1:6" ht="52.8" x14ac:dyDescent="0.25">
      <c r="A322" s="32" t="s">
        <v>37</v>
      </c>
      <c r="B322" s="1" t="s">
        <v>402</v>
      </c>
      <c r="C322" s="2" t="s">
        <v>8</v>
      </c>
      <c r="D322" s="51">
        <v>1</v>
      </c>
      <c r="E322" s="34">
        <v>45</v>
      </c>
      <c r="F322" s="3">
        <f t="shared" si="33"/>
        <v>45</v>
      </c>
    </row>
    <row r="323" spans="1:6" x14ac:dyDescent="0.25">
      <c r="B323" s="35" t="s">
        <v>403</v>
      </c>
      <c r="C323" s="6"/>
      <c r="D323" s="6"/>
      <c r="E323" s="21"/>
      <c r="F323" s="42">
        <f>SUM(F320:F322)</f>
        <v>455</v>
      </c>
    </row>
    <row r="324" spans="1:6" x14ac:dyDescent="0.25">
      <c r="D324" s="51"/>
    </row>
    <row r="325" spans="1:6" x14ac:dyDescent="0.25">
      <c r="A325" s="35" t="s">
        <v>15</v>
      </c>
      <c r="B325" s="68" t="s">
        <v>404</v>
      </c>
      <c r="C325" s="41"/>
      <c r="D325" s="41"/>
      <c r="E325" s="62"/>
      <c r="F325" s="41"/>
    </row>
    <row r="326" spans="1:6" ht="26.4" x14ac:dyDescent="0.25">
      <c r="A326" s="32" t="s">
        <v>39</v>
      </c>
      <c r="B326" s="1" t="s">
        <v>405</v>
      </c>
      <c r="C326" s="2" t="s">
        <v>9</v>
      </c>
      <c r="D326" s="3">
        <v>55</v>
      </c>
      <c r="E326" s="34">
        <v>20</v>
      </c>
      <c r="F326" s="3">
        <f t="shared" ref="F326:F332" si="34">D326*$E326</f>
        <v>1100</v>
      </c>
    </row>
    <row r="327" spans="1:6" ht="26.4" x14ac:dyDescent="0.25">
      <c r="A327" s="32" t="s">
        <v>40</v>
      </c>
      <c r="B327" s="1" t="s">
        <v>406</v>
      </c>
      <c r="C327" s="2" t="s">
        <v>8</v>
      </c>
      <c r="D327" s="51">
        <v>6</v>
      </c>
      <c r="E327" s="34">
        <v>65</v>
      </c>
      <c r="F327" s="3">
        <f t="shared" si="34"/>
        <v>390</v>
      </c>
    </row>
    <row r="328" spans="1:6" ht="39.6" x14ac:dyDescent="0.25">
      <c r="A328" s="32" t="s">
        <v>70</v>
      </c>
      <c r="B328" s="59" t="s">
        <v>407</v>
      </c>
      <c r="C328" s="2" t="s">
        <v>10</v>
      </c>
      <c r="D328" s="3">
        <v>115</v>
      </c>
      <c r="E328" s="34">
        <v>15</v>
      </c>
      <c r="F328" s="3">
        <f t="shared" si="34"/>
        <v>1725</v>
      </c>
    </row>
    <row r="329" spans="1:6" ht="26.4" x14ac:dyDescent="0.25">
      <c r="A329" s="32" t="s">
        <v>71</v>
      </c>
      <c r="B329" s="1" t="s">
        <v>408</v>
      </c>
      <c r="C329" s="2" t="s">
        <v>10</v>
      </c>
      <c r="D329" s="3">
        <v>35</v>
      </c>
      <c r="E329" s="34">
        <v>12</v>
      </c>
      <c r="F329" s="3">
        <f t="shared" si="34"/>
        <v>420</v>
      </c>
    </row>
    <row r="330" spans="1:6" ht="26.4" x14ac:dyDescent="0.25">
      <c r="A330" s="32" t="s">
        <v>72</v>
      </c>
      <c r="B330" s="1" t="s">
        <v>409</v>
      </c>
      <c r="C330" s="2" t="s">
        <v>10</v>
      </c>
      <c r="D330" s="3">
        <v>95</v>
      </c>
      <c r="E330" s="34">
        <v>12</v>
      </c>
      <c r="F330" s="3">
        <f t="shared" si="34"/>
        <v>1140</v>
      </c>
    </row>
    <row r="331" spans="1:6" x14ac:dyDescent="0.25">
      <c r="A331" s="32" t="s">
        <v>73</v>
      </c>
      <c r="B331" s="1" t="s">
        <v>410</v>
      </c>
      <c r="C331" s="2" t="s">
        <v>8</v>
      </c>
      <c r="D331" s="51">
        <v>20</v>
      </c>
      <c r="E331" s="34">
        <v>14</v>
      </c>
      <c r="F331" s="3">
        <f t="shared" si="34"/>
        <v>280</v>
      </c>
    </row>
    <row r="332" spans="1:6" x14ac:dyDescent="0.25">
      <c r="A332" s="32" t="s">
        <v>165</v>
      </c>
      <c r="B332" s="1" t="s">
        <v>411</v>
      </c>
      <c r="C332" s="2" t="s">
        <v>8</v>
      </c>
      <c r="D332" s="51">
        <v>6</v>
      </c>
      <c r="E332" s="34">
        <v>25</v>
      </c>
      <c r="F332" s="3">
        <f t="shared" si="34"/>
        <v>150</v>
      </c>
    </row>
    <row r="333" spans="1:6" x14ac:dyDescent="0.25">
      <c r="B333" s="35" t="s">
        <v>412</v>
      </c>
      <c r="C333" s="6"/>
      <c r="D333" s="6"/>
      <c r="E333" s="21"/>
      <c r="F333" s="42">
        <f>SUM(F326:F332)</f>
        <v>5205</v>
      </c>
    </row>
    <row r="334" spans="1:6" x14ac:dyDescent="0.25">
      <c r="D334" s="51"/>
    </row>
    <row r="335" spans="1:6" x14ac:dyDescent="0.25">
      <c r="A335" s="35" t="s">
        <v>16</v>
      </c>
      <c r="B335" s="68" t="s">
        <v>413</v>
      </c>
      <c r="C335" s="41"/>
      <c r="D335" s="41"/>
      <c r="E335" s="62"/>
      <c r="F335" s="41"/>
    </row>
    <row r="336" spans="1:6" ht="52.8" x14ac:dyDescent="0.25">
      <c r="A336" s="32" t="s">
        <v>41</v>
      </c>
      <c r="B336" s="1" t="s">
        <v>414</v>
      </c>
      <c r="C336" s="2" t="s">
        <v>9</v>
      </c>
      <c r="D336" s="3">
        <v>490</v>
      </c>
      <c r="E336" s="34">
        <v>15</v>
      </c>
      <c r="F336" s="3">
        <f t="shared" ref="F336:F349" si="35">D336*$E336</f>
        <v>7350</v>
      </c>
    </row>
    <row r="337" spans="1:6" x14ac:dyDescent="0.25">
      <c r="A337" s="32" t="s">
        <v>262</v>
      </c>
      <c r="B337" s="1" t="s">
        <v>415</v>
      </c>
      <c r="C337" s="2" t="s">
        <v>7</v>
      </c>
      <c r="D337" s="3">
        <v>490</v>
      </c>
      <c r="E337" s="34">
        <v>2</v>
      </c>
      <c r="F337" s="3">
        <f t="shared" si="35"/>
        <v>980</v>
      </c>
    </row>
    <row r="338" spans="1:6" ht="26.4" x14ac:dyDescent="0.25">
      <c r="A338" s="32" t="s">
        <v>264</v>
      </c>
      <c r="B338" s="1" t="s">
        <v>416</v>
      </c>
      <c r="C338" s="2" t="s">
        <v>9</v>
      </c>
      <c r="D338" s="3">
        <v>73.5</v>
      </c>
      <c r="E338" s="34">
        <v>50</v>
      </c>
      <c r="F338" s="3">
        <f t="shared" si="35"/>
        <v>3675</v>
      </c>
    </row>
    <row r="339" spans="1:6" x14ac:dyDescent="0.25">
      <c r="A339" s="32" t="s">
        <v>266</v>
      </c>
      <c r="B339" s="1" t="s">
        <v>417</v>
      </c>
      <c r="C339" s="2" t="s">
        <v>8</v>
      </c>
      <c r="D339" s="51">
        <v>580</v>
      </c>
      <c r="E339" s="34">
        <v>1</v>
      </c>
      <c r="F339" s="3">
        <f t="shared" si="35"/>
        <v>580</v>
      </c>
    </row>
    <row r="340" spans="1:6" ht="26.4" x14ac:dyDescent="0.25">
      <c r="A340" s="32" t="s">
        <v>268</v>
      </c>
      <c r="B340" s="59" t="s">
        <v>418</v>
      </c>
      <c r="C340" s="2" t="s">
        <v>10</v>
      </c>
      <c r="D340" s="3">
        <v>2300</v>
      </c>
      <c r="E340" s="34">
        <v>4</v>
      </c>
      <c r="F340" s="3">
        <f t="shared" si="35"/>
        <v>9200</v>
      </c>
    </row>
    <row r="341" spans="1:6" ht="26.4" x14ac:dyDescent="0.25">
      <c r="A341" s="32" t="s">
        <v>270</v>
      </c>
      <c r="B341" s="1" t="s">
        <v>419</v>
      </c>
      <c r="C341" s="2" t="s">
        <v>10</v>
      </c>
      <c r="D341" s="3">
        <v>2300</v>
      </c>
      <c r="E341" s="34">
        <v>3</v>
      </c>
      <c r="F341" s="3">
        <f t="shared" si="35"/>
        <v>6900</v>
      </c>
    </row>
    <row r="342" spans="1:6" ht="39.6" x14ac:dyDescent="0.25">
      <c r="A342" s="32" t="s">
        <v>420</v>
      </c>
      <c r="B342" s="1" t="s">
        <v>421</v>
      </c>
      <c r="C342" s="2" t="s">
        <v>9</v>
      </c>
      <c r="D342" s="3">
        <v>416.5</v>
      </c>
      <c r="E342" s="34">
        <v>10</v>
      </c>
      <c r="F342" s="3">
        <f t="shared" si="35"/>
        <v>4165</v>
      </c>
    </row>
    <row r="343" spans="1:6" x14ac:dyDescent="0.25">
      <c r="A343" s="32" t="s">
        <v>422</v>
      </c>
      <c r="B343" s="1" t="s">
        <v>423</v>
      </c>
      <c r="C343" s="2" t="s">
        <v>9</v>
      </c>
      <c r="D343" s="3">
        <v>0.8</v>
      </c>
      <c r="E343" s="34">
        <v>50</v>
      </c>
      <c r="F343" s="3">
        <f t="shared" si="35"/>
        <v>40</v>
      </c>
    </row>
    <row r="344" spans="1:6" x14ac:dyDescent="0.25">
      <c r="A344" s="32" t="s">
        <v>424</v>
      </c>
      <c r="B344" s="1" t="s">
        <v>425</v>
      </c>
      <c r="C344" s="2" t="s">
        <v>9</v>
      </c>
      <c r="D344" s="3">
        <v>0.6</v>
      </c>
      <c r="E344" s="34">
        <v>50</v>
      </c>
      <c r="F344" s="3">
        <f t="shared" si="35"/>
        <v>30</v>
      </c>
    </row>
    <row r="345" spans="1:6" ht="26.4" x14ac:dyDescent="0.25">
      <c r="A345" s="32" t="s">
        <v>426</v>
      </c>
      <c r="B345" s="1" t="s">
        <v>427</v>
      </c>
      <c r="C345" s="2" t="s">
        <v>9</v>
      </c>
      <c r="D345" s="3">
        <v>1.6</v>
      </c>
      <c r="E345" s="34">
        <v>50</v>
      </c>
      <c r="F345" s="3">
        <f t="shared" si="35"/>
        <v>80</v>
      </c>
    </row>
    <row r="346" spans="1:6" ht="92.4" x14ac:dyDescent="0.25">
      <c r="A346" s="32" t="s">
        <v>428</v>
      </c>
      <c r="B346" s="1" t="s">
        <v>429</v>
      </c>
      <c r="C346" s="2" t="s">
        <v>8</v>
      </c>
      <c r="D346" s="51">
        <v>10</v>
      </c>
      <c r="E346" s="34">
        <v>1000</v>
      </c>
      <c r="F346" s="3">
        <f t="shared" si="35"/>
        <v>10000</v>
      </c>
    </row>
    <row r="347" spans="1:6" ht="92.4" x14ac:dyDescent="0.25">
      <c r="A347" s="32" t="s">
        <v>430</v>
      </c>
      <c r="B347" s="1" t="s">
        <v>431</v>
      </c>
      <c r="C347" s="2" t="s">
        <v>8</v>
      </c>
      <c r="D347" s="51">
        <v>6</v>
      </c>
      <c r="E347" s="34">
        <v>800</v>
      </c>
      <c r="F347" s="3">
        <f t="shared" si="35"/>
        <v>4800</v>
      </c>
    </row>
    <row r="348" spans="1:6" ht="92.4" x14ac:dyDescent="0.25">
      <c r="A348" s="32" t="s">
        <v>432</v>
      </c>
      <c r="B348" s="1" t="s">
        <v>433</v>
      </c>
      <c r="C348" s="2" t="s">
        <v>46</v>
      </c>
      <c r="D348" s="51">
        <v>1</v>
      </c>
      <c r="E348" s="34">
        <v>200</v>
      </c>
      <c r="F348" s="3">
        <f t="shared" si="35"/>
        <v>200</v>
      </c>
    </row>
    <row r="349" spans="1:6" ht="66" x14ac:dyDescent="0.25">
      <c r="A349" s="32" t="s">
        <v>434</v>
      </c>
      <c r="B349" s="1" t="s">
        <v>435</v>
      </c>
      <c r="C349" s="2" t="s">
        <v>9</v>
      </c>
      <c r="D349" s="3">
        <v>73.5</v>
      </c>
      <c r="E349" s="34">
        <v>20</v>
      </c>
      <c r="F349" s="3">
        <f t="shared" si="35"/>
        <v>1470</v>
      </c>
    </row>
    <row r="350" spans="1:6" x14ac:dyDescent="0.25">
      <c r="B350" s="35" t="s">
        <v>436</v>
      </c>
      <c r="C350" s="6"/>
      <c r="D350" s="6"/>
      <c r="E350" s="21"/>
      <c r="F350" s="42">
        <f>SUM(F336:F349)</f>
        <v>49470</v>
      </c>
    </row>
    <row r="351" spans="1:6" x14ac:dyDescent="0.25">
      <c r="D351" s="51"/>
    </row>
    <row r="352" spans="1:6" x14ac:dyDescent="0.25">
      <c r="A352" s="35" t="s">
        <v>17</v>
      </c>
      <c r="B352" s="68" t="s">
        <v>437</v>
      </c>
      <c r="C352" s="41"/>
      <c r="D352" s="41"/>
      <c r="E352" s="62"/>
      <c r="F352" s="41"/>
    </row>
    <row r="353" spans="1:6" ht="105.6" x14ac:dyDescent="0.25">
      <c r="A353" s="32" t="s">
        <v>42</v>
      </c>
      <c r="B353" s="1" t="s">
        <v>438</v>
      </c>
      <c r="C353" s="2" t="s">
        <v>8</v>
      </c>
      <c r="D353" s="51">
        <v>12</v>
      </c>
      <c r="E353" s="34">
        <v>710</v>
      </c>
      <c r="F353" s="69" t="s">
        <v>550</v>
      </c>
    </row>
    <row r="354" spans="1:6" ht="145.19999999999999" x14ac:dyDescent="0.25">
      <c r="A354" s="32" t="s">
        <v>57</v>
      </c>
      <c r="B354" s="1" t="s">
        <v>439</v>
      </c>
      <c r="C354" s="2" t="s">
        <v>8</v>
      </c>
      <c r="D354" s="51">
        <v>1</v>
      </c>
      <c r="E354" s="34">
        <v>2100</v>
      </c>
      <c r="F354" s="3">
        <f t="shared" ref="F354:F369" si="36">D354*$E354</f>
        <v>2100</v>
      </c>
    </row>
    <row r="355" spans="1:6" ht="132" x14ac:dyDescent="0.25">
      <c r="A355" s="32" t="s">
        <v>58</v>
      </c>
      <c r="B355" s="1" t="s">
        <v>440</v>
      </c>
      <c r="C355" s="2" t="s">
        <v>8</v>
      </c>
      <c r="D355" s="51">
        <v>2</v>
      </c>
      <c r="E355" s="34">
        <v>1650</v>
      </c>
      <c r="F355" s="3">
        <f t="shared" si="36"/>
        <v>3300</v>
      </c>
    </row>
    <row r="356" spans="1:6" ht="26.4" x14ac:dyDescent="0.25">
      <c r="A356" s="32" t="s">
        <v>120</v>
      </c>
      <c r="B356" s="1" t="s">
        <v>441</v>
      </c>
      <c r="C356" s="2" t="s">
        <v>8</v>
      </c>
      <c r="D356" s="51">
        <v>1</v>
      </c>
      <c r="E356" s="34">
        <v>300</v>
      </c>
      <c r="F356" s="3">
        <f t="shared" si="36"/>
        <v>300</v>
      </c>
    </row>
    <row r="357" spans="1:6" ht="26.4" x14ac:dyDescent="0.25">
      <c r="A357" s="32" t="s">
        <v>121</v>
      </c>
      <c r="B357" s="1" t="s">
        <v>442</v>
      </c>
      <c r="C357" s="2" t="s">
        <v>8</v>
      </c>
      <c r="D357" s="51">
        <v>2</v>
      </c>
      <c r="E357" s="34">
        <v>240</v>
      </c>
      <c r="F357" s="3">
        <f t="shared" si="36"/>
        <v>480</v>
      </c>
    </row>
    <row r="358" spans="1:6" ht="92.4" x14ac:dyDescent="0.25">
      <c r="A358" s="32" t="s">
        <v>122</v>
      </c>
      <c r="B358" s="1" t="s">
        <v>443</v>
      </c>
      <c r="C358" s="2" t="s">
        <v>8</v>
      </c>
      <c r="D358" s="51">
        <v>3</v>
      </c>
      <c r="E358" s="34">
        <v>155</v>
      </c>
      <c r="F358" s="3">
        <f t="shared" si="36"/>
        <v>465</v>
      </c>
    </row>
    <row r="359" spans="1:6" ht="39.6" x14ac:dyDescent="0.25">
      <c r="A359" s="32" t="s">
        <v>123</v>
      </c>
      <c r="B359" s="1" t="s">
        <v>444</v>
      </c>
      <c r="C359" s="2" t="s">
        <v>8</v>
      </c>
      <c r="D359" s="51">
        <v>2</v>
      </c>
      <c r="E359" s="34">
        <v>125</v>
      </c>
      <c r="F359" s="3">
        <f t="shared" si="36"/>
        <v>250</v>
      </c>
    </row>
    <row r="360" spans="1:6" x14ac:dyDescent="0.25">
      <c r="A360" s="32" t="s">
        <v>124</v>
      </c>
      <c r="B360" s="1" t="s">
        <v>445</v>
      </c>
      <c r="C360" s="2" t="s">
        <v>8</v>
      </c>
      <c r="D360" s="51">
        <v>2</v>
      </c>
      <c r="E360" s="34">
        <v>15</v>
      </c>
      <c r="F360" s="3">
        <f t="shared" si="36"/>
        <v>30</v>
      </c>
    </row>
    <row r="361" spans="1:6" ht="26.4" x14ac:dyDescent="0.25">
      <c r="A361" s="32" t="s">
        <v>125</v>
      </c>
      <c r="B361" s="1" t="s">
        <v>446</v>
      </c>
      <c r="C361" s="2" t="s">
        <v>8</v>
      </c>
      <c r="D361" s="51">
        <v>1</v>
      </c>
      <c r="E361" s="34">
        <v>610</v>
      </c>
      <c r="F361" s="3">
        <f t="shared" si="36"/>
        <v>610</v>
      </c>
    </row>
    <row r="362" spans="1:6" x14ac:dyDescent="0.25">
      <c r="A362" s="32" t="s">
        <v>126</v>
      </c>
      <c r="B362" s="1" t="s">
        <v>447</v>
      </c>
      <c r="C362" s="2" t="s">
        <v>8</v>
      </c>
      <c r="D362" s="51">
        <v>2</v>
      </c>
      <c r="E362" s="34">
        <v>550</v>
      </c>
      <c r="F362" s="3">
        <f t="shared" si="36"/>
        <v>1100</v>
      </c>
    </row>
    <row r="363" spans="1:6" x14ac:dyDescent="0.25">
      <c r="A363" s="32" t="s">
        <v>189</v>
      </c>
      <c r="B363" s="1" t="s">
        <v>450</v>
      </c>
      <c r="C363" s="2" t="s">
        <v>10</v>
      </c>
      <c r="D363" s="3">
        <v>10</v>
      </c>
      <c r="E363" s="34">
        <v>4.2</v>
      </c>
      <c r="F363" s="3">
        <f t="shared" si="36"/>
        <v>42</v>
      </c>
    </row>
    <row r="364" spans="1:6" x14ac:dyDescent="0.25">
      <c r="A364" s="32" t="s">
        <v>448</v>
      </c>
      <c r="B364" s="1" t="s">
        <v>451</v>
      </c>
      <c r="C364" s="2" t="s">
        <v>10</v>
      </c>
      <c r="D364" s="3">
        <v>20</v>
      </c>
      <c r="E364" s="34">
        <v>4.55</v>
      </c>
      <c r="F364" s="3">
        <f t="shared" si="36"/>
        <v>91</v>
      </c>
    </row>
    <row r="365" spans="1:6" x14ac:dyDescent="0.25">
      <c r="A365" s="32" t="s">
        <v>449</v>
      </c>
      <c r="B365" s="1" t="s">
        <v>453</v>
      </c>
      <c r="C365" s="2" t="s">
        <v>10</v>
      </c>
      <c r="D365" s="3">
        <v>20</v>
      </c>
      <c r="E365" s="34">
        <v>14</v>
      </c>
      <c r="F365" s="3">
        <f t="shared" si="36"/>
        <v>280</v>
      </c>
    </row>
    <row r="366" spans="1:6" x14ac:dyDescent="0.25">
      <c r="A366" s="32" t="s">
        <v>452</v>
      </c>
      <c r="B366" s="1" t="s">
        <v>456</v>
      </c>
      <c r="C366" s="2" t="s">
        <v>10</v>
      </c>
      <c r="D366" s="3">
        <v>50</v>
      </c>
      <c r="E366" s="34">
        <v>3.55</v>
      </c>
      <c r="F366" s="3">
        <f t="shared" si="36"/>
        <v>177.5</v>
      </c>
    </row>
    <row r="367" spans="1:6" x14ac:dyDescent="0.25">
      <c r="A367" s="32" t="s">
        <v>454</v>
      </c>
      <c r="B367" s="1" t="s">
        <v>457</v>
      </c>
      <c r="C367" s="2" t="s">
        <v>10</v>
      </c>
      <c r="D367" s="3">
        <v>30</v>
      </c>
      <c r="E367" s="34">
        <v>4.2</v>
      </c>
      <c r="F367" s="3">
        <f t="shared" si="36"/>
        <v>126</v>
      </c>
    </row>
    <row r="368" spans="1:6" x14ac:dyDescent="0.25">
      <c r="A368" s="32" t="s">
        <v>455</v>
      </c>
      <c r="B368" s="1" t="s">
        <v>459</v>
      </c>
      <c r="C368" s="2" t="s">
        <v>10</v>
      </c>
      <c r="D368" s="3">
        <v>10</v>
      </c>
      <c r="E368" s="34">
        <v>4.2</v>
      </c>
      <c r="F368" s="3">
        <f t="shared" si="36"/>
        <v>42</v>
      </c>
    </row>
    <row r="369" spans="1:6" x14ac:dyDescent="0.25">
      <c r="A369" s="32" t="s">
        <v>458</v>
      </c>
      <c r="B369" s="1" t="s">
        <v>460</v>
      </c>
      <c r="C369" s="2" t="s">
        <v>10</v>
      </c>
      <c r="D369" s="3">
        <v>60</v>
      </c>
      <c r="E369" s="34">
        <v>3.55</v>
      </c>
      <c r="F369" s="3">
        <f t="shared" si="36"/>
        <v>213</v>
      </c>
    </row>
    <row r="370" spans="1:6" x14ac:dyDescent="0.25">
      <c r="B370" s="35" t="s">
        <v>461</v>
      </c>
      <c r="C370" s="6"/>
      <c r="D370" s="6"/>
      <c r="E370" s="21"/>
      <c r="F370" s="42">
        <f>SUM(F354:F369)</f>
        <v>9606.5</v>
      </c>
    </row>
    <row r="371" spans="1:6" x14ac:dyDescent="0.25">
      <c r="D371" s="51"/>
    </row>
    <row r="372" spans="1:6" x14ac:dyDescent="0.25">
      <c r="A372" s="35" t="s">
        <v>18</v>
      </c>
      <c r="B372" s="68" t="s">
        <v>462</v>
      </c>
      <c r="C372" s="41"/>
      <c r="D372" s="41"/>
      <c r="E372" s="62"/>
      <c r="F372" s="41"/>
    </row>
    <row r="373" spans="1:6" ht="184.8" x14ac:dyDescent="0.25">
      <c r="A373" s="32" t="s">
        <v>47</v>
      </c>
      <c r="B373" s="1" t="s">
        <v>463</v>
      </c>
      <c r="C373" s="2" t="s">
        <v>46</v>
      </c>
      <c r="D373" s="51">
        <v>1</v>
      </c>
      <c r="E373" s="34">
        <v>980</v>
      </c>
      <c r="F373" s="3">
        <f t="shared" ref="F373:F397" si="37">D373*$E373</f>
        <v>980</v>
      </c>
    </row>
    <row r="374" spans="1:6" x14ac:dyDescent="0.25">
      <c r="A374" s="32" t="s">
        <v>48</v>
      </c>
      <c r="B374" s="1" t="s">
        <v>464</v>
      </c>
      <c r="C374" s="2" t="s">
        <v>46</v>
      </c>
      <c r="D374" s="51">
        <v>1</v>
      </c>
      <c r="E374" s="34">
        <v>55</v>
      </c>
      <c r="F374" s="3">
        <f t="shared" si="37"/>
        <v>55</v>
      </c>
    </row>
    <row r="375" spans="1:6" ht="39.6" x14ac:dyDescent="0.25">
      <c r="A375" s="32" t="s">
        <v>49</v>
      </c>
      <c r="B375" s="1" t="s">
        <v>465</v>
      </c>
      <c r="C375" s="2" t="s">
        <v>8</v>
      </c>
      <c r="D375" s="51">
        <v>2</v>
      </c>
      <c r="E375" s="34">
        <v>55</v>
      </c>
      <c r="F375" s="3">
        <f t="shared" si="37"/>
        <v>110</v>
      </c>
    </row>
    <row r="376" spans="1:6" ht="171.6" x14ac:dyDescent="0.25">
      <c r="A376" s="32" t="s">
        <v>50</v>
      </c>
      <c r="B376" s="1" t="s">
        <v>466</v>
      </c>
      <c r="C376" s="2" t="s">
        <v>8</v>
      </c>
      <c r="D376" s="51">
        <v>1</v>
      </c>
      <c r="E376" s="34">
        <v>1450</v>
      </c>
      <c r="F376" s="3">
        <f t="shared" si="37"/>
        <v>1450</v>
      </c>
    </row>
    <row r="377" spans="1:6" ht="118.8" x14ac:dyDescent="0.25">
      <c r="A377" s="32" t="s">
        <v>127</v>
      </c>
      <c r="B377" s="1" t="s">
        <v>467</v>
      </c>
      <c r="C377" s="2" t="s">
        <v>8</v>
      </c>
      <c r="D377" s="51">
        <v>1</v>
      </c>
      <c r="E377" s="34">
        <v>355</v>
      </c>
      <c r="F377" s="3">
        <f t="shared" si="37"/>
        <v>355</v>
      </c>
    </row>
    <row r="378" spans="1:6" ht="105.6" x14ac:dyDescent="0.25">
      <c r="A378" s="32" t="s">
        <v>128</v>
      </c>
      <c r="B378" s="1" t="s">
        <v>468</v>
      </c>
      <c r="C378" s="2" t="s">
        <v>8</v>
      </c>
      <c r="D378" s="51">
        <v>1</v>
      </c>
      <c r="E378" s="34">
        <v>55</v>
      </c>
      <c r="F378" s="3">
        <f t="shared" si="37"/>
        <v>55</v>
      </c>
    </row>
    <row r="379" spans="1:6" ht="158.4" x14ac:dyDescent="0.25">
      <c r="A379" s="32" t="s">
        <v>129</v>
      </c>
      <c r="B379" s="1" t="s">
        <v>472</v>
      </c>
      <c r="C379" s="2" t="s">
        <v>8</v>
      </c>
      <c r="D379" s="51">
        <v>9</v>
      </c>
      <c r="E379" s="34">
        <v>55</v>
      </c>
      <c r="F379" s="3">
        <f t="shared" si="37"/>
        <v>495</v>
      </c>
    </row>
    <row r="380" spans="1:6" ht="118.8" x14ac:dyDescent="0.25">
      <c r="A380" s="32" t="s">
        <v>130</v>
      </c>
      <c r="B380" s="1" t="s">
        <v>469</v>
      </c>
      <c r="C380" s="2" t="s">
        <v>8</v>
      </c>
      <c r="D380" s="51">
        <v>3</v>
      </c>
      <c r="E380" s="34">
        <v>78</v>
      </c>
      <c r="F380" s="3">
        <f t="shared" si="37"/>
        <v>234</v>
      </c>
    </row>
    <row r="381" spans="1:6" ht="26.4" x14ac:dyDescent="0.25">
      <c r="A381" s="32" t="s">
        <v>131</v>
      </c>
      <c r="B381" s="1" t="s">
        <v>470</v>
      </c>
      <c r="C381" s="2" t="s">
        <v>8</v>
      </c>
      <c r="D381" s="51">
        <v>3</v>
      </c>
      <c r="E381" s="34">
        <v>20</v>
      </c>
      <c r="F381" s="3">
        <f t="shared" si="37"/>
        <v>60</v>
      </c>
    </row>
    <row r="382" spans="1:6" ht="26.4" x14ac:dyDescent="0.25">
      <c r="A382" s="32" t="s">
        <v>132</v>
      </c>
      <c r="B382" s="1" t="s">
        <v>471</v>
      </c>
      <c r="C382" s="2" t="s">
        <v>8</v>
      </c>
      <c r="D382" s="51">
        <v>3</v>
      </c>
      <c r="E382" s="34">
        <v>5</v>
      </c>
      <c r="F382" s="3">
        <f t="shared" si="37"/>
        <v>15</v>
      </c>
    </row>
    <row r="383" spans="1:6" ht="79.2" x14ac:dyDescent="0.25">
      <c r="A383" s="32" t="s">
        <v>133</v>
      </c>
      <c r="B383" s="1" t="s">
        <v>473</v>
      </c>
      <c r="C383" s="2" t="s">
        <v>8</v>
      </c>
      <c r="D383" s="51">
        <v>2</v>
      </c>
      <c r="E383" s="34">
        <v>110</v>
      </c>
      <c r="F383" s="3">
        <f t="shared" si="37"/>
        <v>220</v>
      </c>
    </row>
    <row r="384" spans="1:6" ht="158.4" x14ac:dyDescent="0.25">
      <c r="A384" s="32" t="s">
        <v>134</v>
      </c>
      <c r="B384" s="1" t="s">
        <v>474</v>
      </c>
      <c r="C384" s="2" t="s">
        <v>8</v>
      </c>
      <c r="D384" s="51">
        <v>2</v>
      </c>
      <c r="E384" s="34">
        <v>165</v>
      </c>
      <c r="F384" s="3">
        <f t="shared" si="37"/>
        <v>330</v>
      </c>
    </row>
    <row r="385" spans="1:6" ht="105.6" x14ac:dyDescent="0.25">
      <c r="A385" s="32" t="s">
        <v>135</v>
      </c>
      <c r="B385" s="1" t="s">
        <v>475</v>
      </c>
      <c r="C385" s="2" t="s">
        <v>8</v>
      </c>
      <c r="D385" s="51">
        <v>2</v>
      </c>
      <c r="E385" s="34">
        <v>110</v>
      </c>
      <c r="F385" s="3">
        <f t="shared" si="37"/>
        <v>220</v>
      </c>
    </row>
    <row r="386" spans="1:6" ht="39.6" x14ac:dyDescent="0.25">
      <c r="A386" s="32" t="s">
        <v>136</v>
      </c>
      <c r="B386" s="1" t="s">
        <v>476</v>
      </c>
      <c r="C386" s="2" t="s">
        <v>8</v>
      </c>
      <c r="D386" s="51">
        <v>14</v>
      </c>
      <c r="E386" s="34">
        <v>20</v>
      </c>
      <c r="F386" s="3">
        <f t="shared" si="37"/>
        <v>280</v>
      </c>
    </row>
    <row r="387" spans="1:6" ht="237.6" x14ac:dyDescent="0.25">
      <c r="A387" s="32" t="s">
        <v>137</v>
      </c>
      <c r="B387" s="1" t="s">
        <v>477</v>
      </c>
      <c r="C387" s="2" t="s">
        <v>8</v>
      </c>
      <c r="D387" s="51">
        <v>1</v>
      </c>
      <c r="E387" s="34">
        <v>135</v>
      </c>
      <c r="F387" s="3">
        <f t="shared" si="37"/>
        <v>135</v>
      </c>
    </row>
    <row r="388" spans="1:6" ht="66" x14ac:dyDescent="0.25">
      <c r="A388" s="32" t="s">
        <v>138</v>
      </c>
      <c r="B388" s="1" t="s">
        <v>478</v>
      </c>
      <c r="C388" s="2" t="s">
        <v>10</v>
      </c>
      <c r="D388" s="3">
        <v>245</v>
      </c>
      <c r="E388" s="34">
        <v>3.55</v>
      </c>
      <c r="F388" s="3">
        <f t="shared" si="37"/>
        <v>869.75</v>
      </c>
    </row>
    <row r="389" spans="1:6" ht="118.8" x14ac:dyDescent="0.25">
      <c r="A389" s="32" t="s">
        <v>139</v>
      </c>
      <c r="B389" s="1" t="s">
        <v>479</v>
      </c>
      <c r="C389" s="2" t="s">
        <v>10</v>
      </c>
      <c r="D389" s="3">
        <v>480</v>
      </c>
      <c r="E389" s="34">
        <v>3.55</v>
      </c>
      <c r="F389" s="3">
        <f t="shared" si="37"/>
        <v>1704</v>
      </c>
    </row>
    <row r="390" spans="1:6" ht="26.4" x14ac:dyDescent="0.25">
      <c r="A390" s="32" t="s">
        <v>480</v>
      </c>
      <c r="B390" s="1" t="s">
        <v>481</v>
      </c>
      <c r="C390" s="2" t="s">
        <v>10</v>
      </c>
      <c r="D390" s="3">
        <v>470</v>
      </c>
      <c r="E390" s="34">
        <v>4.55</v>
      </c>
      <c r="F390" s="3">
        <f t="shared" si="37"/>
        <v>2138.5</v>
      </c>
    </row>
    <row r="391" spans="1:6" ht="39.6" x14ac:dyDescent="0.25">
      <c r="A391" s="32" t="s">
        <v>482</v>
      </c>
      <c r="B391" s="1" t="s">
        <v>483</v>
      </c>
      <c r="C391" s="2" t="s">
        <v>10</v>
      </c>
      <c r="D391" s="3">
        <v>235</v>
      </c>
      <c r="E391" s="34">
        <v>4</v>
      </c>
      <c r="F391" s="3">
        <f t="shared" si="37"/>
        <v>940</v>
      </c>
    </row>
    <row r="392" spans="1:6" ht="39.6" x14ac:dyDescent="0.25">
      <c r="A392" s="32" t="s">
        <v>484</v>
      </c>
      <c r="B392" s="1" t="s">
        <v>485</v>
      </c>
      <c r="C392" s="2" t="s">
        <v>10</v>
      </c>
      <c r="D392" s="3">
        <v>35</v>
      </c>
      <c r="E392" s="34">
        <v>3.55</v>
      </c>
      <c r="F392" s="3">
        <f t="shared" si="37"/>
        <v>124.25</v>
      </c>
    </row>
    <row r="393" spans="1:6" ht="26.4" x14ac:dyDescent="0.25">
      <c r="A393" s="32" t="s">
        <v>486</v>
      </c>
      <c r="B393" s="1" t="s">
        <v>487</v>
      </c>
      <c r="C393" s="2" t="s">
        <v>46</v>
      </c>
      <c r="D393" s="51">
        <v>1</v>
      </c>
      <c r="E393" s="34">
        <v>255</v>
      </c>
      <c r="F393" s="3">
        <f t="shared" si="37"/>
        <v>255</v>
      </c>
    </row>
    <row r="394" spans="1:6" ht="39.6" x14ac:dyDescent="0.25">
      <c r="A394" s="32" t="s">
        <v>488</v>
      </c>
      <c r="B394" s="1" t="s">
        <v>489</v>
      </c>
      <c r="C394" s="2" t="s">
        <v>46</v>
      </c>
      <c r="D394" s="51">
        <v>1</v>
      </c>
      <c r="E394" s="34">
        <v>250</v>
      </c>
      <c r="F394" s="3">
        <f t="shared" si="37"/>
        <v>250</v>
      </c>
    </row>
    <row r="395" spans="1:6" ht="26.4" x14ac:dyDescent="0.25">
      <c r="A395" s="32" t="s">
        <v>490</v>
      </c>
      <c r="B395" s="1" t="s">
        <v>491</v>
      </c>
      <c r="C395" s="2" t="s">
        <v>46</v>
      </c>
      <c r="D395" s="51">
        <v>1</v>
      </c>
      <c r="E395" s="34">
        <v>450</v>
      </c>
      <c r="F395" s="3">
        <f t="shared" si="37"/>
        <v>450</v>
      </c>
    </row>
    <row r="396" spans="1:6" ht="26.4" x14ac:dyDescent="0.25">
      <c r="A396" s="32" t="s">
        <v>492</v>
      </c>
      <c r="B396" s="1" t="s">
        <v>493</v>
      </c>
      <c r="C396" s="2" t="s">
        <v>46</v>
      </c>
      <c r="D396" s="51">
        <v>1</v>
      </c>
      <c r="E396" s="34">
        <v>125</v>
      </c>
      <c r="F396" s="3">
        <f t="shared" si="37"/>
        <v>125</v>
      </c>
    </row>
    <row r="397" spans="1:6" ht="66" x14ac:dyDescent="0.25">
      <c r="A397" s="32" t="s">
        <v>494</v>
      </c>
      <c r="B397" s="1" t="s">
        <v>495</v>
      </c>
      <c r="C397" s="2" t="s">
        <v>46</v>
      </c>
      <c r="D397" s="51">
        <v>1</v>
      </c>
      <c r="E397" s="34">
        <v>950</v>
      </c>
      <c r="F397" s="3">
        <f t="shared" si="37"/>
        <v>950</v>
      </c>
    </row>
    <row r="398" spans="1:6" x14ac:dyDescent="0.25">
      <c r="B398" s="35" t="s">
        <v>496</v>
      </c>
      <c r="C398" s="6"/>
      <c r="D398" s="6"/>
      <c r="E398" s="21"/>
      <c r="F398" s="42">
        <f>SUM(F373:F397)</f>
        <v>12800.5</v>
      </c>
    </row>
    <row r="399" spans="1:6" x14ac:dyDescent="0.25">
      <c r="D399" s="51"/>
    </row>
    <row r="400" spans="1:6" x14ac:dyDescent="0.25">
      <c r="A400" s="35" t="s">
        <v>19</v>
      </c>
      <c r="B400" s="68" t="s">
        <v>497</v>
      </c>
      <c r="C400" s="41"/>
      <c r="D400" s="41"/>
      <c r="E400" s="62"/>
      <c r="F400" s="41"/>
    </row>
    <row r="401" spans="1:6" ht="52.8" x14ac:dyDescent="0.25">
      <c r="A401" s="32" t="s">
        <v>51</v>
      </c>
      <c r="B401" s="1" t="s">
        <v>498</v>
      </c>
      <c r="C401" s="2" t="s">
        <v>46</v>
      </c>
      <c r="D401" s="51">
        <v>1</v>
      </c>
      <c r="E401" s="34">
        <v>600</v>
      </c>
      <c r="F401" s="3">
        <f t="shared" ref="F401:F402" si="38">D401*$E401</f>
        <v>600</v>
      </c>
    </row>
    <row r="402" spans="1:6" ht="52.8" x14ac:dyDescent="0.25">
      <c r="A402" s="32" t="s">
        <v>140</v>
      </c>
      <c r="B402" s="1" t="s">
        <v>499</v>
      </c>
      <c r="C402" s="2" t="s">
        <v>46</v>
      </c>
      <c r="D402" s="51">
        <v>1</v>
      </c>
      <c r="E402" s="34">
        <v>500</v>
      </c>
      <c r="F402" s="3">
        <f t="shared" si="38"/>
        <v>500</v>
      </c>
    </row>
    <row r="403" spans="1:6" x14ac:dyDescent="0.25">
      <c r="B403" s="44" t="s">
        <v>500</v>
      </c>
      <c r="C403" s="6"/>
      <c r="D403" s="6"/>
      <c r="E403" s="21"/>
      <c r="F403" s="42">
        <f>SUM(F401:F402)</f>
        <v>1100</v>
      </c>
    </row>
    <row r="404" spans="1:6" x14ac:dyDescent="0.25">
      <c r="D404" s="51"/>
    </row>
    <row r="405" spans="1:6" x14ac:dyDescent="0.25">
      <c r="D405" s="51"/>
    </row>
    <row r="406" spans="1:6" x14ac:dyDescent="0.25">
      <c r="D406" s="51"/>
    </row>
    <row r="407" spans="1:6" x14ac:dyDescent="0.25">
      <c r="A407" s="45" t="s">
        <v>80</v>
      </c>
      <c r="B407" s="23" t="s">
        <v>502</v>
      </c>
    </row>
    <row r="409" spans="1:6" x14ac:dyDescent="0.25">
      <c r="A409" s="45" t="s">
        <v>6</v>
      </c>
      <c r="B409" s="19" t="s">
        <v>158</v>
      </c>
      <c r="C409" s="22"/>
      <c r="D409" s="42"/>
      <c r="E409" s="49"/>
      <c r="F409" s="42">
        <f>SUM(F270)</f>
        <v>5400</v>
      </c>
    </row>
    <row r="410" spans="1:6" x14ac:dyDescent="0.25">
      <c r="A410" s="45" t="s">
        <v>11</v>
      </c>
      <c r="B410" s="23" t="s">
        <v>389</v>
      </c>
      <c r="C410" s="22"/>
      <c r="D410" s="42"/>
      <c r="E410" s="49"/>
      <c r="F410" s="42">
        <f>SUM(F287)</f>
        <v>42831.45</v>
      </c>
    </row>
    <row r="411" spans="1:6" x14ac:dyDescent="0.25">
      <c r="A411" s="45" t="s">
        <v>12</v>
      </c>
      <c r="B411" s="19" t="s">
        <v>392</v>
      </c>
      <c r="C411" s="22"/>
      <c r="D411" s="42"/>
      <c r="E411" s="49"/>
      <c r="F411" s="42">
        <f>SUM(F309)</f>
        <v>13071</v>
      </c>
    </row>
    <row r="412" spans="1:6" x14ac:dyDescent="0.25">
      <c r="A412" s="45" t="s">
        <v>13</v>
      </c>
      <c r="B412" s="23" t="s">
        <v>393</v>
      </c>
      <c r="C412" s="22"/>
      <c r="D412" s="42"/>
      <c r="E412" s="49"/>
      <c r="F412" s="42">
        <f>SUM(F317)</f>
        <v>939.1</v>
      </c>
    </row>
    <row r="413" spans="1:6" x14ac:dyDescent="0.25">
      <c r="A413" s="45" t="s">
        <v>14</v>
      </c>
      <c r="B413" s="23" t="s">
        <v>399</v>
      </c>
      <c r="C413" s="22"/>
      <c r="D413" s="42"/>
      <c r="E413" s="49"/>
      <c r="F413" s="42">
        <f>SUM(F323)</f>
        <v>455</v>
      </c>
    </row>
    <row r="414" spans="1:6" x14ac:dyDescent="0.25">
      <c r="A414" s="45" t="s">
        <v>15</v>
      </c>
      <c r="B414" s="23" t="s">
        <v>404</v>
      </c>
      <c r="C414" s="22"/>
      <c r="D414" s="42"/>
      <c r="E414" s="49"/>
      <c r="F414" s="42">
        <f>SUM(F333)</f>
        <v>5205</v>
      </c>
    </row>
    <row r="415" spans="1:6" x14ac:dyDescent="0.25">
      <c r="A415" s="45" t="s">
        <v>16</v>
      </c>
      <c r="B415" s="23" t="s">
        <v>413</v>
      </c>
      <c r="C415" s="22"/>
      <c r="D415" s="42"/>
      <c r="E415" s="49"/>
      <c r="F415" s="42">
        <f>SUM(F350)</f>
        <v>49470</v>
      </c>
    </row>
    <row r="416" spans="1:6" x14ac:dyDescent="0.25">
      <c r="A416" s="45" t="s">
        <v>17</v>
      </c>
      <c r="B416" s="23" t="s">
        <v>437</v>
      </c>
      <c r="C416" s="22"/>
      <c r="D416" s="42"/>
      <c r="E416" s="49"/>
      <c r="F416" s="42">
        <f>SUM(F370)</f>
        <v>9606.5</v>
      </c>
    </row>
    <row r="417" spans="1:6" x14ac:dyDescent="0.25">
      <c r="A417" s="45" t="s">
        <v>18</v>
      </c>
      <c r="B417" s="23" t="s">
        <v>462</v>
      </c>
      <c r="C417" s="22"/>
      <c r="D417" s="42"/>
      <c r="E417" s="49"/>
      <c r="F417" s="42">
        <f>SUM(F398)</f>
        <v>12800.5</v>
      </c>
    </row>
    <row r="418" spans="1:6" x14ac:dyDescent="0.25">
      <c r="A418" s="45" t="s">
        <v>19</v>
      </c>
      <c r="B418" s="23" t="s">
        <v>497</v>
      </c>
      <c r="C418" s="22"/>
      <c r="D418" s="42"/>
      <c r="E418" s="49"/>
      <c r="F418" s="42">
        <f>SUM(F403)</f>
        <v>1100</v>
      </c>
    </row>
    <row r="419" spans="1:6" x14ac:dyDescent="0.25">
      <c r="A419" s="45"/>
      <c r="B419" s="19"/>
      <c r="C419" s="22"/>
      <c r="D419" s="42"/>
      <c r="E419" s="49"/>
      <c r="F419" s="42"/>
    </row>
    <row r="420" spans="1:6" x14ac:dyDescent="0.25">
      <c r="A420" s="45"/>
      <c r="B420" s="35" t="s">
        <v>503</v>
      </c>
      <c r="C420" s="22"/>
      <c r="D420" s="42"/>
      <c r="E420" s="49"/>
      <c r="F420" s="42">
        <f>SUM(F409:F418)</f>
        <v>140878.54999999999</v>
      </c>
    </row>
    <row r="421" spans="1:6" x14ac:dyDescent="0.25">
      <c r="D421" s="51"/>
    </row>
    <row r="422" spans="1:6" x14ac:dyDescent="0.25">
      <c r="D422" s="51"/>
    </row>
    <row r="424" spans="1:6" x14ac:dyDescent="0.25">
      <c r="A424" s="45" t="s">
        <v>81</v>
      </c>
      <c r="B424" s="19" t="s">
        <v>504</v>
      </c>
    </row>
    <row r="425" spans="1:6" x14ac:dyDescent="0.25">
      <c r="A425" s="45"/>
      <c r="B425" s="19"/>
    </row>
    <row r="426" spans="1:6" x14ac:dyDescent="0.25">
      <c r="A426" s="44" t="s">
        <v>6</v>
      </c>
      <c r="B426" s="19" t="s">
        <v>168</v>
      </c>
      <c r="C426" s="41"/>
      <c r="D426" s="42"/>
      <c r="E426" s="43"/>
      <c r="F426" s="42"/>
    </row>
    <row r="427" spans="1:6" ht="409.2" x14ac:dyDescent="0.25">
      <c r="A427" s="32" t="s">
        <v>21</v>
      </c>
      <c r="B427" s="1" t="s">
        <v>505</v>
      </c>
      <c r="D427" s="51"/>
    </row>
    <row r="428" spans="1:6" ht="369.6" x14ac:dyDescent="0.25">
      <c r="B428" s="1" t="s">
        <v>506</v>
      </c>
      <c r="C428" s="2" t="s">
        <v>8</v>
      </c>
      <c r="D428" s="51">
        <v>1</v>
      </c>
      <c r="E428" s="34">
        <v>6600</v>
      </c>
      <c r="F428" s="3">
        <f t="shared" ref="F428:F450" si="39">D428*$E428</f>
        <v>6600</v>
      </c>
    </row>
    <row r="429" spans="1:6" ht="92.4" x14ac:dyDescent="0.25">
      <c r="A429" s="32" t="s">
        <v>22</v>
      </c>
      <c r="B429" s="1" t="s">
        <v>507</v>
      </c>
      <c r="D429" s="51"/>
    </row>
    <row r="430" spans="1:6" ht="198" x14ac:dyDescent="0.25">
      <c r="A430" s="32" t="s">
        <v>61</v>
      </c>
      <c r="B430" s="1" t="s">
        <v>508</v>
      </c>
      <c r="C430" s="2" t="s">
        <v>8</v>
      </c>
      <c r="D430" s="51">
        <v>1</v>
      </c>
      <c r="E430" s="34">
        <v>1500</v>
      </c>
      <c r="F430" s="3">
        <f t="shared" ref="F430:F434" si="40">D430*$E430</f>
        <v>1500</v>
      </c>
    </row>
    <row r="431" spans="1:6" ht="198" x14ac:dyDescent="0.25">
      <c r="A431" s="32" t="s">
        <v>62</v>
      </c>
      <c r="B431" s="1" t="s">
        <v>509</v>
      </c>
      <c r="C431" s="2" t="s">
        <v>8</v>
      </c>
      <c r="D431" s="51">
        <v>2</v>
      </c>
      <c r="E431" s="34">
        <v>1621</v>
      </c>
      <c r="F431" s="3">
        <f t="shared" si="40"/>
        <v>3242</v>
      </c>
    </row>
    <row r="432" spans="1:6" ht="145.19999999999999" x14ac:dyDescent="0.25">
      <c r="A432" s="32" t="s">
        <v>23</v>
      </c>
      <c r="B432" s="1" t="s">
        <v>730</v>
      </c>
      <c r="C432" s="2" t="s">
        <v>8</v>
      </c>
      <c r="D432" s="51">
        <v>1</v>
      </c>
      <c r="E432" s="34">
        <v>450</v>
      </c>
      <c r="F432" s="3">
        <f t="shared" si="40"/>
        <v>450</v>
      </c>
    </row>
    <row r="433" spans="1:6" ht="145.19999999999999" x14ac:dyDescent="0.25">
      <c r="A433" s="32" t="s">
        <v>24</v>
      </c>
      <c r="B433" s="1" t="s">
        <v>510</v>
      </c>
      <c r="C433" s="2" t="s">
        <v>8</v>
      </c>
      <c r="D433" s="51">
        <v>3</v>
      </c>
      <c r="E433" s="34">
        <v>125</v>
      </c>
      <c r="F433" s="3">
        <f t="shared" si="40"/>
        <v>375</v>
      </c>
    </row>
    <row r="434" spans="1:6" ht="92.4" x14ac:dyDescent="0.25">
      <c r="A434" s="32" t="s">
        <v>25</v>
      </c>
      <c r="B434" s="1" t="s">
        <v>511</v>
      </c>
      <c r="C434" s="2" t="s">
        <v>8</v>
      </c>
      <c r="D434" s="51">
        <v>2</v>
      </c>
      <c r="E434" s="34">
        <v>110</v>
      </c>
      <c r="F434" s="3">
        <f t="shared" si="40"/>
        <v>220</v>
      </c>
    </row>
    <row r="435" spans="1:6" ht="66" x14ac:dyDescent="0.25">
      <c r="A435" s="32" t="s">
        <v>145</v>
      </c>
      <c r="B435" s="1" t="s">
        <v>512</v>
      </c>
      <c r="D435" s="51"/>
    </row>
    <row r="436" spans="1:6" x14ac:dyDescent="0.25">
      <c r="A436" s="32" t="s">
        <v>61</v>
      </c>
      <c r="B436" s="1" t="s">
        <v>513</v>
      </c>
      <c r="C436" s="2" t="s">
        <v>10</v>
      </c>
      <c r="D436" s="3">
        <v>80</v>
      </c>
      <c r="E436" s="34">
        <v>12</v>
      </c>
      <c r="F436" s="3">
        <f t="shared" ref="F436:F438" si="41">D436*$E436</f>
        <v>960</v>
      </c>
    </row>
    <row r="437" spans="1:6" x14ac:dyDescent="0.25">
      <c r="A437" s="32" t="s">
        <v>62</v>
      </c>
      <c r="B437" s="1" t="s">
        <v>514</v>
      </c>
      <c r="C437" s="2" t="s">
        <v>10</v>
      </c>
      <c r="D437" s="3">
        <v>20</v>
      </c>
      <c r="E437" s="34">
        <v>16</v>
      </c>
      <c r="F437" s="3">
        <f t="shared" si="41"/>
        <v>320</v>
      </c>
    </row>
    <row r="438" spans="1:6" x14ac:dyDescent="0.25">
      <c r="A438" s="32" t="s">
        <v>63</v>
      </c>
      <c r="B438" s="1" t="s">
        <v>515</v>
      </c>
      <c r="C438" s="2" t="s">
        <v>10</v>
      </c>
      <c r="D438" s="3">
        <v>60</v>
      </c>
      <c r="E438" s="34">
        <v>28</v>
      </c>
      <c r="F438" s="3">
        <f t="shared" si="41"/>
        <v>1680</v>
      </c>
    </row>
    <row r="439" spans="1:6" ht="52.8" x14ac:dyDescent="0.25">
      <c r="A439" s="32" t="s">
        <v>146</v>
      </c>
      <c r="B439" s="1" t="s">
        <v>731</v>
      </c>
      <c r="D439" s="51"/>
    </row>
    <row r="440" spans="1:6" x14ac:dyDescent="0.25">
      <c r="A440" s="32" t="s">
        <v>61</v>
      </c>
      <c r="B440" s="1" t="s">
        <v>513</v>
      </c>
      <c r="C440" s="2" t="s">
        <v>10</v>
      </c>
      <c r="D440" s="3">
        <v>80</v>
      </c>
      <c r="E440" s="34">
        <v>1</v>
      </c>
      <c r="F440" s="3">
        <f t="shared" ref="F440:F442" si="42">D440*$E440</f>
        <v>80</v>
      </c>
    </row>
    <row r="441" spans="1:6" x14ac:dyDescent="0.25">
      <c r="A441" s="32" t="s">
        <v>62</v>
      </c>
      <c r="B441" s="1" t="s">
        <v>514</v>
      </c>
      <c r="C441" s="2" t="s">
        <v>10</v>
      </c>
      <c r="D441" s="3">
        <v>20</v>
      </c>
      <c r="E441" s="34">
        <v>1</v>
      </c>
      <c r="F441" s="3">
        <f t="shared" si="42"/>
        <v>20</v>
      </c>
    </row>
    <row r="442" spans="1:6" x14ac:dyDescent="0.25">
      <c r="A442" s="32" t="s">
        <v>63</v>
      </c>
      <c r="B442" s="1" t="s">
        <v>515</v>
      </c>
      <c r="C442" s="2" t="s">
        <v>10</v>
      </c>
      <c r="D442" s="3">
        <v>60</v>
      </c>
      <c r="E442" s="34">
        <v>5</v>
      </c>
      <c r="F442" s="3">
        <f t="shared" si="42"/>
        <v>300</v>
      </c>
    </row>
    <row r="443" spans="1:6" x14ac:dyDescent="0.25">
      <c r="A443" s="32" t="s">
        <v>147</v>
      </c>
      <c r="B443" s="1" t="s">
        <v>516</v>
      </c>
      <c r="C443" s="2" t="s">
        <v>104</v>
      </c>
      <c r="D443" s="3">
        <v>4</v>
      </c>
      <c r="E443" s="34">
        <v>55</v>
      </c>
      <c r="F443" s="3">
        <f t="shared" si="39"/>
        <v>220</v>
      </c>
    </row>
    <row r="444" spans="1:6" ht="79.2" x14ac:dyDescent="0.25">
      <c r="A444" s="32" t="s">
        <v>148</v>
      </c>
      <c r="B444" s="1" t="s">
        <v>517</v>
      </c>
      <c r="C444" s="2" t="s">
        <v>10</v>
      </c>
      <c r="D444" s="3">
        <v>80</v>
      </c>
      <c r="E444" s="34">
        <v>3.5</v>
      </c>
      <c r="F444" s="3">
        <f t="shared" si="39"/>
        <v>280</v>
      </c>
    </row>
    <row r="445" spans="1:6" ht="66" x14ac:dyDescent="0.25">
      <c r="A445" s="32" t="s">
        <v>149</v>
      </c>
      <c r="B445" s="1" t="s">
        <v>518</v>
      </c>
      <c r="C445" s="2" t="s">
        <v>46</v>
      </c>
      <c r="D445" s="51">
        <v>1</v>
      </c>
      <c r="E445" s="34">
        <v>650</v>
      </c>
      <c r="F445" s="3">
        <f t="shared" si="39"/>
        <v>650</v>
      </c>
    </row>
    <row r="446" spans="1:6" ht="26.4" x14ac:dyDescent="0.25">
      <c r="A446" s="32" t="s">
        <v>150</v>
      </c>
      <c r="B446" s="1" t="s">
        <v>519</v>
      </c>
      <c r="C446" s="2" t="s">
        <v>46</v>
      </c>
      <c r="D446" s="51">
        <v>1</v>
      </c>
      <c r="E446" s="34">
        <v>200</v>
      </c>
      <c r="F446" s="3">
        <f t="shared" si="39"/>
        <v>200</v>
      </c>
    </row>
    <row r="447" spans="1:6" ht="79.2" x14ac:dyDescent="0.25">
      <c r="A447" s="32" t="s">
        <v>151</v>
      </c>
      <c r="B447" s="1" t="s">
        <v>520</v>
      </c>
      <c r="C447" s="2" t="s">
        <v>104</v>
      </c>
      <c r="D447" s="3">
        <v>50</v>
      </c>
      <c r="E447" s="34">
        <v>11</v>
      </c>
      <c r="F447" s="3">
        <f t="shared" si="39"/>
        <v>550</v>
      </c>
    </row>
    <row r="448" spans="1:6" ht="118.8" x14ac:dyDescent="0.25">
      <c r="A448" s="32" t="s">
        <v>152</v>
      </c>
      <c r="B448" s="1" t="s">
        <v>521</v>
      </c>
      <c r="C448" s="2" t="s">
        <v>10</v>
      </c>
      <c r="D448" s="3">
        <v>80</v>
      </c>
      <c r="E448" s="34">
        <v>72</v>
      </c>
      <c r="F448" s="3">
        <f t="shared" si="39"/>
        <v>5760</v>
      </c>
    </row>
    <row r="449" spans="1:6" x14ac:dyDescent="0.25">
      <c r="A449" s="32" t="s">
        <v>153</v>
      </c>
      <c r="B449" s="1" t="s">
        <v>522</v>
      </c>
      <c r="C449" s="2" t="s">
        <v>46</v>
      </c>
      <c r="D449" s="51">
        <v>1</v>
      </c>
      <c r="E449" s="34">
        <v>550</v>
      </c>
      <c r="F449" s="3">
        <f t="shared" si="39"/>
        <v>550</v>
      </c>
    </row>
    <row r="450" spans="1:6" ht="26.4" x14ac:dyDescent="0.25">
      <c r="A450" s="32" t="s">
        <v>154</v>
      </c>
      <c r="B450" s="1" t="s">
        <v>523</v>
      </c>
      <c r="C450" s="2" t="s">
        <v>46</v>
      </c>
      <c r="D450" s="51">
        <v>1</v>
      </c>
      <c r="E450" s="34">
        <v>1000</v>
      </c>
      <c r="F450" s="3">
        <f t="shared" si="39"/>
        <v>1000</v>
      </c>
    </row>
    <row r="451" spans="1:6" x14ac:dyDescent="0.25">
      <c r="B451" s="44" t="s">
        <v>186</v>
      </c>
      <c r="C451" s="6"/>
      <c r="D451" s="6"/>
      <c r="E451" s="21"/>
      <c r="F451" s="42">
        <f>SUM(F428:F450)</f>
        <v>24957</v>
      </c>
    </row>
    <row r="452" spans="1:6" x14ac:dyDescent="0.25">
      <c r="B452" s="44"/>
      <c r="C452" s="6"/>
      <c r="D452" s="6"/>
      <c r="E452" s="21"/>
    </row>
    <row r="453" spans="1:6" x14ac:dyDescent="0.25">
      <c r="A453" s="45" t="s">
        <v>11</v>
      </c>
      <c r="B453" s="61" t="s">
        <v>348</v>
      </c>
      <c r="C453" s="41"/>
      <c r="D453" s="41"/>
      <c r="E453" s="62"/>
      <c r="F453" s="41"/>
    </row>
    <row r="454" spans="1:6" ht="66" x14ac:dyDescent="0.25">
      <c r="A454" s="32" t="s">
        <v>26</v>
      </c>
      <c r="B454" s="1" t="s">
        <v>349</v>
      </c>
      <c r="C454" s="2" t="s">
        <v>46</v>
      </c>
      <c r="D454" s="51">
        <v>1</v>
      </c>
      <c r="E454" s="34">
        <v>150</v>
      </c>
      <c r="F454" s="3">
        <f t="shared" ref="F454:F457" si="43">D454*$E454</f>
        <v>150</v>
      </c>
    </row>
    <row r="455" spans="1:6" ht="52.8" x14ac:dyDescent="0.25">
      <c r="A455" s="32" t="s">
        <v>27</v>
      </c>
      <c r="B455" s="1" t="s">
        <v>524</v>
      </c>
      <c r="C455" s="2" t="s">
        <v>46</v>
      </c>
      <c r="D455" s="51">
        <v>1</v>
      </c>
      <c r="E455" s="34">
        <v>250</v>
      </c>
      <c r="F455" s="3">
        <f t="shared" si="43"/>
        <v>250</v>
      </c>
    </row>
    <row r="456" spans="1:6" ht="52.8" x14ac:dyDescent="0.25">
      <c r="A456" s="32" t="s">
        <v>28</v>
      </c>
      <c r="B456" s="1" t="s">
        <v>525</v>
      </c>
      <c r="C456" s="2" t="s">
        <v>46</v>
      </c>
      <c r="D456" s="51">
        <v>1</v>
      </c>
      <c r="E456" s="34">
        <v>80</v>
      </c>
      <c r="F456" s="3">
        <f t="shared" si="43"/>
        <v>80</v>
      </c>
    </row>
    <row r="457" spans="1:6" ht="52.8" x14ac:dyDescent="0.25">
      <c r="A457" s="32" t="s">
        <v>29</v>
      </c>
      <c r="B457" s="1" t="s">
        <v>526</v>
      </c>
      <c r="C457" s="2" t="s">
        <v>46</v>
      </c>
      <c r="D457" s="51">
        <v>1</v>
      </c>
      <c r="E457" s="34">
        <v>90</v>
      </c>
      <c r="F457" s="3">
        <f t="shared" si="43"/>
        <v>90</v>
      </c>
    </row>
    <row r="458" spans="1:6" x14ac:dyDescent="0.25">
      <c r="B458" s="44" t="s">
        <v>527</v>
      </c>
      <c r="C458" s="6"/>
      <c r="D458" s="6"/>
      <c r="E458" s="21"/>
      <c r="F458" s="42">
        <f>SUM(F454:F457)</f>
        <v>570</v>
      </c>
    </row>
    <row r="459" spans="1:6" x14ac:dyDescent="0.25">
      <c r="B459" s="44"/>
      <c r="C459" s="6"/>
      <c r="D459" s="6"/>
      <c r="E459" s="21"/>
    </row>
    <row r="460" spans="1:6" x14ac:dyDescent="0.25">
      <c r="B460" s="44"/>
      <c r="C460" s="6"/>
      <c r="D460" s="6"/>
      <c r="E460" s="21"/>
    </row>
    <row r="461" spans="1:6" x14ac:dyDescent="0.25">
      <c r="B461" s="44"/>
      <c r="C461" s="6"/>
      <c r="D461" s="6"/>
      <c r="E461" s="21"/>
    </row>
    <row r="462" spans="1:6" x14ac:dyDescent="0.25">
      <c r="B462" s="44"/>
      <c r="C462" s="6"/>
      <c r="D462" s="6"/>
      <c r="E462" s="21"/>
    </row>
    <row r="463" spans="1:6" x14ac:dyDescent="0.25">
      <c r="A463" s="45" t="s">
        <v>81</v>
      </c>
      <c r="B463" s="23" t="s">
        <v>528</v>
      </c>
    </row>
    <row r="465" spans="1:6" x14ac:dyDescent="0.25">
      <c r="A465" s="45" t="s">
        <v>6</v>
      </c>
      <c r="B465" s="19" t="s">
        <v>168</v>
      </c>
      <c r="C465" s="22"/>
      <c r="D465" s="42"/>
      <c r="E465" s="49"/>
      <c r="F465" s="42">
        <f>SUM(F451)</f>
        <v>24957</v>
      </c>
    </row>
    <row r="466" spans="1:6" x14ac:dyDescent="0.25">
      <c r="A466" s="45" t="s">
        <v>11</v>
      </c>
      <c r="B466" s="70" t="s">
        <v>348</v>
      </c>
      <c r="C466" s="22"/>
      <c r="D466" s="42"/>
      <c r="E466" s="47"/>
      <c r="F466" s="42">
        <f>SUM(F458)</f>
        <v>570</v>
      </c>
    </row>
    <row r="467" spans="1:6" x14ac:dyDescent="0.25">
      <c r="A467" s="45"/>
      <c r="B467" s="19"/>
      <c r="C467" s="22"/>
      <c r="D467" s="42"/>
      <c r="E467" s="47"/>
      <c r="F467" s="42"/>
    </row>
    <row r="468" spans="1:6" x14ac:dyDescent="0.25">
      <c r="A468" s="45"/>
      <c r="B468" s="35" t="s">
        <v>529</v>
      </c>
      <c r="C468" s="22"/>
      <c r="D468" s="42"/>
      <c r="E468" s="49"/>
      <c r="F468" s="42">
        <f>SUM(F465:F466)</f>
        <v>25527</v>
      </c>
    </row>
    <row r="473" spans="1:6" x14ac:dyDescent="0.25">
      <c r="A473" s="45"/>
      <c r="B473" s="23" t="s">
        <v>583</v>
      </c>
    </row>
    <row r="475" spans="1:6" x14ac:dyDescent="0.25">
      <c r="A475" s="45" t="s">
        <v>20</v>
      </c>
      <c r="B475" s="19" t="s">
        <v>187</v>
      </c>
      <c r="C475" s="22"/>
      <c r="D475" s="42"/>
      <c r="E475" s="49"/>
      <c r="F475" s="42">
        <f>SUM(F182)</f>
        <v>411375</v>
      </c>
    </row>
    <row r="476" spans="1:6" x14ac:dyDescent="0.25">
      <c r="A476" s="45" t="s">
        <v>45</v>
      </c>
      <c r="B476" s="23" t="s">
        <v>296</v>
      </c>
      <c r="C476" s="22"/>
      <c r="D476" s="42"/>
      <c r="E476" s="49"/>
      <c r="F476" s="42">
        <f>SUM(F261)</f>
        <v>131360.5</v>
      </c>
    </row>
    <row r="477" spans="1:6" x14ac:dyDescent="0.25">
      <c r="A477" s="45" t="s">
        <v>80</v>
      </c>
      <c r="B477" s="19" t="s">
        <v>501</v>
      </c>
      <c r="C477" s="22"/>
      <c r="D477" s="42"/>
      <c r="E477" s="49"/>
      <c r="F477" s="42">
        <f>SUM(F420)</f>
        <v>140878.54999999999</v>
      </c>
    </row>
    <row r="478" spans="1:6" x14ac:dyDescent="0.25">
      <c r="A478" s="45" t="s">
        <v>81</v>
      </c>
      <c r="B478" s="19" t="s">
        <v>504</v>
      </c>
      <c r="C478" s="22"/>
      <c r="D478" s="42"/>
      <c r="E478" s="49"/>
      <c r="F478" s="42">
        <f>SUM(F468)</f>
        <v>25527</v>
      </c>
    </row>
    <row r="479" spans="1:6" x14ac:dyDescent="0.25">
      <c r="A479" s="45"/>
      <c r="B479" s="19"/>
      <c r="C479" s="22"/>
      <c r="D479" s="42"/>
      <c r="E479" s="49"/>
      <c r="F479" s="42"/>
    </row>
    <row r="480" spans="1:6" x14ac:dyDescent="0.25">
      <c r="A480" s="45"/>
      <c r="B480" s="44" t="s">
        <v>683</v>
      </c>
      <c r="C480" s="22"/>
      <c r="D480" s="42"/>
      <c r="E480" s="49"/>
      <c r="F480" s="42">
        <f>SUM(F475:F478)</f>
        <v>709141.05</v>
      </c>
    </row>
  </sheetData>
  <sheetProtection algorithmName="SHA-512" hashValue="PxQ3qZrya2byPe+9ayWHuOcpm4v36KCqQsppKhvTnlZFZrBvemqhCreESVtnmyTAKe6KzglM8RaS2vgqosKSkQ==" saltValue="pzHvCkXwk9h6fWCGhbzpcQ==" spinCount="100000" sheet="1" selectLockedCells="1"/>
  <printOptions horizontalCentered="1" gridLines="1"/>
  <pageMargins left="0.70866141732283472" right="0.70866141732283472" top="0.74803149606299213" bottom="0.74803149606299213" header="0.31496062992125984" footer="0.31496062992125984"/>
  <pageSetup paperSize="9" scale="90" orientation="portrait" r:id="rId1"/>
  <headerFooter>
    <oddHeader>&amp;L&amp;"Arial,Uobičajeno"&amp;10Ministarstvo unutarnjih poslova RH&amp;R&amp;"Arial,Uobičajeno"&amp;10Logistički centar civilne zaštite u Jastrebarskom</oddHeader>
    <oddFooter>&amp;L&amp;"Arial,Uobičajeno"&amp;10Troškovnik radova na uređenju skladišta br. 1&amp;R&amp;"Arial,Uobičajeno"&amp;10stranica &amp;P od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404"/>
  <sheetViews>
    <sheetView showZeros="0" zoomScaleNormal="100" workbookViewId="0">
      <selection activeCell="E7" sqref="E7"/>
    </sheetView>
  </sheetViews>
  <sheetFormatPr defaultRowHeight="13.2" x14ac:dyDescent="0.25"/>
  <cols>
    <col min="1" max="1" width="6.109375" style="32" customWidth="1"/>
    <col min="2" max="2" width="50.6640625" style="1" customWidth="1"/>
    <col min="3" max="3" width="5.6640625" style="2" customWidth="1"/>
    <col min="4" max="4" width="9.6640625" style="3" customWidth="1"/>
    <col min="5" max="5" width="10.88671875" style="34" customWidth="1"/>
    <col min="6" max="6" width="13.6640625" style="3" customWidth="1"/>
    <col min="7" max="213" width="9.109375" style="6"/>
    <col min="214" max="214" width="7.44140625" style="6" customWidth="1"/>
    <col min="215" max="215" width="51.88671875" style="6" customWidth="1"/>
    <col min="216" max="216" width="7.44140625" style="6" customWidth="1"/>
    <col min="217" max="217" width="11.33203125" style="6" customWidth="1"/>
    <col min="218" max="218" width="12.5546875" style="6" customWidth="1"/>
    <col min="219" max="219" width="16.44140625" style="6" customWidth="1"/>
    <col min="220" max="469" width="9.109375" style="6"/>
    <col min="470" max="470" width="7.44140625" style="6" customWidth="1"/>
    <col min="471" max="471" width="51.88671875" style="6" customWidth="1"/>
    <col min="472" max="472" width="7.44140625" style="6" customWidth="1"/>
    <col min="473" max="473" width="11.33203125" style="6" customWidth="1"/>
    <col min="474" max="474" width="12.5546875" style="6" customWidth="1"/>
    <col min="475" max="475" width="16.44140625" style="6" customWidth="1"/>
    <col min="476" max="725" width="9.109375" style="6"/>
    <col min="726" max="726" width="7.44140625" style="6" customWidth="1"/>
    <col min="727" max="727" width="51.88671875" style="6" customWidth="1"/>
    <col min="728" max="728" width="7.44140625" style="6" customWidth="1"/>
    <col min="729" max="729" width="11.33203125" style="6" customWidth="1"/>
    <col min="730" max="730" width="12.5546875" style="6" customWidth="1"/>
    <col min="731" max="731" width="16.44140625" style="6" customWidth="1"/>
    <col min="732" max="981" width="9.109375" style="6"/>
    <col min="982" max="982" width="7.44140625" style="6" customWidth="1"/>
    <col min="983" max="983" width="51.88671875" style="6" customWidth="1"/>
    <col min="984" max="984" width="7.44140625" style="6" customWidth="1"/>
    <col min="985" max="985" width="11.33203125" style="6" customWidth="1"/>
    <col min="986" max="986" width="12.5546875" style="6" customWidth="1"/>
    <col min="987" max="987" width="16.44140625" style="6" customWidth="1"/>
    <col min="988" max="1237" width="9.109375" style="6"/>
    <col min="1238" max="1238" width="7.44140625" style="6" customWidth="1"/>
    <col min="1239" max="1239" width="51.88671875" style="6" customWidth="1"/>
    <col min="1240" max="1240" width="7.44140625" style="6" customWidth="1"/>
    <col min="1241" max="1241" width="11.33203125" style="6" customWidth="1"/>
    <col min="1242" max="1242" width="12.5546875" style="6" customWidth="1"/>
    <col min="1243" max="1243" width="16.44140625" style="6" customWidth="1"/>
    <col min="1244" max="1493" width="9.109375" style="6"/>
    <col min="1494" max="1494" width="7.44140625" style="6" customWidth="1"/>
    <col min="1495" max="1495" width="51.88671875" style="6" customWidth="1"/>
    <col min="1496" max="1496" width="7.44140625" style="6" customWidth="1"/>
    <col min="1497" max="1497" width="11.33203125" style="6" customWidth="1"/>
    <col min="1498" max="1498" width="12.5546875" style="6" customWidth="1"/>
    <col min="1499" max="1499" width="16.44140625" style="6" customWidth="1"/>
    <col min="1500" max="1749" width="9.109375" style="6"/>
    <col min="1750" max="1750" width="7.44140625" style="6" customWidth="1"/>
    <col min="1751" max="1751" width="51.88671875" style="6" customWidth="1"/>
    <col min="1752" max="1752" width="7.44140625" style="6" customWidth="1"/>
    <col min="1753" max="1753" width="11.33203125" style="6" customWidth="1"/>
    <col min="1754" max="1754" width="12.5546875" style="6" customWidth="1"/>
    <col min="1755" max="1755" width="16.44140625" style="6" customWidth="1"/>
    <col min="1756" max="2005" width="9.109375" style="6"/>
    <col min="2006" max="2006" width="7.44140625" style="6" customWidth="1"/>
    <col min="2007" max="2007" width="51.88671875" style="6" customWidth="1"/>
    <col min="2008" max="2008" width="7.44140625" style="6" customWidth="1"/>
    <col min="2009" max="2009" width="11.33203125" style="6" customWidth="1"/>
    <col min="2010" max="2010" width="12.5546875" style="6" customWidth="1"/>
    <col min="2011" max="2011" width="16.44140625" style="6" customWidth="1"/>
    <col min="2012" max="2261" width="9.109375" style="6"/>
    <col min="2262" max="2262" width="7.44140625" style="6" customWidth="1"/>
    <col min="2263" max="2263" width="51.88671875" style="6" customWidth="1"/>
    <col min="2264" max="2264" width="7.44140625" style="6" customWidth="1"/>
    <col min="2265" max="2265" width="11.33203125" style="6" customWidth="1"/>
    <col min="2266" max="2266" width="12.5546875" style="6" customWidth="1"/>
    <col min="2267" max="2267" width="16.44140625" style="6" customWidth="1"/>
    <col min="2268" max="2517" width="9.109375" style="6"/>
    <col min="2518" max="2518" width="7.44140625" style="6" customWidth="1"/>
    <col min="2519" max="2519" width="51.88671875" style="6" customWidth="1"/>
    <col min="2520" max="2520" width="7.44140625" style="6" customWidth="1"/>
    <col min="2521" max="2521" width="11.33203125" style="6" customWidth="1"/>
    <col min="2522" max="2522" width="12.5546875" style="6" customWidth="1"/>
    <col min="2523" max="2523" width="16.44140625" style="6" customWidth="1"/>
    <col min="2524" max="2773" width="9.109375" style="6"/>
    <col min="2774" max="2774" width="7.44140625" style="6" customWidth="1"/>
    <col min="2775" max="2775" width="51.88671875" style="6" customWidth="1"/>
    <col min="2776" max="2776" width="7.44140625" style="6" customWidth="1"/>
    <col min="2777" max="2777" width="11.33203125" style="6" customWidth="1"/>
    <col min="2778" max="2778" width="12.5546875" style="6" customWidth="1"/>
    <col min="2779" max="2779" width="16.44140625" style="6" customWidth="1"/>
    <col min="2780" max="3029" width="9.109375" style="6"/>
    <col min="3030" max="3030" width="7.44140625" style="6" customWidth="1"/>
    <col min="3031" max="3031" width="51.88671875" style="6" customWidth="1"/>
    <col min="3032" max="3032" width="7.44140625" style="6" customWidth="1"/>
    <col min="3033" max="3033" width="11.33203125" style="6" customWidth="1"/>
    <col min="3034" max="3034" width="12.5546875" style="6" customWidth="1"/>
    <col min="3035" max="3035" width="16.44140625" style="6" customWidth="1"/>
    <col min="3036" max="3285" width="9.109375" style="6"/>
    <col min="3286" max="3286" width="7.44140625" style="6" customWidth="1"/>
    <col min="3287" max="3287" width="51.88671875" style="6" customWidth="1"/>
    <col min="3288" max="3288" width="7.44140625" style="6" customWidth="1"/>
    <col min="3289" max="3289" width="11.33203125" style="6" customWidth="1"/>
    <col min="3290" max="3290" width="12.5546875" style="6" customWidth="1"/>
    <col min="3291" max="3291" width="16.44140625" style="6" customWidth="1"/>
    <col min="3292" max="3541" width="9.109375" style="6"/>
    <col min="3542" max="3542" width="7.44140625" style="6" customWidth="1"/>
    <col min="3543" max="3543" width="51.88671875" style="6" customWidth="1"/>
    <col min="3544" max="3544" width="7.44140625" style="6" customWidth="1"/>
    <col min="3545" max="3545" width="11.33203125" style="6" customWidth="1"/>
    <col min="3546" max="3546" width="12.5546875" style="6" customWidth="1"/>
    <col min="3547" max="3547" width="16.44140625" style="6" customWidth="1"/>
    <col min="3548" max="3797" width="9.109375" style="6"/>
    <col min="3798" max="3798" width="7.44140625" style="6" customWidth="1"/>
    <col min="3799" max="3799" width="51.88671875" style="6" customWidth="1"/>
    <col min="3800" max="3800" width="7.44140625" style="6" customWidth="1"/>
    <col min="3801" max="3801" width="11.33203125" style="6" customWidth="1"/>
    <col min="3802" max="3802" width="12.5546875" style="6" customWidth="1"/>
    <col min="3803" max="3803" width="16.44140625" style="6" customWidth="1"/>
    <col min="3804" max="4053" width="9.109375" style="6"/>
    <col min="4054" max="4054" width="7.44140625" style="6" customWidth="1"/>
    <col min="4055" max="4055" width="51.88671875" style="6" customWidth="1"/>
    <col min="4056" max="4056" width="7.44140625" style="6" customWidth="1"/>
    <col min="4057" max="4057" width="11.33203125" style="6" customWidth="1"/>
    <col min="4058" max="4058" width="12.5546875" style="6" customWidth="1"/>
    <col min="4059" max="4059" width="16.44140625" style="6" customWidth="1"/>
    <col min="4060" max="4309" width="9.109375" style="6"/>
    <col min="4310" max="4310" width="7.44140625" style="6" customWidth="1"/>
    <col min="4311" max="4311" width="51.88671875" style="6" customWidth="1"/>
    <col min="4312" max="4312" width="7.44140625" style="6" customWidth="1"/>
    <col min="4313" max="4313" width="11.33203125" style="6" customWidth="1"/>
    <col min="4314" max="4314" width="12.5546875" style="6" customWidth="1"/>
    <col min="4315" max="4315" width="16.44140625" style="6" customWidth="1"/>
    <col min="4316" max="4565" width="9.109375" style="6"/>
    <col min="4566" max="4566" width="7.44140625" style="6" customWidth="1"/>
    <col min="4567" max="4567" width="51.88671875" style="6" customWidth="1"/>
    <col min="4568" max="4568" width="7.44140625" style="6" customWidth="1"/>
    <col min="4569" max="4569" width="11.33203125" style="6" customWidth="1"/>
    <col min="4570" max="4570" width="12.5546875" style="6" customWidth="1"/>
    <col min="4571" max="4571" width="16.44140625" style="6" customWidth="1"/>
    <col min="4572" max="4821" width="9.109375" style="6"/>
    <col min="4822" max="4822" width="7.44140625" style="6" customWidth="1"/>
    <col min="4823" max="4823" width="51.88671875" style="6" customWidth="1"/>
    <col min="4824" max="4824" width="7.44140625" style="6" customWidth="1"/>
    <col min="4825" max="4825" width="11.33203125" style="6" customWidth="1"/>
    <col min="4826" max="4826" width="12.5546875" style="6" customWidth="1"/>
    <col min="4827" max="4827" width="16.44140625" style="6" customWidth="1"/>
    <col min="4828" max="5077" width="9.109375" style="6"/>
    <col min="5078" max="5078" width="7.44140625" style="6" customWidth="1"/>
    <col min="5079" max="5079" width="51.88671875" style="6" customWidth="1"/>
    <col min="5080" max="5080" width="7.44140625" style="6" customWidth="1"/>
    <col min="5081" max="5081" width="11.33203125" style="6" customWidth="1"/>
    <col min="5082" max="5082" width="12.5546875" style="6" customWidth="1"/>
    <col min="5083" max="5083" width="16.44140625" style="6" customWidth="1"/>
    <col min="5084" max="5333" width="9.109375" style="6"/>
    <col min="5334" max="5334" width="7.44140625" style="6" customWidth="1"/>
    <col min="5335" max="5335" width="51.88671875" style="6" customWidth="1"/>
    <col min="5336" max="5336" width="7.44140625" style="6" customWidth="1"/>
    <col min="5337" max="5337" width="11.33203125" style="6" customWidth="1"/>
    <col min="5338" max="5338" width="12.5546875" style="6" customWidth="1"/>
    <col min="5339" max="5339" width="16.44140625" style="6" customWidth="1"/>
    <col min="5340" max="5589" width="9.109375" style="6"/>
    <col min="5590" max="5590" width="7.44140625" style="6" customWidth="1"/>
    <col min="5591" max="5591" width="51.88671875" style="6" customWidth="1"/>
    <col min="5592" max="5592" width="7.44140625" style="6" customWidth="1"/>
    <col min="5593" max="5593" width="11.33203125" style="6" customWidth="1"/>
    <col min="5594" max="5594" width="12.5546875" style="6" customWidth="1"/>
    <col min="5595" max="5595" width="16.44140625" style="6" customWidth="1"/>
    <col min="5596" max="5845" width="9.109375" style="6"/>
    <col min="5846" max="5846" width="7.44140625" style="6" customWidth="1"/>
    <col min="5847" max="5847" width="51.88671875" style="6" customWidth="1"/>
    <col min="5848" max="5848" width="7.44140625" style="6" customWidth="1"/>
    <col min="5849" max="5849" width="11.33203125" style="6" customWidth="1"/>
    <col min="5850" max="5850" width="12.5546875" style="6" customWidth="1"/>
    <col min="5851" max="5851" width="16.44140625" style="6" customWidth="1"/>
    <col min="5852" max="6101" width="9.109375" style="6"/>
    <col min="6102" max="6102" width="7.44140625" style="6" customWidth="1"/>
    <col min="6103" max="6103" width="51.88671875" style="6" customWidth="1"/>
    <col min="6104" max="6104" width="7.44140625" style="6" customWidth="1"/>
    <col min="6105" max="6105" width="11.33203125" style="6" customWidth="1"/>
    <col min="6106" max="6106" width="12.5546875" style="6" customWidth="1"/>
    <col min="6107" max="6107" width="16.44140625" style="6" customWidth="1"/>
    <col min="6108" max="6357" width="9.109375" style="6"/>
    <col min="6358" max="6358" width="7.44140625" style="6" customWidth="1"/>
    <col min="6359" max="6359" width="51.88671875" style="6" customWidth="1"/>
    <col min="6360" max="6360" width="7.44140625" style="6" customWidth="1"/>
    <col min="6361" max="6361" width="11.33203125" style="6" customWidth="1"/>
    <col min="6362" max="6362" width="12.5546875" style="6" customWidth="1"/>
    <col min="6363" max="6363" width="16.44140625" style="6" customWidth="1"/>
    <col min="6364" max="6613" width="9.109375" style="6"/>
    <col min="6614" max="6614" width="7.44140625" style="6" customWidth="1"/>
    <col min="6615" max="6615" width="51.88671875" style="6" customWidth="1"/>
    <col min="6616" max="6616" width="7.44140625" style="6" customWidth="1"/>
    <col min="6617" max="6617" width="11.33203125" style="6" customWidth="1"/>
    <col min="6618" max="6618" width="12.5546875" style="6" customWidth="1"/>
    <col min="6619" max="6619" width="16.44140625" style="6" customWidth="1"/>
    <col min="6620" max="6869" width="9.109375" style="6"/>
    <col min="6870" max="6870" width="7.44140625" style="6" customWidth="1"/>
    <col min="6871" max="6871" width="51.88671875" style="6" customWidth="1"/>
    <col min="6872" max="6872" width="7.44140625" style="6" customWidth="1"/>
    <col min="6873" max="6873" width="11.33203125" style="6" customWidth="1"/>
    <col min="6874" max="6874" width="12.5546875" style="6" customWidth="1"/>
    <col min="6875" max="6875" width="16.44140625" style="6" customWidth="1"/>
    <col min="6876" max="7125" width="9.109375" style="6"/>
    <col min="7126" max="7126" width="7.44140625" style="6" customWidth="1"/>
    <col min="7127" max="7127" width="51.88671875" style="6" customWidth="1"/>
    <col min="7128" max="7128" width="7.44140625" style="6" customWidth="1"/>
    <col min="7129" max="7129" width="11.33203125" style="6" customWidth="1"/>
    <col min="7130" max="7130" width="12.5546875" style="6" customWidth="1"/>
    <col min="7131" max="7131" width="16.44140625" style="6" customWidth="1"/>
    <col min="7132" max="7381" width="9.109375" style="6"/>
    <col min="7382" max="7382" width="7.44140625" style="6" customWidth="1"/>
    <col min="7383" max="7383" width="51.88671875" style="6" customWidth="1"/>
    <col min="7384" max="7384" width="7.44140625" style="6" customWidth="1"/>
    <col min="7385" max="7385" width="11.33203125" style="6" customWidth="1"/>
    <col min="7386" max="7386" width="12.5546875" style="6" customWidth="1"/>
    <col min="7387" max="7387" width="16.44140625" style="6" customWidth="1"/>
    <col min="7388" max="7637" width="9.109375" style="6"/>
    <col min="7638" max="7638" width="7.44140625" style="6" customWidth="1"/>
    <col min="7639" max="7639" width="51.88671875" style="6" customWidth="1"/>
    <col min="7640" max="7640" width="7.44140625" style="6" customWidth="1"/>
    <col min="7641" max="7641" width="11.33203125" style="6" customWidth="1"/>
    <col min="7642" max="7642" width="12.5546875" style="6" customWidth="1"/>
    <col min="7643" max="7643" width="16.44140625" style="6" customWidth="1"/>
    <col min="7644" max="7893" width="9.109375" style="6"/>
    <col min="7894" max="7894" width="7.44140625" style="6" customWidth="1"/>
    <col min="7895" max="7895" width="51.88671875" style="6" customWidth="1"/>
    <col min="7896" max="7896" width="7.44140625" style="6" customWidth="1"/>
    <col min="7897" max="7897" width="11.33203125" style="6" customWidth="1"/>
    <col min="7898" max="7898" width="12.5546875" style="6" customWidth="1"/>
    <col min="7899" max="7899" width="16.44140625" style="6" customWidth="1"/>
    <col min="7900" max="8149" width="9.109375" style="6"/>
    <col min="8150" max="8150" width="7.44140625" style="6" customWidth="1"/>
    <col min="8151" max="8151" width="51.88671875" style="6" customWidth="1"/>
    <col min="8152" max="8152" width="7.44140625" style="6" customWidth="1"/>
    <col min="8153" max="8153" width="11.33203125" style="6" customWidth="1"/>
    <col min="8154" max="8154" width="12.5546875" style="6" customWidth="1"/>
    <col min="8155" max="8155" width="16.44140625" style="6" customWidth="1"/>
    <col min="8156" max="8405" width="9.109375" style="6"/>
    <col min="8406" max="8406" width="7.44140625" style="6" customWidth="1"/>
    <col min="8407" max="8407" width="51.88671875" style="6" customWidth="1"/>
    <col min="8408" max="8408" width="7.44140625" style="6" customWidth="1"/>
    <col min="8409" max="8409" width="11.33203125" style="6" customWidth="1"/>
    <col min="8410" max="8410" width="12.5546875" style="6" customWidth="1"/>
    <col min="8411" max="8411" width="16.44140625" style="6" customWidth="1"/>
    <col min="8412" max="8661" width="9.109375" style="6"/>
    <col min="8662" max="8662" width="7.44140625" style="6" customWidth="1"/>
    <col min="8663" max="8663" width="51.88671875" style="6" customWidth="1"/>
    <col min="8664" max="8664" width="7.44140625" style="6" customWidth="1"/>
    <col min="8665" max="8665" width="11.33203125" style="6" customWidth="1"/>
    <col min="8666" max="8666" width="12.5546875" style="6" customWidth="1"/>
    <col min="8667" max="8667" width="16.44140625" style="6" customWidth="1"/>
    <col min="8668" max="8917" width="9.109375" style="6"/>
    <col min="8918" max="8918" width="7.44140625" style="6" customWidth="1"/>
    <col min="8919" max="8919" width="51.88671875" style="6" customWidth="1"/>
    <col min="8920" max="8920" width="7.44140625" style="6" customWidth="1"/>
    <col min="8921" max="8921" width="11.33203125" style="6" customWidth="1"/>
    <col min="8922" max="8922" width="12.5546875" style="6" customWidth="1"/>
    <col min="8923" max="8923" width="16.44140625" style="6" customWidth="1"/>
    <col min="8924" max="9173" width="9.109375" style="6"/>
    <col min="9174" max="9174" width="7.44140625" style="6" customWidth="1"/>
    <col min="9175" max="9175" width="51.88671875" style="6" customWidth="1"/>
    <col min="9176" max="9176" width="7.44140625" style="6" customWidth="1"/>
    <col min="9177" max="9177" width="11.33203125" style="6" customWidth="1"/>
    <col min="9178" max="9178" width="12.5546875" style="6" customWidth="1"/>
    <col min="9179" max="9179" width="16.44140625" style="6" customWidth="1"/>
    <col min="9180" max="9429" width="9.109375" style="6"/>
    <col min="9430" max="9430" width="7.44140625" style="6" customWidth="1"/>
    <col min="9431" max="9431" width="51.88671875" style="6" customWidth="1"/>
    <col min="9432" max="9432" width="7.44140625" style="6" customWidth="1"/>
    <col min="9433" max="9433" width="11.33203125" style="6" customWidth="1"/>
    <col min="9434" max="9434" width="12.5546875" style="6" customWidth="1"/>
    <col min="9435" max="9435" width="16.44140625" style="6" customWidth="1"/>
    <col min="9436" max="9685" width="9.109375" style="6"/>
    <col min="9686" max="9686" width="7.44140625" style="6" customWidth="1"/>
    <col min="9687" max="9687" width="51.88671875" style="6" customWidth="1"/>
    <col min="9688" max="9688" width="7.44140625" style="6" customWidth="1"/>
    <col min="9689" max="9689" width="11.33203125" style="6" customWidth="1"/>
    <col min="9690" max="9690" width="12.5546875" style="6" customWidth="1"/>
    <col min="9691" max="9691" width="16.44140625" style="6" customWidth="1"/>
    <col min="9692" max="9941" width="9.109375" style="6"/>
    <col min="9942" max="9942" width="7.44140625" style="6" customWidth="1"/>
    <col min="9943" max="9943" width="51.88671875" style="6" customWidth="1"/>
    <col min="9944" max="9944" width="7.44140625" style="6" customWidth="1"/>
    <col min="9945" max="9945" width="11.33203125" style="6" customWidth="1"/>
    <col min="9946" max="9946" width="12.5546875" style="6" customWidth="1"/>
    <col min="9947" max="9947" width="16.44140625" style="6" customWidth="1"/>
    <col min="9948" max="10197" width="9.109375" style="6"/>
    <col min="10198" max="10198" width="7.44140625" style="6" customWidth="1"/>
    <col min="10199" max="10199" width="51.88671875" style="6" customWidth="1"/>
    <col min="10200" max="10200" width="7.44140625" style="6" customWidth="1"/>
    <col min="10201" max="10201" width="11.33203125" style="6" customWidth="1"/>
    <col min="10202" max="10202" width="12.5546875" style="6" customWidth="1"/>
    <col min="10203" max="10203" width="16.44140625" style="6" customWidth="1"/>
    <col min="10204" max="10453" width="9.109375" style="6"/>
    <col min="10454" max="10454" width="7.44140625" style="6" customWidth="1"/>
    <col min="10455" max="10455" width="51.88671875" style="6" customWidth="1"/>
    <col min="10456" max="10456" width="7.44140625" style="6" customWidth="1"/>
    <col min="10457" max="10457" width="11.33203125" style="6" customWidth="1"/>
    <col min="10458" max="10458" width="12.5546875" style="6" customWidth="1"/>
    <col min="10459" max="10459" width="16.44140625" style="6" customWidth="1"/>
    <col min="10460" max="10709" width="9.109375" style="6"/>
    <col min="10710" max="10710" width="7.44140625" style="6" customWidth="1"/>
    <col min="10711" max="10711" width="51.88671875" style="6" customWidth="1"/>
    <col min="10712" max="10712" width="7.44140625" style="6" customWidth="1"/>
    <col min="10713" max="10713" width="11.33203125" style="6" customWidth="1"/>
    <col min="10714" max="10714" width="12.5546875" style="6" customWidth="1"/>
    <col min="10715" max="10715" width="16.44140625" style="6" customWidth="1"/>
    <col min="10716" max="10965" width="9.109375" style="6"/>
    <col min="10966" max="10966" width="7.44140625" style="6" customWidth="1"/>
    <col min="10967" max="10967" width="51.88671875" style="6" customWidth="1"/>
    <col min="10968" max="10968" width="7.44140625" style="6" customWidth="1"/>
    <col min="10969" max="10969" width="11.33203125" style="6" customWidth="1"/>
    <col min="10970" max="10970" width="12.5546875" style="6" customWidth="1"/>
    <col min="10971" max="10971" width="16.44140625" style="6" customWidth="1"/>
    <col min="10972" max="11221" width="9.109375" style="6"/>
    <col min="11222" max="11222" width="7.44140625" style="6" customWidth="1"/>
    <col min="11223" max="11223" width="51.88671875" style="6" customWidth="1"/>
    <col min="11224" max="11224" width="7.44140625" style="6" customWidth="1"/>
    <col min="11225" max="11225" width="11.33203125" style="6" customWidth="1"/>
    <col min="11226" max="11226" width="12.5546875" style="6" customWidth="1"/>
    <col min="11227" max="11227" width="16.44140625" style="6" customWidth="1"/>
    <col min="11228" max="11477" width="9.109375" style="6"/>
    <col min="11478" max="11478" width="7.44140625" style="6" customWidth="1"/>
    <col min="11479" max="11479" width="51.88671875" style="6" customWidth="1"/>
    <col min="11480" max="11480" width="7.44140625" style="6" customWidth="1"/>
    <col min="11481" max="11481" width="11.33203125" style="6" customWidth="1"/>
    <col min="11482" max="11482" width="12.5546875" style="6" customWidth="1"/>
    <col min="11483" max="11483" width="16.44140625" style="6" customWidth="1"/>
    <col min="11484" max="11733" width="9.109375" style="6"/>
    <col min="11734" max="11734" width="7.44140625" style="6" customWidth="1"/>
    <col min="11735" max="11735" width="51.88671875" style="6" customWidth="1"/>
    <col min="11736" max="11736" width="7.44140625" style="6" customWidth="1"/>
    <col min="11737" max="11737" width="11.33203125" style="6" customWidth="1"/>
    <col min="11738" max="11738" width="12.5546875" style="6" customWidth="1"/>
    <col min="11739" max="11739" width="16.44140625" style="6" customWidth="1"/>
    <col min="11740" max="11989" width="9.109375" style="6"/>
    <col min="11990" max="11990" width="7.44140625" style="6" customWidth="1"/>
    <col min="11991" max="11991" width="51.88671875" style="6" customWidth="1"/>
    <col min="11992" max="11992" width="7.44140625" style="6" customWidth="1"/>
    <col min="11993" max="11993" width="11.33203125" style="6" customWidth="1"/>
    <col min="11994" max="11994" width="12.5546875" style="6" customWidth="1"/>
    <col min="11995" max="11995" width="16.44140625" style="6" customWidth="1"/>
    <col min="11996" max="12245" width="9.109375" style="6"/>
    <col min="12246" max="12246" width="7.44140625" style="6" customWidth="1"/>
    <col min="12247" max="12247" width="51.88671875" style="6" customWidth="1"/>
    <col min="12248" max="12248" width="7.44140625" style="6" customWidth="1"/>
    <col min="12249" max="12249" width="11.33203125" style="6" customWidth="1"/>
    <col min="12250" max="12250" width="12.5546875" style="6" customWidth="1"/>
    <col min="12251" max="12251" width="16.44140625" style="6" customWidth="1"/>
    <col min="12252" max="12501" width="9.109375" style="6"/>
    <col min="12502" max="12502" width="7.44140625" style="6" customWidth="1"/>
    <col min="12503" max="12503" width="51.88671875" style="6" customWidth="1"/>
    <col min="12504" max="12504" width="7.44140625" style="6" customWidth="1"/>
    <col min="12505" max="12505" width="11.33203125" style="6" customWidth="1"/>
    <col min="12506" max="12506" width="12.5546875" style="6" customWidth="1"/>
    <col min="12507" max="12507" width="16.44140625" style="6" customWidth="1"/>
    <col min="12508" max="12757" width="9.109375" style="6"/>
    <col min="12758" max="12758" width="7.44140625" style="6" customWidth="1"/>
    <col min="12759" max="12759" width="51.88671875" style="6" customWidth="1"/>
    <col min="12760" max="12760" width="7.44140625" style="6" customWidth="1"/>
    <col min="12761" max="12761" width="11.33203125" style="6" customWidth="1"/>
    <col min="12762" max="12762" width="12.5546875" style="6" customWidth="1"/>
    <col min="12763" max="12763" width="16.44140625" style="6" customWidth="1"/>
    <col min="12764" max="13013" width="9.109375" style="6"/>
    <col min="13014" max="13014" width="7.44140625" style="6" customWidth="1"/>
    <col min="13015" max="13015" width="51.88671875" style="6" customWidth="1"/>
    <col min="13016" max="13016" width="7.44140625" style="6" customWidth="1"/>
    <col min="13017" max="13017" width="11.33203125" style="6" customWidth="1"/>
    <col min="13018" max="13018" width="12.5546875" style="6" customWidth="1"/>
    <col min="13019" max="13019" width="16.44140625" style="6" customWidth="1"/>
    <col min="13020" max="13269" width="9.109375" style="6"/>
    <col min="13270" max="13270" width="7.44140625" style="6" customWidth="1"/>
    <col min="13271" max="13271" width="51.88671875" style="6" customWidth="1"/>
    <col min="13272" max="13272" width="7.44140625" style="6" customWidth="1"/>
    <col min="13273" max="13273" width="11.33203125" style="6" customWidth="1"/>
    <col min="13274" max="13274" width="12.5546875" style="6" customWidth="1"/>
    <col min="13275" max="13275" width="16.44140625" style="6" customWidth="1"/>
    <col min="13276" max="13525" width="9.109375" style="6"/>
    <col min="13526" max="13526" width="7.44140625" style="6" customWidth="1"/>
    <col min="13527" max="13527" width="51.88671875" style="6" customWidth="1"/>
    <col min="13528" max="13528" width="7.44140625" style="6" customWidth="1"/>
    <col min="13529" max="13529" width="11.33203125" style="6" customWidth="1"/>
    <col min="13530" max="13530" width="12.5546875" style="6" customWidth="1"/>
    <col min="13531" max="13531" width="16.44140625" style="6" customWidth="1"/>
    <col min="13532" max="13781" width="9.109375" style="6"/>
    <col min="13782" max="13782" width="7.44140625" style="6" customWidth="1"/>
    <col min="13783" max="13783" width="51.88671875" style="6" customWidth="1"/>
    <col min="13784" max="13784" width="7.44140625" style="6" customWidth="1"/>
    <col min="13785" max="13785" width="11.33203125" style="6" customWidth="1"/>
    <col min="13786" max="13786" width="12.5546875" style="6" customWidth="1"/>
    <col min="13787" max="13787" width="16.44140625" style="6" customWidth="1"/>
    <col min="13788" max="14037" width="9.109375" style="6"/>
    <col min="14038" max="14038" width="7.44140625" style="6" customWidth="1"/>
    <col min="14039" max="14039" width="51.88671875" style="6" customWidth="1"/>
    <col min="14040" max="14040" width="7.44140625" style="6" customWidth="1"/>
    <col min="14041" max="14041" width="11.33203125" style="6" customWidth="1"/>
    <col min="14042" max="14042" width="12.5546875" style="6" customWidth="1"/>
    <col min="14043" max="14043" width="16.44140625" style="6" customWidth="1"/>
    <col min="14044" max="14293" width="9.109375" style="6"/>
    <col min="14294" max="14294" width="7.44140625" style="6" customWidth="1"/>
    <col min="14295" max="14295" width="51.88671875" style="6" customWidth="1"/>
    <col min="14296" max="14296" width="7.44140625" style="6" customWidth="1"/>
    <col min="14297" max="14297" width="11.33203125" style="6" customWidth="1"/>
    <col min="14298" max="14298" width="12.5546875" style="6" customWidth="1"/>
    <col min="14299" max="14299" width="16.44140625" style="6" customWidth="1"/>
    <col min="14300" max="14549" width="9.109375" style="6"/>
    <col min="14550" max="14550" width="7.44140625" style="6" customWidth="1"/>
    <col min="14551" max="14551" width="51.88671875" style="6" customWidth="1"/>
    <col min="14552" max="14552" width="7.44140625" style="6" customWidth="1"/>
    <col min="14553" max="14553" width="11.33203125" style="6" customWidth="1"/>
    <col min="14554" max="14554" width="12.5546875" style="6" customWidth="1"/>
    <col min="14555" max="14555" width="16.44140625" style="6" customWidth="1"/>
    <col min="14556" max="14805" width="9.109375" style="6"/>
    <col min="14806" max="14806" width="7.44140625" style="6" customWidth="1"/>
    <col min="14807" max="14807" width="51.88671875" style="6" customWidth="1"/>
    <col min="14808" max="14808" width="7.44140625" style="6" customWidth="1"/>
    <col min="14809" max="14809" width="11.33203125" style="6" customWidth="1"/>
    <col min="14810" max="14810" width="12.5546875" style="6" customWidth="1"/>
    <col min="14811" max="14811" width="16.44140625" style="6" customWidth="1"/>
    <col min="14812" max="15061" width="9.109375" style="6"/>
    <col min="15062" max="15062" width="7.44140625" style="6" customWidth="1"/>
    <col min="15063" max="15063" width="51.88671875" style="6" customWidth="1"/>
    <col min="15064" max="15064" width="7.44140625" style="6" customWidth="1"/>
    <col min="15065" max="15065" width="11.33203125" style="6" customWidth="1"/>
    <col min="15066" max="15066" width="12.5546875" style="6" customWidth="1"/>
    <col min="15067" max="15067" width="16.44140625" style="6" customWidth="1"/>
    <col min="15068" max="15317" width="9.109375" style="6"/>
    <col min="15318" max="15318" width="7.44140625" style="6" customWidth="1"/>
    <col min="15319" max="15319" width="51.88671875" style="6" customWidth="1"/>
    <col min="15320" max="15320" width="7.44140625" style="6" customWidth="1"/>
    <col min="15321" max="15321" width="11.33203125" style="6" customWidth="1"/>
    <col min="15322" max="15322" width="12.5546875" style="6" customWidth="1"/>
    <col min="15323" max="15323" width="16.44140625" style="6" customWidth="1"/>
    <col min="15324" max="15573" width="9.109375" style="6"/>
    <col min="15574" max="15574" width="7.44140625" style="6" customWidth="1"/>
    <col min="15575" max="15575" width="51.88671875" style="6" customWidth="1"/>
    <col min="15576" max="15576" width="7.44140625" style="6" customWidth="1"/>
    <col min="15577" max="15577" width="11.33203125" style="6" customWidth="1"/>
    <col min="15578" max="15578" width="12.5546875" style="6" customWidth="1"/>
    <col min="15579" max="15579" width="16.44140625" style="6" customWidth="1"/>
    <col min="15580" max="15829" width="9.109375" style="6"/>
    <col min="15830" max="15830" width="7.44140625" style="6" customWidth="1"/>
    <col min="15831" max="15831" width="51.88671875" style="6" customWidth="1"/>
    <col min="15832" max="15832" width="7.44140625" style="6" customWidth="1"/>
    <col min="15833" max="15833" width="11.33203125" style="6" customWidth="1"/>
    <col min="15834" max="15834" width="12.5546875" style="6" customWidth="1"/>
    <col min="15835" max="15835" width="16.44140625" style="6" customWidth="1"/>
    <col min="15836" max="16085" width="9.109375" style="6"/>
    <col min="16086" max="16086" width="7.44140625" style="6" customWidth="1"/>
    <col min="16087" max="16087" width="51.88671875" style="6" customWidth="1"/>
    <col min="16088" max="16088" width="7.44140625" style="6" customWidth="1"/>
    <col min="16089" max="16089" width="11.33203125" style="6" customWidth="1"/>
    <col min="16090" max="16090" width="12.5546875" style="6" customWidth="1"/>
    <col min="16091" max="16091" width="16.44140625" style="6" customWidth="1"/>
    <col min="16092" max="16384" width="9.109375" style="6"/>
  </cols>
  <sheetData>
    <row r="1" spans="1:6" s="37" customFormat="1" ht="22.8" x14ac:dyDescent="0.3">
      <c r="A1" s="52" t="s">
        <v>1</v>
      </c>
      <c r="B1" s="53" t="s">
        <v>2</v>
      </c>
      <c r="C1" s="54" t="s">
        <v>100</v>
      </c>
      <c r="D1" s="55" t="s">
        <v>3</v>
      </c>
      <c r="E1" s="56" t="s">
        <v>95</v>
      </c>
      <c r="F1" s="55" t="s">
        <v>96</v>
      </c>
    </row>
    <row r="2" spans="1:6" x14ac:dyDescent="0.25">
      <c r="A2" s="50"/>
      <c r="C2" s="38"/>
      <c r="D2" s="39"/>
      <c r="E2" s="40"/>
      <c r="F2" s="39"/>
    </row>
    <row r="3" spans="1:6" x14ac:dyDescent="0.25">
      <c r="A3" s="45" t="s">
        <v>20</v>
      </c>
      <c r="B3" s="19" t="s">
        <v>97</v>
      </c>
    </row>
    <row r="4" spans="1:6" x14ac:dyDescent="0.25">
      <c r="A4" s="45"/>
      <c r="B4" s="19"/>
    </row>
    <row r="5" spans="1:6" x14ac:dyDescent="0.25">
      <c r="A5" s="44" t="s">
        <v>6</v>
      </c>
      <c r="B5" s="19" t="s">
        <v>82</v>
      </c>
      <c r="C5" s="41"/>
      <c r="D5" s="42"/>
      <c r="E5" s="43"/>
      <c r="F5" s="42"/>
    </row>
    <row r="6" spans="1:6" ht="66" x14ac:dyDescent="0.25">
      <c r="A6" s="32" t="s">
        <v>21</v>
      </c>
      <c r="B6" s="59" t="s">
        <v>101</v>
      </c>
      <c r="C6" s="2" t="s">
        <v>46</v>
      </c>
      <c r="D6" s="51">
        <v>1</v>
      </c>
      <c r="E6" s="34">
        <v>5000</v>
      </c>
      <c r="F6" s="3">
        <f t="shared" ref="F6:F7" si="0">D6*$E6</f>
        <v>5000</v>
      </c>
    </row>
    <row r="7" spans="1:6" ht="66" x14ac:dyDescent="0.25">
      <c r="A7" s="32" t="s">
        <v>22</v>
      </c>
      <c r="B7" s="59" t="s">
        <v>194</v>
      </c>
      <c r="C7" s="2" t="s">
        <v>46</v>
      </c>
      <c r="D7" s="51">
        <v>1</v>
      </c>
      <c r="E7" s="34">
        <v>500</v>
      </c>
      <c r="F7" s="3">
        <f t="shared" si="0"/>
        <v>500</v>
      </c>
    </row>
    <row r="8" spans="1:6" x14ac:dyDescent="0.25">
      <c r="B8" s="44" t="s">
        <v>195</v>
      </c>
      <c r="C8" s="6"/>
      <c r="D8" s="6"/>
      <c r="E8" s="21"/>
      <c r="F8" s="42">
        <f>SUM(F6:F7)</f>
        <v>5500</v>
      </c>
    </row>
    <row r="9" spans="1:6" x14ac:dyDescent="0.25">
      <c r="B9" s="59"/>
    </row>
    <row r="10" spans="1:6" x14ac:dyDescent="0.25">
      <c r="A10" s="45" t="s">
        <v>11</v>
      </c>
      <c r="B10" s="60" t="s">
        <v>196</v>
      </c>
    </row>
    <row r="11" spans="1:6" ht="171.6" x14ac:dyDescent="0.25">
      <c r="A11" s="32" t="s">
        <v>26</v>
      </c>
      <c r="B11" s="59" t="s">
        <v>197</v>
      </c>
      <c r="C11" s="2" t="s">
        <v>9</v>
      </c>
      <c r="D11" s="3">
        <v>50</v>
      </c>
      <c r="E11" s="34">
        <v>50</v>
      </c>
      <c r="F11" s="3">
        <f t="shared" ref="F11:F12" si="1">D11*$E11</f>
        <v>2500</v>
      </c>
    </row>
    <row r="12" spans="1:6" ht="79.2" x14ac:dyDescent="0.25">
      <c r="A12" s="32" t="s">
        <v>27</v>
      </c>
      <c r="B12" s="59" t="s">
        <v>198</v>
      </c>
      <c r="C12" s="2" t="s">
        <v>8</v>
      </c>
      <c r="D12" s="51">
        <v>14</v>
      </c>
      <c r="E12" s="34">
        <v>30</v>
      </c>
      <c r="F12" s="3">
        <f t="shared" si="1"/>
        <v>420</v>
      </c>
    </row>
    <row r="13" spans="1:6" ht="39.6" x14ac:dyDescent="0.25">
      <c r="A13" s="32" t="s">
        <v>28</v>
      </c>
      <c r="B13" s="59" t="s">
        <v>199</v>
      </c>
      <c r="D13" s="51"/>
    </row>
    <row r="14" spans="1:6" x14ac:dyDescent="0.25">
      <c r="A14" s="32" t="s">
        <v>61</v>
      </c>
      <c r="B14" s="59" t="s">
        <v>200</v>
      </c>
      <c r="C14" s="2" t="s">
        <v>10</v>
      </c>
      <c r="D14" s="3">
        <v>200</v>
      </c>
      <c r="E14" s="34">
        <v>1</v>
      </c>
      <c r="F14" s="3">
        <f t="shared" ref="F14:F26" si="2">D14*$E14</f>
        <v>200</v>
      </c>
    </row>
    <row r="15" spans="1:6" x14ac:dyDescent="0.25">
      <c r="A15" s="32" t="s">
        <v>62</v>
      </c>
      <c r="B15" s="59" t="s">
        <v>201</v>
      </c>
      <c r="C15" s="2" t="s">
        <v>8</v>
      </c>
      <c r="D15" s="51">
        <v>20</v>
      </c>
      <c r="E15" s="34">
        <v>10</v>
      </c>
      <c r="F15" s="3">
        <f t="shared" si="2"/>
        <v>200</v>
      </c>
    </row>
    <row r="16" spans="1:6" x14ac:dyDescent="0.25">
      <c r="A16" s="32" t="s">
        <v>63</v>
      </c>
      <c r="B16" s="59" t="s">
        <v>202</v>
      </c>
      <c r="C16" s="2" t="s">
        <v>8</v>
      </c>
      <c r="D16" s="51">
        <v>2</v>
      </c>
      <c r="E16" s="34">
        <v>50</v>
      </c>
      <c r="F16" s="3">
        <f t="shared" si="2"/>
        <v>100</v>
      </c>
    </row>
    <row r="17" spans="1:6" ht="118.8" x14ac:dyDescent="0.25">
      <c r="A17" s="32" t="s">
        <v>29</v>
      </c>
      <c r="B17" s="59" t="s">
        <v>203</v>
      </c>
      <c r="C17" s="2" t="s">
        <v>8</v>
      </c>
      <c r="D17" s="51">
        <v>12</v>
      </c>
      <c r="E17" s="34">
        <v>50</v>
      </c>
      <c r="F17" s="3">
        <f t="shared" si="2"/>
        <v>600</v>
      </c>
    </row>
    <row r="18" spans="1:6" ht="118.8" x14ac:dyDescent="0.25">
      <c r="A18" s="32" t="s">
        <v>52</v>
      </c>
      <c r="B18" s="59" t="s">
        <v>204</v>
      </c>
      <c r="C18" s="2" t="s">
        <v>8</v>
      </c>
      <c r="D18" s="51">
        <v>20</v>
      </c>
      <c r="E18" s="34">
        <v>100</v>
      </c>
      <c r="F18" s="3">
        <f t="shared" si="2"/>
        <v>2000</v>
      </c>
    </row>
    <row r="19" spans="1:6" ht="92.4" x14ac:dyDescent="0.25">
      <c r="A19" s="32" t="s">
        <v>76</v>
      </c>
      <c r="B19" s="59" t="s">
        <v>205</v>
      </c>
      <c r="C19" s="2" t="s">
        <v>8</v>
      </c>
      <c r="D19" s="51">
        <v>1</v>
      </c>
      <c r="E19" s="34">
        <v>100</v>
      </c>
      <c r="F19" s="3">
        <f t="shared" si="2"/>
        <v>100</v>
      </c>
    </row>
    <row r="20" spans="1:6" ht="118.8" x14ac:dyDescent="0.25">
      <c r="A20" s="32" t="s">
        <v>83</v>
      </c>
      <c r="B20" s="1" t="s">
        <v>206</v>
      </c>
      <c r="C20" s="2" t="s">
        <v>10</v>
      </c>
      <c r="D20" s="3">
        <v>100</v>
      </c>
      <c r="E20" s="34">
        <v>2</v>
      </c>
      <c r="F20" s="3">
        <f t="shared" si="2"/>
        <v>200</v>
      </c>
    </row>
    <row r="21" spans="1:6" ht="158.4" x14ac:dyDescent="0.25">
      <c r="A21" s="32" t="s">
        <v>84</v>
      </c>
      <c r="B21" s="59" t="s">
        <v>207</v>
      </c>
      <c r="C21" s="2" t="s">
        <v>10</v>
      </c>
      <c r="D21" s="3">
        <v>150</v>
      </c>
      <c r="E21" s="34">
        <v>5</v>
      </c>
      <c r="F21" s="3">
        <f t="shared" si="2"/>
        <v>750</v>
      </c>
    </row>
    <row r="22" spans="1:6" ht="92.4" x14ac:dyDescent="0.25">
      <c r="A22" s="32" t="s">
        <v>86</v>
      </c>
      <c r="B22" s="59" t="s">
        <v>208</v>
      </c>
      <c r="C22" s="2" t="s">
        <v>7</v>
      </c>
      <c r="D22" s="3">
        <v>650</v>
      </c>
      <c r="E22" s="34">
        <v>22</v>
      </c>
      <c r="F22" s="3">
        <f t="shared" si="2"/>
        <v>14300</v>
      </c>
    </row>
    <row r="23" spans="1:6" ht="92.4" x14ac:dyDescent="0.25">
      <c r="A23" s="32" t="s">
        <v>87</v>
      </c>
      <c r="B23" s="59" t="s">
        <v>209</v>
      </c>
      <c r="C23" s="2" t="s">
        <v>104</v>
      </c>
      <c r="D23" s="3">
        <v>100</v>
      </c>
      <c r="E23" s="34">
        <v>3</v>
      </c>
      <c r="F23" s="3">
        <f t="shared" si="2"/>
        <v>300</v>
      </c>
    </row>
    <row r="24" spans="1:6" ht="237.6" x14ac:dyDescent="0.25">
      <c r="A24" s="32" t="s">
        <v>88</v>
      </c>
      <c r="B24" s="59" t="s">
        <v>211</v>
      </c>
      <c r="C24" s="2" t="s">
        <v>9</v>
      </c>
      <c r="D24" s="3">
        <v>29</v>
      </c>
      <c r="E24" s="34">
        <v>400</v>
      </c>
      <c r="F24" s="3">
        <f t="shared" si="2"/>
        <v>11600</v>
      </c>
    </row>
    <row r="25" spans="1:6" ht="79.2" x14ac:dyDescent="0.25">
      <c r="A25" s="32" t="s">
        <v>89</v>
      </c>
      <c r="B25" s="59" t="s">
        <v>212</v>
      </c>
      <c r="C25" s="2" t="s">
        <v>7</v>
      </c>
      <c r="D25" s="3">
        <v>150</v>
      </c>
      <c r="E25" s="34">
        <v>15</v>
      </c>
      <c r="F25" s="3">
        <f t="shared" si="2"/>
        <v>2250</v>
      </c>
    </row>
    <row r="26" spans="1:6" ht="52.8" x14ac:dyDescent="0.25">
      <c r="A26" s="32" t="s">
        <v>90</v>
      </c>
      <c r="B26" s="59" t="s">
        <v>213</v>
      </c>
      <c r="C26" s="2" t="s">
        <v>7</v>
      </c>
      <c r="D26" s="3">
        <v>550</v>
      </c>
      <c r="E26" s="34">
        <v>5</v>
      </c>
      <c r="F26" s="3">
        <f t="shared" si="2"/>
        <v>2750</v>
      </c>
    </row>
    <row r="27" spans="1:6" x14ac:dyDescent="0.25">
      <c r="B27" s="44" t="s">
        <v>214</v>
      </c>
      <c r="C27" s="6"/>
      <c r="D27" s="6"/>
      <c r="E27" s="21"/>
      <c r="F27" s="42">
        <f>SUM(F11:F26)</f>
        <v>38270</v>
      </c>
    </row>
    <row r="28" spans="1:6" x14ac:dyDescent="0.25">
      <c r="B28" s="44"/>
      <c r="C28" s="6"/>
      <c r="D28" s="6"/>
      <c r="E28" s="21"/>
    </row>
    <row r="29" spans="1:6" x14ac:dyDescent="0.25">
      <c r="A29" s="45" t="s">
        <v>12</v>
      </c>
      <c r="B29" s="61" t="s">
        <v>65</v>
      </c>
      <c r="C29" s="41"/>
      <c r="D29" s="41"/>
      <c r="E29" s="62"/>
      <c r="F29" s="41"/>
    </row>
    <row r="30" spans="1:6" ht="184.8" x14ac:dyDescent="0.25">
      <c r="A30" s="32" t="s">
        <v>30</v>
      </c>
      <c r="B30" s="1" t="s">
        <v>215</v>
      </c>
    </row>
    <row r="31" spans="1:6" x14ac:dyDescent="0.25">
      <c r="A31" s="32" t="s">
        <v>61</v>
      </c>
      <c r="B31" s="1" t="s">
        <v>734</v>
      </c>
      <c r="C31" s="2" t="s">
        <v>9</v>
      </c>
      <c r="D31" s="3">
        <v>18</v>
      </c>
      <c r="E31" s="34">
        <v>20</v>
      </c>
      <c r="F31" s="3">
        <f t="shared" ref="F31:F41" si="3">D31*$E31</f>
        <v>360</v>
      </c>
    </row>
    <row r="32" spans="1:6" x14ac:dyDescent="0.25">
      <c r="A32" s="32" t="s">
        <v>62</v>
      </c>
      <c r="B32" s="1" t="s">
        <v>735</v>
      </c>
      <c r="C32" s="2" t="s">
        <v>9</v>
      </c>
      <c r="D32" s="3">
        <v>17</v>
      </c>
      <c r="E32" s="34">
        <v>80</v>
      </c>
      <c r="F32" s="3">
        <f t="shared" si="3"/>
        <v>1360</v>
      </c>
    </row>
    <row r="33" spans="1:6" ht="198" x14ac:dyDescent="0.25">
      <c r="A33" s="32" t="s">
        <v>31</v>
      </c>
      <c r="B33" s="1" t="s">
        <v>216</v>
      </c>
    </row>
    <row r="34" spans="1:6" x14ac:dyDescent="0.25">
      <c r="A34" s="32" t="s">
        <v>61</v>
      </c>
      <c r="B34" s="1" t="s">
        <v>734</v>
      </c>
      <c r="C34" s="2" t="s">
        <v>9</v>
      </c>
      <c r="D34" s="3">
        <v>8</v>
      </c>
      <c r="E34" s="34">
        <v>20</v>
      </c>
      <c r="F34" s="3">
        <f t="shared" ref="F34:F35" si="4">D34*$E34</f>
        <v>160</v>
      </c>
    </row>
    <row r="35" spans="1:6" x14ac:dyDescent="0.25">
      <c r="A35" s="32" t="s">
        <v>62</v>
      </c>
      <c r="B35" s="1" t="s">
        <v>735</v>
      </c>
      <c r="C35" s="2" t="s">
        <v>9</v>
      </c>
      <c r="D35" s="3">
        <v>2</v>
      </c>
      <c r="E35" s="34">
        <v>80</v>
      </c>
      <c r="F35" s="3">
        <f t="shared" si="4"/>
        <v>160</v>
      </c>
    </row>
    <row r="36" spans="1:6" ht="26.4" x14ac:dyDescent="0.25">
      <c r="A36" s="32" t="s">
        <v>32</v>
      </c>
      <c r="B36" s="1" t="s">
        <v>217</v>
      </c>
    </row>
    <row r="37" spans="1:6" x14ac:dyDescent="0.25">
      <c r="A37" s="32" t="s">
        <v>61</v>
      </c>
      <c r="B37" s="1" t="s">
        <v>736</v>
      </c>
      <c r="C37" s="2" t="s">
        <v>7</v>
      </c>
      <c r="D37" s="3">
        <v>50</v>
      </c>
      <c r="E37" s="34">
        <v>5</v>
      </c>
      <c r="F37" s="3">
        <f t="shared" ref="F37:F38" si="5">D37*$E37</f>
        <v>250</v>
      </c>
    </row>
    <row r="38" spans="1:6" x14ac:dyDescent="0.25">
      <c r="A38" s="32" t="s">
        <v>62</v>
      </c>
      <c r="B38" s="1" t="s">
        <v>737</v>
      </c>
      <c r="C38" s="2" t="s">
        <v>7</v>
      </c>
      <c r="D38" s="3">
        <v>50</v>
      </c>
      <c r="E38" s="34">
        <v>5</v>
      </c>
      <c r="F38" s="3">
        <f t="shared" si="5"/>
        <v>250</v>
      </c>
    </row>
    <row r="39" spans="1:6" ht="132" x14ac:dyDescent="0.25">
      <c r="A39" s="32" t="s">
        <v>33</v>
      </c>
      <c r="B39" s="1" t="s">
        <v>218</v>
      </c>
      <c r="C39" s="2" t="s">
        <v>9</v>
      </c>
      <c r="D39" s="3">
        <v>30</v>
      </c>
      <c r="E39" s="34">
        <v>60</v>
      </c>
      <c r="F39" s="3">
        <f t="shared" si="3"/>
        <v>1800</v>
      </c>
    </row>
    <row r="40" spans="1:6" ht="79.2" x14ac:dyDescent="0.25">
      <c r="A40" s="32" t="s">
        <v>53</v>
      </c>
      <c r="B40" s="1" t="s">
        <v>219</v>
      </c>
      <c r="C40" s="2" t="s">
        <v>7</v>
      </c>
      <c r="D40" s="3">
        <v>20</v>
      </c>
      <c r="E40" s="34">
        <v>20</v>
      </c>
      <c r="F40" s="3">
        <f t="shared" si="3"/>
        <v>400</v>
      </c>
    </row>
    <row r="41" spans="1:6" ht="79.2" x14ac:dyDescent="0.25">
      <c r="A41" s="32" t="s">
        <v>54</v>
      </c>
      <c r="B41" s="1" t="s">
        <v>220</v>
      </c>
      <c r="C41" s="2" t="s">
        <v>46</v>
      </c>
      <c r="D41" s="51">
        <v>1</v>
      </c>
      <c r="E41" s="34">
        <v>300</v>
      </c>
      <c r="F41" s="3">
        <f t="shared" si="3"/>
        <v>300</v>
      </c>
    </row>
    <row r="42" spans="1:6" x14ac:dyDescent="0.25">
      <c r="B42" s="44" t="s">
        <v>221</v>
      </c>
      <c r="C42" s="6"/>
      <c r="D42" s="6"/>
      <c r="E42" s="21"/>
      <c r="F42" s="42">
        <f>SUM(F31:F41)</f>
        <v>5040</v>
      </c>
    </row>
    <row r="43" spans="1:6" x14ac:dyDescent="0.25">
      <c r="B43" s="44"/>
      <c r="C43" s="6"/>
      <c r="D43" s="6"/>
      <c r="E43" s="21"/>
    </row>
    <row r="44" spans="1:6" x14ac:dyDescent="0.25">
      <c r="A44" s="45" t="s">
        <v>13</v>
      </c>
      <c r="B44" s="61" t="s">
        <v>222</v>
      </c>
      <c r="C44" s="41"/>
      <c r="D44" s="41"/>
      <c r="E44" s="62"/>
      <c r="F44" s="41"/>
    </row>
    <row r="45" spans="1:6" ht="158.4" x14ac:dyDescent="0.25">
      <c r="A45" s="32" t="s">
        <v>34</v>
      </c>
      <c r="B45" s="1" t="s">
        <v>225</v>
      </c>
      <c r="D45" s="51"/>
    </row>
    <row r="46" spans="1:6" x14ac:dyDescent="0.25">
      <c r="A46" s="32" t="s">
        <v>61</v>
      </c>
      <c r="B46" s="1" t="s">
        <v>114</v>
      </c>
      <c r="C46" s="2" t="s">
        <v>9</v>
      </c>
      <c r="D46" s="3">
        <v>55</v>
      </c>
      <c r="E46" s="34">
        <v>190</v>
      </c>
      <c r="F46" s="3">
        <f>D46*$E46</f>
        <v>10450</v>
      </c>
    </row>
    <row r="47" spans="1:6" x14ac:dyDescent="0.25">
      <c r="A47" s="32" t="s">
        <v>62</v>
      </c>
      <c r="B47" s="1" t="s">
        <v>102</v>
      </c>
      <c r="C47" s="2" t="s">
        <v>7</v>
      </c>
      <c r="D47" s="3">
        <v>105</v>
      </c>
      <c r="E47" s="34">
        <v>30</v>
      </c>
      <c r="F47" s="3">
        <f>D47*$E47</f>
        <v>3150</v>
      </c>
    </row>
    <row r="48" spans="1:6" x14ac:dyDescent="0.25">
      <c r="A48" s="32" t="s">
        <v>63</v>
      </c>
      <c r="B48" s="1" t="s">
        <v>223</v>
      </c>
      <c r="C48" s="2" t="s">
        <v>104</v>
      </c>
      <c r="D48" s="3">
        <v>4500</v>
      </c>
      <c r="E48" s="34">
        <v>1.5</v>
      </c>
      <c r="F48" s="3">
        <f>D48*$E48</f>
        <v>6750</v>
      </c>
    </row>
    <row r="49" spans="1:6" ht="158.4" x14ac:dyDescent="0.25">
      <c r="A49" s="32" t="s">
        <v>43</v>
      </c>
      <c r="B49" s="1" t="s">
        <v>224</v>
      </c>
      <c r="D49" s="51"/>
    </row>
    <row r="50" spans="1:6" x14ac:dyDescent="0.25">
      <c r="A50" s="32" t="s">
        <v>61</v>
      </c>
      <c r="B50" s="1" t="s">
        <v>114</v>
      </c>
      <c r="C50" s="2" t="s">
        <v>9</v>
      </c>
      <c r="D50" s="3">
        <v>15</v>
      </c>
      <c r="E50" s="34">
        <v>190</v>
      </c>
      <c r="F50" s="3">
        <f>D50*$E50</f>
        <v>2850</v>
      </c>
    </row>
    <row r="51" spans="1:6" x14ac:dyDescent="0.25">
      <c r="A51" s="32" t="s">
        <v>62</v>
      </c>
      <c r="B51" s="1" t="s">
        <v>102</v>
      </c>
      <c r="C51" s="2" t="s">
        <v>7</v>
      </c>
      <c r="D51" s="3">
        <v>80</v>
      </c>
      <c r="E51" s="34">
        <v>30</v>
      </c>
      <c r="F51" s="3">
        <f>D51*$E51</f>
        <v>2400</v>
      </c>
    </row>
    <row r="52" spans="1:6" x14ac:dyDescent="0.25">
      <c r="A52" s="32" t="s">
        <v>63</v>
      </c>
      <c r="B52" s="1" t="s">
        <v>223</v>
      </c>
      <c r="C52" s="2" t="s">
        <v>104</v>
      </c>
      <c r="D52" s="3">
        <v>1500</v>
      </c>
      <c r="E52" s="34">
        <v>1.5</v>
      </c>
      <c r="F52" s="3">
        <f>D52*$E52</f>
        <v>2250</v>
      </c>
    </row>
    <row r="53" spans="1:6" ht="198" x14ac:dyDescent="0.25">
      <c r="A53" s="32" t="s">
        <v>44</v>
      </c>
      <c r="B53" s="1" t="s">
        <v>226</v>
      </c>
    </row>
    <row r="54" spans="1:6" x14ac:dyDescent="0.25">
      <c r="A54" s="32" t="s">
        <v>61</v>
      </c>
      <c r="B54" s="1" t="s">
        <v>114</v>
      </c>
      <c r="C54" s="2" t="s">
        <v>9</v>
      </c>
      <c r="D54" s="3">
        <v>10</v>
      </c>
      <c r="E54" s="34">
        <v>250</v>
      </c>
      <c r="F54" s="3">
        <f>D54*$E54</f>
        <v>2500</v>
      </c>
    </row>
    <row r="55" spans="1:6" x14ac:dyDescent="0.25">
      <c r="A55" s="32" t="s">
        <v>62</v>
      </c>
      <c r="B55" s="1" t="s">
        <v>102</v>
      </c>
      <c r="C55" s="2" t="s">
        <v>7</v>
      </c>
      <c r="D55" s="3">
        <v>30</v>
      </c>
      <c r="E55" s="34">
        <v>50</v>
      </c>
      <c r="F55" s="3">
        <f>D55*$E55</f>
        <v>1500</v>
      </c>
    </row>
    <row r="56" spans="1:6" x14ac:dyDescent="0.25">
      <c r="A56" s="32" t="s">
        <v>63</v>
      </c>
      <c r="B56" s="1" t="s">
        <v>223</v>
      </c>
      <c r="C56" s="2" t="s">
        <v>104</v>
      </c>
      <c r="D56" s="3">
        <v>1000</v>
      </c>
      <c r="E56" s="34">
        <v>1.5</v>
      </c>
      <c r="F56" s="3">
        <f>D56*$E56</f>
        <v>1500</v>
      </c>
    </row>
    <row r="57" spans="1:6" ht="132" x14ac:dyDescent="0.25">
      <c r="A57" s="32" t="s">
        <v>69</v>
      </c>
      <c r="B57" s="1" t="s">
        <v>227</v>
      </c>
    </row>
    <row r="58" spans="1:6" x14ac:dyDescent="0.25">
      <c r="A58" s="32" t="s">
        <v>61</v>
      </c>
      <c r="B58" s="1" t="s">
        <v>114</v>
      </c>
      <c r="C58" s="2" t="s">
        <v>9</v>
      </c>
      <c r="D58" s="3">
        <v>8</v>
      </c>
      <c r="E58" s="34">
        <v>250</v>
      </c>
      <c r="F58" s="3">
        <f>D58*$E58</f>
        <v>2000</v>
      </c>
    </row>
    <row r="59" spans="1:6" x14ac:dyDescent="0.25">
      <c r="A59" s="32" t="s">
        <v>62</v>
      </c>
      <c r="B59" s="1" t="s">
        <v>102</v>
      </c>
      <c r="C59" s="2" t="s">
        <v>7</v>
      </c>
      <c r="D59" s="3">
        <v>25</v>
      </c>
      <c r="E59" s="34">
        <v>50</v>
      </c>
      <c r="F59" s="3">
        <f>D59*$E59</f>
        <v>1250</v>
      </c>
    </row>
    <row r="60" spans="1:6" x14ac:dyDescent="0.25">
      <c r="A60" s="32" t="s">
        <v>63</v>
      </c>
      <c r="B60" s="1" t="s">
        <v>223</v>
      </c>
      <c r="C60" s="2" t="s">
        <v>104</v>
      </c>
      <c r="D60" s="3">
        <v>800</v>
      </c>
      <c r="E60" s="34">
        <v>1.6</v>
      </c>
      <c r="F60" s="3">
        <f>D60*$E60</f>
        <v>1280</v>
      </c>
    </row>
    <row r="61" spans="1:6" ht="145.19999999999999" x14ac:dyDescent="0.25">
      <c r="A61" s="32" t="s">
        <v>78</v>
      </c>
      <c r="B61" s="1" t="s">
        <v>228</v>
      </c>
    </row>
    <row r="62" spans="1:6" x14ac:dyDescent="0.25">
      <c r="A62" s="32" t="s">
        <v>61</v>
      </c>
      <c r="B62" s="1" t="s">
        <v>114</v>
      </c>
      <c r="C62" s="2" t="s">
        <v>9</v>
      </c>
      <c r="D62" s="3">
        <v>7</v>
      </c>
      <c r="E62" s="34">
        <v>250</v>
      </c>
      <c r="F62" s="3">
        <f>D62*$E62</f>
        <v>1750</v>
      </c>
    </row>
    <row r="63" spans="1:6" x14ac:dyDescent="0.25">
      <c r="A63" s="32" t="s">
        <v>62</v>
      </c>
      <c r="B63" s="1" t="s">
        <v>102</v>
      </c>
      <c r="C63" s="2" t="s">
        <v>7</v>
      </c>
      <c r="D63" s="3">
        <v>15</v>
      </c>
      <c r="E63" s="34">
        <v>50</v>
      </c>
      <c r="F63" s="3">
        <f>D63*$E63</f>
        <v>750</v>
      </c>
    </row>
    <row r="64" spans="1:6" x14ac:dyDescent="0.25">
      <c r="A64" s="32" t="s">
        <v>63</v>
      </c>
      <c r="B64" s="1" t="s">
        <v>223</v>
      </c>
      <c r="C64" s="2" t="s">
        <v>104</v>
      </c>
      <c r="D64" s="3">
        <v>700</v>
      </c>
      <c r="E64" s="34">
        <v>1.6</v>
      </c>
      <c r="F64" s="3">
        <f>D64*$E64</f>
        <v>1120</v>
      </c>
    </row>
    <row r="65" spans="1:6" ht="118.8" x14ac:dyDescent="0.25">
      <c r="A65" s="32" t="s">
        <v>79</v>
      </c>
      <c r="B65" s="1" t="s">
        <v>229</v>
      </c>
    </row>
    <row r="66" spans="1:6" x14ac:dyDescent="0.25">
      <c r="A66" s="32" t="s">
        <v>61</v>
      </c>
      <c r="B66" s="1" t="s">
        <v>114</v>
      </c>
      <c r="C66" s="2" t="s">
        <v>9</v>
      </c>
      <c r="D66" s="3">
        <v>3</v>
      </c>
      <c r="E66" s="34">
        <v>500</v>
      </c>
      <c r="F66" s="3">
        <f>D66*$E66</f>
        <v>1500</v>
      </c>
    </row>
    <row r="67" spans="1:6" x14ac:dyDescent="0.25">
      <c r="A67" s="32" t="s">
        <v>62</v>
      </c>
      <c r="B67" s="1" t="s">
        <v>102</v>
      </c>
      <c r="C67" s="2" t="s">
        <v>7</v>
      </c>
      <c r="D67" s="3">
        <v>10</v>
      </c>
      <c r="E67" s="34">
        <v>100</v>
      </c>
      <c r="F67" s="3">
        <f>D67*$E67</f>
        <v>1000</v>
      </c>
    </row>
    <row r="68" spans="1:6" ht="145.19999999999999" x14ac:dyDescent="0.25">
      <c r="A68" s="32" t="s">
        <v>85</v>
      </c>
      <c r="B68" s="1" t="s">
        <v>230</v>
      </c>
    </row>
    <row r="69" spans="1:6" x14ac:dyDescent="0.25">
      <c r="A69" s="32" t="s">
        <v>61</v>
      </c>
      <c r="B69" s="1" t="s">
        <v>231</v>
      </c>
      <c r="C69" s="2" t="s">
        <v>9</v>
      </c>
      <c r="D69" s="3">
        <v>4.7</v>
      </c>
      <c r="E69" s="34">
        <v>190</v>
      </c>
      <c r="F69" s="3">
        <f>D69*$E69</f>
        <v>893</v>
      </c>
    </row>
    <row r="70" spans="1:6" x14ac:dyDescent="0.25">
      <c r="A70" s="32" t="s">
        <v>62</v>
      </c>
      <c r="B70" s="1" t="s">
        <v>232</v>
      </c>
      <c r="C70" s="2" t="s">
        <v>7</v>
      </c>
      <c r="D70" s="3">
        <v>14.5</v>
      </c>
      <c r="E70" s="34">
        <v>50</v>
      </c>
      <c r="F70" s="3">
        <f>D70*$E70</f>
        <v>725</v>
      </c>
    </row>
    <row r="71" spans="1:6" x14ac:dyDescent="0.25">
      <c r="A71" s="32" t="s">
        <v>63</v>
      </c>
      <c r="B71" s="1" t="s">
        <v>233</v>
      </c>
      <c r="C71" s="2" t="s">
        <v>104</v>
      </c>
      <c r="D71" s="3">
        <v>450</v>
      </c>
      <c r="E71" s="34">
        <v>1.5</v>
      </c>
      <c r="F71" s="3">
        <f>D71*$E71</f>
        <v>675</v>
      </c>
    </row>
    <row r="72" spans="1:6" x14ac:dyDescent="0.25">
      <c r="A72" s="7"/>
      <c r="B72" s="44" t="s">
        <v>234</v>
      </c>
      <c r="C72" s="6"/>
      <c r="D72" s="6"/>
      <c r="E72" s="21"/>
      <c r="F72" s="42">
        <f>SUM(F46:F71)</f>
        <v>46293</v>
      </c>
    </row>
    <row r="74" spans="1:6" x14ac:dyDescent="0.25">
      <c r="A74" s="35" t="s">
        <v>14</v>
      </c>
      <c r="B74" s="61" t="s">
        <v>235</v>
      </c>
      <c r="C74" s="63"/>
      <c r="D74" s="63"/>
      <c r="E74" s="64"/>
      <c r="F74" s="63"/>
    </row>
    <row r="75" spans="1:6" ht="356.4" x14ac:dyDescent="0.25">
      <c r="A75" s="32" t="s">
        <v>35</v>
      </c>
      <c r="B75" s="1" t="s">
        <v>236</v>
      </c>
    </row>
    <row r="76" spans="1:6" x14ac:dyDescent="0.25">
      <c r="A76" s="32" t="s">
        <v>61</v>
      </c>
      <c r="B76" s="1" t="s">
        <v>237</v>
      </c>
      <c r="C76" s="2" t="s">
        <v>7</v>
      </c>
      <c r="D76" s="3">
        <v>330</v>
      </c>
      <c r="E76" s="34">
        <v>55</v>
      </c>
      <c r="F76" s="3">
        <f>D76*$E76</f>
        <v>18150</v>
      </c>
    </row>
    <row r="77" spans="1:6" x14ac:dyDescent="0.25">
      <c r="A77" s="32" t="s">
        <v>62</v>
      </c>
      <c r="B77" s="1" t="s">
        <v>238</v>
      </c>
      <c r="C77" s="2" t="s">
        <v>7</v>
      </c>
      <c r="D77" s="3">
        <v>80</v>
      </c>
      <c r="E77" s="34">
        <v>55</v>
      </c>
      <c r="F77" s="3">
        <f>D77*$E77</f>
        <v>4400</v>
      </c>
    </row>
    <row r="78" spans="1:6" x14ac:dyDescent="0.25">
      <c r="A78" s="32" t="s">
        <v>63</v>
      </c>
      <c r="B78" s="1" t="s">
        <v>239</v>
      </c>
      <c r="C78" s="2" t="s">
        <v>7</v>
      </c>
      <c r="D78" s="3">
        <v>40</v>
      </c>
      <c r="E78" s="34">
        <v>55</v>
      </c>
      <c r="F78" s="3">
        <f>D78*$E78</f>
        <v>2200</v>
      </c>
    </row>
    <row r="79" spans="1:6" ht="92.4" x14ac:dyDescent="0.25">
      <c r="A79" s="32" t="s">
        <v>36</v>
      </c>
      <c r="B79" s="1" t="s">
        <v>738</v>
      </c>
      <c r="C79" s="2" t="s">
        <v>104</v>
      </c>
      <c r="D79" s="3">
        <v>100</v>
      </c>
      <c r="E79" s="34">
        <v>8</v>
      </c>
      <c r="F79" s="3">
        <f>D79*$E79</f>
        <v>800</v>
      </c>
    </row>
    <row r="80" spans="1:6" ht="184.8" x14ac:dyDescent="0.25">
      <c r="A80" s="32" t="s">
        <v>37</v>
      </c>
      <c r="B80" s="1" t="s">
        <v>739</v>
      </c>
      <c r="C80" s="2" t="s">
        <v>10</v>
      </c>
      <c r="D80" s="3">
        <v>20</v>
      </c>
      <c r="E80" s="34">
        <v>230</v>
      </c>
      <c r="F80" s="3">
        <f>D80*$E80</f>
        <v>4600</v>
      </c>
    </row>
    <row r="81" spans="1:6" x14ac:dyDescent="0.25">
      <c r="B81" s="44" t="s">
        <v>240</v>
      </c>
      <c r="C81" s="6"/>
      <c r="D81" s="6"/>
      <c r="E81" s="21"/>
      <c r="F81" s="42">
        <f>SUM(F76:F80)</f>
        <v>30150</v>
      </c>
    </row>
    <row r="83" spans="1:6" x14ac:dyDescent="0.25">
      <c r="A83" s="45" t="s">
        <v>15</v>
      </c>
      <c r="B83" s="61" t="s">
        <v>241</v>
      </c>
      <c r="C83" s="41"/>
      <c r="D83" s="41"/>
      <c r="E83" s="62"/>
      <c r="F83" s="41"/>
    </row>
    <row r="84" spans="1:6" ht="198" x14ac:dyDescent="0.25">
      <c r="A84" s="32" t="s">
        <v>39</v>
      </c>
      <c r="B84" s="59" t="s">
        <v>242</v>
      </c>
      <c r="C84" s="2" t="s">
        <v>9</v>
      </c>
      <c r="D84" s="3">
        <v>90</v>
      </c>
      <c r="E84" s="34">
        <v>250</v>
      </c>
      <c r="F84" s="3">
        <f t="shared" ref="F84:F100" si="6">D84*$E84</f>
        <v>22500</v>
      </c>
    </row>
    <row r="85" spans="1:6" ht="237.6" x14ac:dyDescent="0.25">
      <c r="A85" s="32" t="s">
        <v>40</v>
      </c>
      <c r="B85" s="1" t="s">
        <v>243</v>
      </c>
      <c r="C85" s="2" t="s">
        <v>7</v>
      </c>
      <c r="D85" s="3">
        <v>530</v>
      </c>
      <c r="E85" s="34">
        <v>17</v>
      </c>
      <c r="F85" s="3">
        <f t="shared" si="6"/>
        <v>9010</v>
      </c>
    </row>
    <row r="86" spans="1:6" ht="92.4" x14ac:dyDescent="0.25">
      <c r="A86" s="32" t="s">
        <v>70</v>
      </c>
      <c r="B86" s="1" t="s">
        <v>244</v>
      </c>
      <c r="C86" s="2" t="s">
        <v>7</v>
      </c>
      <c r="D86" s="3">
        <v>20</v>
      </c>
      <c r="E86" s="34">
        <v>30</v>
      </c>
      <c r="F86" s="3">
        <f t="shared" si="6"/>
        <v>600</v>
      </c>
    </row>
    <row r="87" spans="1:6" ht="79.2" x14ac:dyDescent="0.25">
      <c r="A87" s="32" t="s">
        <v>71</v>
      </c>
      <c r="B87" s="1" t="s">
        <v>245</v>
      </c>
      <c r="C87" s="2" t="s">
        <v>7</v>
      </c>
      <c r="D87" s="3">
        <v>20</v>
      </c>
      <c r="E87" s="34">
        <v>30</v>
      </c>
      <c r="F87" s="3">
        <f t="shared" si="6"/>
        <v>600</v>
      </c>
    </row>
    <row r="88" spans="1:6" ht="92.4" x14ac:dyDescent="0.25">
      <c r="A88" s="32" t="s">
        <v>72</v>
      </c>
      <c r="B88" s="1" t="s">
        <v>246</v>
      </c>
      <c r="C88" s="2" t="s">
        <v>10</v>
      </c>
      <c r="D88" s="3">
        <v>70</v>
      </c>
      <c r="E88" s="34">
        <v>10</v>
      </c>
      <c r="F88" s="3">
        <f t="shared" si="6"/>
        <v>700</v>
      </c>
    </row>
    <row r="89" spans="1:6" ht="224.4" x14ac:dyDescent="0.25">
      <c r="A89" s="32" t="s">
        <v>73</v>
      </c>
      <c r="B89" s="1" t="s">
        <v>259</v>
      </c>
    </row>
    <row r="90" spans="1:6" ht="277.2" x14ac:dyDescent="0.25">
      <c r="B90" s="1" t="s">
        <v>258</v>
      </c>
      <c r="C90" s="2" t="s">
        <v>10</v>
      </c>
      <c r="D90" s="3">
        <v>72</v>
      </c>
      <c r="E90" s="34">
        <v>2</v>
      </c>
      <c r="F90" s="3">
        <f t="shared" ref="F90" si="7">D90*$E90</f>
        <v>144</v>
      </c>
    </row>
    <row r="91" spans="1:6" ht="92.4" x14ac:dyDescent="0.25">
      <c r="A91" s="32" t="s">
        <v>165</v>
      </c>
      <c r="B91" s="1" t="s">
        <v>247</v>
      </c>
      <c r="C91" s="2" t="s">
        <v>7</v>
      </c>
      <c r="D91" s="3">
        <v>70</v>
      </c>
      <c r="E91" s="34">
        <v>30</v>
      </c>
      <c r="F91" s="3">
        <f t="shared" si="6"/>
        <v>2100</v>
      </c>
    </row>
    <row r="92" spans="1:6" ht="211.2" x14ac:dyDescent="0.25">
      <c r="A92" s="32" t="s">
        <v>74</v>
      </c>
      <c r="B92" s="1" t="s">
        <v>740</v>
      </c>
    </row>
    <row r="93" spans="1:6" x14ac:dyDescent="0.25">
      <c r="A93" s="32" t="s">
        <v>61</v>
      </c>
      <c r="B93" s="1" t="s">
        <v>741</v>
      </c>
      <c r="C93" s="2" t="s">
        <v>8</v>
      </c>
      <c r="D93" s="51">
        <v>2</v>
      </c>
      <c r="E93" s="34">
        <v>120</v>
      </c>
      <c r="F93" s="3">
        <f t="shared" ref="F93" si="8">D93*$E93</f>
        <v>240</v>
      </c>
    </row>
    <row r="94" spans="1:6" ht="145.19999999999999" x14ac:dyDescent="0.25">
      <c r="A94" s="32" t="s">
        <v>166</v>
      </c>
      <c r="B94" s="1" t="s">
        <v>248</v>
      </c>
      <c r="C94" s="2" t="s">
        <v>7</v>
      </c>
      <c r="D94" s="3">
        <v>85</v>
      </c>
      <c r="E94" s="34">
        <v>20</v>
      </c>
      <c r="F94" s="3">
        <f t="shared" si="6"/>
        <v>1700</v>
      </c>
    </row>
    <row r="95" spans="1:6" ht="105.6" x14ac:dyDescent="0.25">
      <c r="A95" s="32" t="s">
        <v>167</v>
      </c>
      <c r="B95" s="59" t="s">
        <v>249</v>
      </c>
      <c r="C95" s="2" t="s">
        <v>7</v>
      </c>
      <c r="D95" s="3">
        <v>530</v>
      </c>
      <c r="E95" s="34">
        <v>10</v>
      </c>
      <c r="F95" s="3">
        <f t="shared" si="6"/>
        <v>5300</v>
      </c>
    </row>
    <row r="96" spans="1:6" ht="145.19999999999999" x14ac:dyDescent="0.25">
      <c r="A96" s="32" t="s">
        <v>250</v>
      </c>
      <c r="B96" s="59" t="s">
        <v>251</v>
      </c>
      <c r="C96" s="2" t="s">
        <v>7</v>
      </c>
      <c r="D96" s="3">
        <v>500</v>
      </c>
      <c r="E96" s="34">
        <v>12</v>
      </c>
      <c r="F96" s="3">
        <f t="shared" si="6"/>
        <v>6000</v>
      </c>
    </row>
    <row r="97" spans="1:6" ht="145.19999999999999" x14ac:dyDescent="0.25">
      <c r="A97" s="32" t="s">
        <v>253</v>
      </c>
      <c r="B97" s="59" t="s">
        <v>252</v>
      </c>
      <c r="C97" s="2" t="s">
        <v>7</v>
      </c>
      <c r="D97" s="3">
        <v>420</v>
      </c>
      <c r="E97" s="34">
        <v>8</v>
      </c>
      <c r="F97" s="3">
        <f t="shared" si="6"/>
        <v>3360</v>
      </c>
    </row>
    <row r="98" spans="1:6" ht="66" x14ac:dyDescent="0.25">
      <c r="A98" s="32" t="s">
        <v>260</v>
      </c>
      <c r="B98" s="59" t="s">
        <v>255</v>
      </c>
    </row>
    <row r="99" spans="1:6" x14ac:dyDescent="0.25">
      <c r="A99" s="32" t="s">
        <v>61</v>
      </c>
      <c r="B99" s="59" t="s">
        <v>256</v>
      </c>
      <c r="C99" s="2" t="s">
        <v>7</v>
      </c>
      <c r="D99" s="3">
        <v>420</v>
      </c>
      <c r="E99" s="34">
        <v>26</v>
      </c>
      <c r="F99" s="3">
        <f t="shared" ref="F99" si="9">D99*$E99</f>
        <v>10920</v>
      </c>
    </row>
    <row r="100" spans="1:6" x14ac:dyDescent="0.25">
      <c r="A100" s="32" t="s">
        <v>62</v>
      </c>
      <c r="B100" s="59" t="s">
        <v>257</v>
      </c>
      <c r="C100" s="2" t="s">
        <v>7</v>
      </c>
      <c r="D100" s="3">
        <v>100</v>
      </c>
      <c r="E100" s="34">
        <v>35</v>
      </c>
      <c r="F100" s="3">
        <f t="shared" si="6"/>
        <v>3500</v>
      </c>
    </row>
    <row r="101" spans="1:6" x14ac:dyDescent="0.25">
      <c r="B101" s="44" t="s">
        <v>254</v>
      </c>
      <c r="C101" s="6"/>
      <c r="D101" s="6"/>
      <c r="E101" s="21"/>
      <c r="F101" s="42">
        <f>SUM(F84:F100)</f>
        <v>66674</v>
      </c>
    </row>
    <row r="103" spans="1:6" x14ac:dyDescent="0.25">
      <c r="A103" s="45" t="s">
        <v>16</v>
      </c>
      <c r="B103" s="61" t="s">
        <v>261</v>
      </c>
      <c r="C103" s="41"/>
      <c r="D103" s="41"/>
      <c r="E103" s="62"/>
      <c r="F103" s="41"/>
    </row>
    <row r="104" spans="1:6" ht="198" x14ac:dyDescent="0.25">
      <c r="A104" s="32" t="s">
        <v>41</v>
      </c>
      <c r="B104" s="59" t="s">
        <v>723</v>
      </c>
      <c r="C104" s="2" t="s">
        <v>7</v>
      </c>
      <c r="D104" s="3">
        <v>672</v>
      </c>
      <c r="E104" s="34">
        <v>70</v>
      </c>
      <c r="F104" s="3">
        <f t="shared" ref="F104:F108" si="10">D104*$E104</f>
        <v>47040</v>
      </c>
    </row>
    <row r="105" spans="1:6" ht="158.4" x14ac:dyDescent="0.25">
      <c r="A105" s="32" t="s">
        <v>262</v>
      </c>
      <c r="B105" s="59" t="s">
        <v>263</v>
      </c>
      <c r="C105" s="2" t="s">
        <v>10</v>
      </c>
      <c r="D105" s="3">
        <v>110</v>
      </c>
      <c r="E105" s="34">
        <v>40</v>
      </c>
      <c r="F105" s="3">
        <f t="shared" si="10"/>
        <v>4400</v>
      </c>
    </row>
    <row r="106" spans="1:6" ht="79.2" x14ac:dyDescent="0.25">
      <c r="A106" s="32" t="s">
        <v>264</v>
      </c>
      <c r="B106" s="59" t="s">
        <v>265</v>
      </c>
      <c r="C106" s="2" t="s">
        <v>10</v>
      </c>
      <c r="D106" s="3">
        <v>36.5</v>
      </c>
      <c r="E106" s="34">
        <v>40</v>
      </c>
      <c r="F106" s="3">
        <f t="shared" si="10"/>
        <v>1460</v>
      </c>
    </row>
    <row r="107" spans="1:6" ht="66" x14ac:dyDescent="0.25">
      <c r="A107" s="32" t="s">
        <v>266</v>
      </c>
      <c r="B107" s="59" t="s">
        <v>267</v>
      </c>
      <c r="C107" s="2" t="s">
        <v>10</v>
      </c>
      <c r="D107" s="3">
        <v>141</v>
      </c>
      <c r="E107" s="34">
        <v>60</v>
      </c>
      <c r="F107" s="3">
        <f t="shared" si="10"/>
        <v>8460</v>
      </c>
    </row>
    <row r="108" spans="1:6" ht="105.6" x14ac:dyDescent="0.25">
      <c r="A108" s="32" t="s">
        <v>268</v>
      </c>
      <c r="B108" s="59" t="s">
        <v>269</v>
      </c>
      <c r="C108" s="2" t="s">
        <v>7</v>
      </c>
      <c r="D108" s="3">
        <v>48</v>
      </c>
      <c r="E108" s="34">
        <v>45</v>
      </c>
      <c r="F108" s="3">
        <f t="shared" si="10"/>
        <v>2160</v>
      </c>
    </row>
    <row r="109" spans="1:6" x14ac:dyDescent="0.25">
      <c r="B109" s="44" t="s">
        <v>272</v>
      </c>
      <c r="C109" s="6"/>
      <c r="D109" s="6"/>
      <c r="E109" s="21"/>
      <c r="F109" s="42">
        <f>SUM(F104:F108)</f>
        <v>63520</v>
      </c>
    </row>
    <row r="111" spans="1:6" x14ac:dyDescent="0.25">
      <c r="A111" s="45" t="s">
        <v>17</v>
      </c>
      <c r="B111" s="61" t="s">
        <v>60</v>
      </c>
      <c r="C111" s="41"/>
      <c r="D111" s="41"/>
      <c r="E111" s="62"/>
      <c r="F111" s="41"/>
    </row>
    <row r="112" spans="1:6" ht="250.8" x14ac:dyDescent="0.25">
      <c r="A112" s="32" t="s">
        <v>42</v>
      </c>
      <c r="B112" s="59" t="s">
        <v>733</v>
      </c>
    </row>
    <row r="113" spans="1:6" ht="39.6" x14ac:dyDescent="0.25">
      <c r="A113" s="32" t="s">
        <v>61</v>
      </c>
      <c r="B113" s="59" t="s">
        <v>707</v>
      </c>
      <c r="C113" s="2" t="s">
        <v>8</v>
      </c>
      <c r="D113" s="51">
        <v>2</v>
      </c>
      <c r="E113" s="34">
        <v>500</v>
      </c>
      <c r="F113" s="3">
        <f t="shared" ref="F113:F121" si="11">D113*$E113</f>
        <v>1000</v>
      </c>
    </row>
    <row r="114" spans="1:6" ht="39.6" x14ac:dyDescent="0.25">
      <c r="A114" s="32" t="s">
        <v>62</v>
      </c>
      <c r="B114" s="59" t="s">
        <v>708</v>
      </c>
      <c r="C114" s="2" t="s">
        <v>8</v>
      </c>
      <c r="D114" s="51">
        <v>2</v>
      </c>
      <c r="E114" s="34">
        <v>500</v>
      </c>
      <c r="F114" s="3">
        <f t="shared" si="11"/>
        <v>1000</v>
      </c>
    </row>
    <row r="115" spans="1:6" ht="39.6" x14ac:dyDescent="0.25">
      <c r="A115" s="32" t="s">
        <v>63</v>
      </c>
      <c r="B115" s="59" t="s">
        <v>709</v>
      </c>
      <c r="C115" s="2" t="s">
        <v>8</v>
      </c>
      <c r="D115" s="51">
        <v>2</v>
      </c>
      <c r="E115" s="34">
        <v>1000</v>
      </c>
      <c r="F115" s="3">
        <f t="shared" si="11"/>
        <v>2000</v>
      </c>
    </row>
    <row r="116" spans="1:6" ht="39.6" x14ac:dyDescent="0.25">
      <c r="A116" s="32" t="s">
        <v>64</v>
      </c>
      <c r="B116" s="59" t="s">
        <v>710</v>
      </c>
      <c r="C116" s="2" t="s">
        <v>8</v>
      </c>
      <c r="D116" s="51">
        <v>2</v>
      </c>
      <c r="E116" s="34">
        <v>1000</v>
      </c>
      <c r="F116" s="3">
        <f t="shared" si="11"/>
        <v>2000</v>
      </c>
    </row>
    <row r="117" spans="1:6" ht="277.2" x14ac:dyDescent="0.25">
      <c r="A117" s="32" t="s">
        <v>57</v>
      </c>
      <c r="B117" s="59" t="s">
        <v>694</v>
      </c>
      <c r="D117" s="51"/>
    </row>
    <row r="118" spans="1:6" ht="26.4" x14ac:dyDescent="0.25">
      <c r="A118" s="32" t="s">
        <v>61</v>
      </c>
      <c r="B118" s="59" t="s">
        <v>706</v>
      </c>
      <c r="C118" s="2" t="s">
        <v>8</v>
      </c>
      <c r="D118" s="51">
        <v>4</v>
      </c>
      <c r="E118" s="34">
        <v>1000</v>
      </c>
      <c r="F118" s="3">
        <f t="shared" ref="F118" si="12">D118*$E118</f>
        <v>4000</v>
      </c>
    </row>
    <row r="119" spans="1:6" ht="132" x14ac:dyDescent="0.25">
      <c r="A119" s="32" t="s">
        <v>58</v>
      </c>
      <c r="B119" s="59" t="s">
        <v>695</v>
      </c>
      <c r="C119" s="2" t="s">
        <v>8</v>
      </c>
      <c r="D119" s="51">
        <v>2</v>
      </c>
      <c r="E119" s="34">
        <v>1500</v>
      </c>
      <c r="F119" s="3">
        <f t="shared" si="11"/>
        <v>3000</v>
      </c>
    </row>
    <row r="120" spans="1:6" ht="132" x14ac:dyDescent="0.25">
      <c r="A120" s="32" t="s">
        <v>120</v>
      </c>
      <c r="B120" s="59" t="s">
        <v>696</v>
      </c>
      <c r="C120" s="2" t="s">
        <v>8</v>
      </c>
      <c r="D120" s="51">
        <v>2</v>
      </c>
      <c r="E120" s="34">
        <v>3500</v>
      </c>
      <c r="F120" s="3">
        <f t="shared" si="11"/>
        <v>7000</v>
      </c>
    </row>
    <row r="121" spans="1:6" ht="118.8" x14ac:dyDescent="0.25">
      <c r="A121" s="32" t="s">
        <v>121</v>
      </c>
      <c r="B121" s="59" t="s">
        <v>697</v>
      </c>
      <c r="C121" s="2" t="s">
        <v>10</v>
      </c>
      <c r="D121" s="3">
        <v>23</v>
      </c>
      <c r="E121" s="34">
        <v>30</v>
      </c>
      <c r="F121" s="3">
        <f t="shared" si="11"/>
        <v>690</v>
      </c>
    </row>
    <row r="122" spans="1:6" x14ac:dyDescent="0.25">
      <c r="B122" s="44" t="s">
        <v>273</v>
      </c>
      <c r="C122" s="6"/>
      <c r="D122" s="6"/>
      <c r="E122" s="21"/>
      <c r="F122" s="42">
        <f>SUM(F113:F121)</f>
        <v>20690</v>
      </c>
    </row>
    <row r="124" spans="1:6" x14ac:dyDescent="0.25">
      <c r="A124" s="45" t="s">
        <v>18</v>
      </c>
      <c r="B124" s="61" t="s">
        <v>143</v>
      </c>
      <c r="C124" s="41"/>
      <c r="D124" s="41"/>
      <c r="E124" s="62"/>
      <c r="F124" s="41"/>
    </row>
    <row r="125" spans="1:6" ht="52.8" x14ac:dyDescent="0.25">
      <c r="A125" s="32" t="s">
        <v>47</v>
      </c>
      <c r="B125" s="59" t="s">
        <v>274</v>
      </c>
      <c r="C125" s="2" t="s">
        <v>7</v>
      </c>
      <c r="D125" s="3">
        <v>145</v>
      </c>
      <c r="E125" s="34">
        <v>3</v>
      </c>
      <c r="F125" s="3">
        <f t="shared" ref="F125:F131" si="13">D125*$E125</f>
        <v>435</v>
      </c>
    </row>
    <row r="126" spans="1:6" ht="39.6" x14ac:dyDescent="0.25">
      <c r="A126" s="32" t="s">
        <v>48</v>
      </c>
      <c r="B126" s="1" t="s">
        <v>275</v>
      </c>
      <c r="C126" s="2" t="s">
        <v>7</v>
      </c>
      <c r="D126" s="3">
        <v>145</v>
      </c>
      <c r="E126" s="34">
        <v>3</v>
      </c>
      <c r="F126" s="3">
        <f t="shared" si="13"/>
        <v>435</v>
      </c>
    </row>
    <row r="127" spans="1:6" ht="66" x14ac:dyDescent="0.25">
      <c r="A127" s="32" t="s">
        <v>49</v>
      </c>
      <c r="B127" s="1" t="s">
        <v>276</v>
      </c>
      <c r="C127" s="2" t="s">
        <v>7</v>
      </c>
      <c r="D127" s="3">
        <v>30</v>
      </c>
      <c r="E127" s="34">
        <v>10</v>
      </c>
      <c r="F127" s="3">
        <f t="shared" si="13"/>
        <v>300</v>
      </c>
    </row>
    <row r="128" spans="1:6" ht="39.6" x14ac:dyDescent="0.25">
      <c r="A128" s="32" t="s">
        <v>50</v>
      </c>
      <c r="B128" s="1" t="s">
        <v>277</v>
      </c>
      <c r="C128" s="2" t="s">
        <v>7</v>
      </c>
      <c r="D128" s="3">
        <v>390</v>
      </c>
      <c r="E128" s="34">
        <v>3</v>
      </c>
      <c r="F128" s="3">
        <f t="shared" si="13"/>
        <v>1170</v>
      </c>
    </row>
    <row r="129" spans="1:6" ht="39.6" x14ac:dyDescent="0.25">
      <c r="A129" s="32" t="s">
        <v>127</v>
      </c>
      <c r="B129" s="1" t="s">
        <v>278</v>
      </c>
      <c r="C129" s="2" t="s">
        <v>7</v>
      </c>
      <c r="D129" s="3">
        <v>325</v>
      </c>
      <c r="E129" s="34">
        <v>15</v>
      </c>
      <c r="F129" s="3">
        <f t="shared" si="13"/>
        <v>4875</v>
      </c>
    </row>
    <row r="130" spans="1:6" ht="145.19999999999999" x14ac:dyDescent="0.25">
      <c r="A130" s="32" t="s">
        <v>128</v>
      </c>
      <c r="B130" s="1" t="s">
        <v>279</v>
      </c>
      <c r="C130" s="2" t="s">
        <v>7</v>
      </c>
      <c r="D130" s="3">
        <v>35</v>
      </c>
      <c r="E130" s="34">
        <v>70</v>
      </c>
      <c r="F130" s="3">
        <f t="shared" si="13"/>
        <v>2450</v>
      </c>
    </row>
    <row r="131" spans="1:6" ht="303.60000000000002" x14ac:dyDescent="0.25">
      <c r="A131" s="32" t="s">
        <v>129</v>
      </c>
      <c r="B131" s="59" t="s">
        <v>280</v>
      </c>
      <c r="C131" s="2" t="s">
        <v>7</v>
      </c>
      <c r="D131" s="3">
        <v>450</v>
      </c>
      <c r="E131" s="34">
        <v>55</v>
      </c>
      <c r="F131" s="3">
        <f t="shared" si="13"/>
        <v>24750</v>
      </c>
    </row>
    <row r="132" spans="1:6" x14ac:dyDescent="0.25">
      <c r="B132" s="44" t="s">
        <v>281</v>
      </c>
      <c r="C132" s="6"/>
      <c r="D132" s="6"/>
      <c r="E132" s="21"/>
      <c r="F132" s="42">
        <f>SUM(F125:F131)</f>
        <v>34415</v>
      </c>
    </row>
    <row r="134" spans="1:6" x14ac:dyDescent="0.25">
      <c r="A134" s="45" t="s">
        <v>19</v>
      </c>
      <c r="B134" s="61" t="s">
        <v>282</v>
      </c>
      <c r="C134" s="41"/>
      <c r="D134" s="41"/>
      <c r="E134" s="62"/>
      <c r="F134" s="41"/>
    </row>
    <row r="135" spans="1:6" ht="409.6" x14ac:dyDescent="0.25">
      <c r="A135" s="32" t="s">
        <v>51</v>
      </c>
      <c r="B135" s="59" t="s">
        <v>742</v>
      </c>
    </row>
    <row r="136" spans="1:6" x14ac:dyDescent="0.25">
      <c r="A136" s="32" t="s">
        <v>61</v>
      </c>
      <c r="B136" s="1" t="s">
        <v>283</v>
      </c>
      <c r="C136" s="2" t="s">
        <v>7</v>
      </c>
      <c r="D136" s="3">
        <v>554</v>
      </c>
      <c r="E136" s="34">
        <v>55</v>
      </c>
      <c r="F136" s="3">
        <f t="shared" ref="F136:F139" si="14">D136*$E136</f>
        <v>30470</v>
      </c>
    </row>
    <row r="137" spans="1:6" ht="26.4" x14ac:dyDescent="0.25">
      <c r="A137" s="32" t="s">
        <v>62</v>
      </c>
      <c r="B137" s="1" t="s">
        <v>743</v>
      </c>
      <c r="C137" s="2" t="s">
        <v>10</v>
      </c>
      <c r="D137" s="3">
        <v>100</v>
      </c>
      <c r="E137" s="34">
        <v>18</v>
      </c>
      <c r="F137" s="3">
        <f t="shared" si="14"/>
        <v>1800</v>
      </c>
    </row>
    <row r="138" spans="1:6" ht="79.2" x14ac:dyDescent="0.25">
      <c r="A138" s="32" t="s">
        <v>140</v>
      </c>
      <c r="B138" s="1" t="s">
        <v>284</v>
      </c>
      <c r="C138" s="2" t="s">
        <v>7</v>
      </c>
      <c r="D138" s="3">
        <v>554</v>
      </c>
      <c r="E138" s="34">
        <v>20</v>
      </c>
      <c r="F138" s="3">
        <f t="shared" si="14"/>
        <v>11080</v>
      </c>
    </row>
    <row r="139" spans="1:6" ht="66" x14ac:dyDescent="0.25">
      <c r="A139" s="32" t="s">
        <v>747</v>
      </c>
      <c r="B139" s="1" t="s">
        <v>748</v>
      </c>
      <c r="C139" s="2" t="s">
        <v>10</v>
      </c>
      <c r="D139" s="3">
        <v>145</v>
      </c>
      <c r="E139" s="34">
        <v>9.5</v>
      </c>
      <c r="F139" s="3">
        <f t="shared" si="14"/>
        <v>1377.5</v>
      </c>
    </row>
    <row r="140" spans="1:6" x14ac:dyDescent="0.25">
      <c r="B140" s="44" t="s">
        <v>285</v>
      </c>
      <c r="C140" s="6"/>
      <c r="D140" s="6"/>
      <c r="E140" s="21"/>
      <c r="F140" s="42">
        <f>SUM(F136:F139)</f>
        <v>44727.5</v>
      </c>
    </row>
    <row r="142" spans="1:6" x14ac:dyDescent="0.25">
      <c r="A142" s="45" t="s">
        <v>66</v>
      </c>
      <c r="B142" s="61" t="s">
        <v>286</v>
      </c>
      <c r="C142" s="41"/>
      <c r="D142" s="41"/>
      <c r="E142" s="62"/>
      <c r="F142" s="41"/>
    </row>
    <row r="143" spans="1:6" x14ac:dyDescent="0.25">
      <c r="A143" s="32" t="s">
        <v>67</v>
      </c>
      <c r="B143" s="59" t="s">
        <v>287</v>
      </c>
      <c r="C143" s="2" t="s">
        <v>7</v>
      </c>
      <c r="D143" s="3">
        <v>525</v>
      </c>
      <c r="E143" s="34">
        <v>3</v>
      </c>
      <c r="F143" s="3">
        <f t="shared" ref="F143" si="15">D143*$E143</f>
        <v>1575</v>
      </c>
    </row>
    <row r="144" spans="1:6" ht="52.8" x14ac:dyDescent="0.25">
      <c r="A144" s="32" t="s">
        <v>68</v>
      </c>
      <c r="B144" s="1" t="s">
        <v>292</v>
      </c>
      <c r="D144" s="51"/>
    </row>
    <row r="145" spans="1:6" x14ac:dyDescent="0.25">
      <c r="A145" s="32" t="s">
        <v>61</v>
      </c>
      <c r="B145" s="1" t="s">
        <v>288</v>
      </c>
      <c r="C145" s="2" t="s">
        <v>9</v>
      </c>
      <c r="D145" s="3">
        <v>40</v>
      </c>
      <c r="E145" s="34">
        <v>30</v>
      </c>
      <c r="F145" s="3">
        <f t="shared" ref="F145:F148" si="16">D145*$E145</f>
        <v>1200</v>
      </c>
    </row>
    <row r="146" spans="1:6" x14ac:dyDescent="0.25">
      <c r="A146" s="32" t="s">
        <v>62</v>
      </c>
      <c r="B146" s="1" t="s">
        <v>289</v>
      </c>
      <c r="C146" s="2" t="s">
        <v>10</v>
      </c>
      <c r="D146" s="3">
        <v>75</v>
      </c>
      <c r="E146" s="34">
        <v>25</v>
      </c>
      <c r="F146" s="3">
        <f t="shared" si="16"/>
        <v>1875</v>
      </c>
    </row>
    <row r="147" spans="1:6" x14ac:dyDescent="0.25">
      <c r="A147" s="32" t="s">
        <v>63</v>
      </c>
      <c r="B147" s="1" t="s">
        <v>290</v>
      </c>
      <c r="C147" s="2" t="s">
        <v>9</v>
      </c>
      <c r="D147" s="3">
        <v>15</v>
      </c>
      <c r="E147" s="34">
        <v>20</v>
      </c>
      <c r="F147" s="3">
        <f t="shared" si="16"/>
        <v>300</v>
      </c>
    </row>
    <row r="148" spans="1:6" x14ac:dyDescent="0.25">
      <c r="A148" s="32" t="s">
        <v>64</v>
      </c>
      <c r="B148" s="1" t="s">
        <v>291</v>
      </c>
      <c r="C148" s="2" t="s">
        <v>9</v>
      </c>
      <c r="D148" s="3">
        <v>25</v>
      </c>
      <c r="E148" s="34">
        <v>20</v>
      </c>
      <c r="F148" s="3">
        <f t="shared" si="16"/>
        <v>500</v>
      </c>
    </row>
    <row r="149" spans="1:6" ht="66" x14ac:dyDescent="0.25">
      <c r="A149" s="32" t="s">
        <v>75</v>
      </c>
      <c r="B149" s="1" t="s">
        <v>293</v>
      </c>
      <c r="D149" s="51"/>
    </row>
    <row r="150" spans="1:6" x14ac:dyDescent="0.25">
      <c r="A150" s="32" t="s">
        <v>61</v>
      </c>
      <c r="B150" s="1" t="s">
        <v>288</v>
      </c>
      <c r="C150" s="2" t="s">
        <v>9</v>
      </c>
      <c r="D150" s="3">
        <v>40</v>
      </c>
      <c r="E150" s="34">
        <v>30</v>
      </c>
      <c r="F150" s="3">
        <f t="shared" ref="F150:F156" si="17">D150*$E150</f>
        <v>1200</v>
      </c>
    </row>
    <row r="151" spans="1:6" x14ac:dyDescent="0.25">
      <c r="A151" s="32" t="s">
        <v>62</v>
      </c>
      <c r="B151" s="1" t="s">
        <v>289</v>
      </c>
      <c r="C151" s="2" t="s">
        <v>10</v>
      </c>
      <c r="D151" s="3">
        <v>75</v>
      </c>
      <c r="E151" s="34">
        <v>25</v>
      </c>
      <c r="F151" s="3">
        <f t="shared" si="17"/>
        <v>1875</v>
      </c>
    </row>
    <row r="152" spans="1:6" x14ac:dyDescent="0.25">
      <c r="A152" s="32" t="s">
        <v>63</v>
      </c>
      <c r="B152" s="1" t="s">
        <v>290</v>
      </c>
      <c r="C152" s="2" t="s">
        <v>9</v>
      </c>
      <c r="D152" s="3">
        <v>15</v>
      </c>
      <c r="E152" s="34">
        <v>20</v>
      </c>
      <c r="F152" s="3">
        <f t="shared" si="17"/>
        <v>300</v>
      </c>
    </row>
    <row r="153" spans="1:6" x14ac:dyDescent="0.25">
      <c r="A153" s="32" t="s">
        <v>64</v>
      </c>
      <c r="B153" s="1" t="s">
        <v>291</v>
      </c>
      <c r="C153" s="2" t="s">
        <v>9</v>
      </c>
      <c r="D153" s="3">
        <v>25</v>
      </c>
      <c r="E153" s="34">
        <v>20</v>
      </c>
      <c r="F153" s="3">
        <f t="shared" si="17"/>
        <v>500</v>
      </c>
    </row>
    <row r="154" spans="1:6" ht="224.4" x14ac:dyDescent="0.25">
      <c r="A154" s="32" t="s">
        <v>77</v>
      </c>
      <c r="B154" s="1" t="s">
        <v>688</v>
      </c>
      <c r="C154" s="2" t="s">
        <v>7</v>
      </c>
      <c r="D154" s="3">
        <v>550</v>
      </c>
      <c r="E154" s="34">
        <v>18</v>
      </c>
      <c r="F154" s="3">
        <f t="shared" si="17"/>
        <v>9900</v>
      </c>
    </row>
    <row r="155" spans="1:6" ht="264" x14ac:dyDescent="0.25">
      <c r="A155" s="32" t="s">
        <v>141</v>
      </c>
      <c r="B155" s="1" t="s">
        <v>689</v>
      </c>
      <c r="C155" s="2" t="s">
        <v>7</v>
      </c>
      <c r="D155" s="3">
        <v>550</v>
      </c>
      <c r="E155" s="34">
        <v>15</v>
      </c>
      <c r="F155" s="3">
        <f t="shared" si="17"/>
        <v>8250</v>
      </c>
    </row>
    <row r="156" spans="1:6" ht="132" x14ac:dyDescent="0.25">
      <c r="A156" s="32" t="s">
        <v>142</v>
      </c>
      <c r="B156" s="59" t="s">
        <v>294</v>
      </c>
      <c r="C156" s="2" t="s">
        <v>10</v>
      </c>
      <c r="D156" s="3">
        <v>38</v>
      </c>
      <c r="E156" s="34">
        <v>40</v>
      </c>
      <c r="F156" s="3">
        <f t="shared" si="17"/>
        <v>1520</v>
      </c>
    </row>
    <row r="157" spans="1:6" x14ac:dyDescent="0.25">
      <c r="B157" s="44" t="s">
        <v>295</v>
      </c>
      <c r="C157" s="6"/>
      <c r="D157" s="6"/>
      <c r="E157" s="21"/>
      <c r="F157" s="42">
        <f>SUM(F143:F156)</f>
        <v>28995</v>
      </c>
    </row>
    <row r="161" spans="1:6" x14ac:dyDescent="0.25">
      <c r="A161" s="45" t="s">
        <v>20</v>
      </c>
      <c r="B161" s="23" t="s">
        <v>98</v>
      </c>
    </row>
    <row r="163" spans="1:6" x14ac:dyDescent="0.25">
      <c r="A163" s="45" t="s">
        <v>6</v>
      </c>
      <c r="B163" s="19" t="s">
        <v>82</v>
      </c>
      <c r="C163" s="22"/>
      <c r="D163" s="42"/>
      <c r="E163" s="49"/>
      <c r="F163" s="42">
        <f>SUM(F8)</f>
        <v>5500</v>
      </c>
    </row>
    <row r="164" spans="1:6" x14ac:dyDescent="0.25">
      <c r="A164" s="45" t="s">
        <v>11</v>
      </c>
      <c r="B164" s="19" t="s">
        <v>196</v>
      </c>
      <c r="C164" s="22"/>
      <c r="D164" s="42"/>
      <c r="E164" s="49"/>
      <c r="F164" s="42">
        <f>SUM(F27)</f>
        <v>38270</v>
      </c>
    </row>
    <row r="165" spans="1:6" x14ac:dyDescent="0.25">
      <c r="A165" s="45" t="s">
        <v>12</v>
      </c>
      <c r="B165" s="19" t="s">
        <v>65</v>
      </c>
      <c r="C165" s="22"/>
      <c r="D165" s="42"/>
      <c r="E165" s="49"/>
      <c r="F165" s="42">
        <f>SUM(F42)</f>
        <v>5040</v>
      </c>
    </row>
    <row r="166" spans="1:6" x14ac:dyDescent="0.25">
      <c r="A166" s="45" t="s">
        <v>13</v>
      </c>
      <c r="B166" s="19" t="s">
        <v>222</v>
      </c>
      <c r="C166" s="22"/>
      <c r="D166" s="42"/>
      <c r="E166" s="49"/>
      <c r="F166" s="42">
        <f>SUM(F72)</f>
        <v>46293</v>
      </c>
    </row>
    <row r="167" spans="1:6" x14ac:dyDescent="0.25">
      <c r="A167" s="45" t="s">
        <v>14</v>
      </c>
      <c r="B167" s="19" t="s">
        <v>235</v>
      </c>
      <c r="C167" s="22"/>
      <c r="D167" s="42"/>
      <c r="E167" s="49"/>
      <c r="F167" s="42">
        <f>SUM(F81)</f>
        <v>30150</v>
      </c>
    </row>
    <row r="168" spans="1:6" x14ac:dyDescent="0.25">
      <c r="A168" s="45" t="s">
        <v>15</v>
      </c>
      <c r="B168" s="19" t="s">
        <v>241</v>
      </c>
      <c r="C168" s="22"/>
      <c r="D168" s="42"/>
      <c r="E168" s="49"/>
      <c r="F168" s="42">
        <f>SUM(F101)</f>
        <v>66674</v>
      </c>
    </row>
    <row r="169" spans="1:6" x14ac:dyDescent="0.25">
      <c r="A169" s="45" t="s">
        <v>16</v>
      </c>
      <c r="B169" s="19" t="s">
        <v>261</v>
      </c>
      <c r="C169" s="22"/>
      <c r="D169" s="42"/>
      <c r="E169" s="47"/>
      <c r="F169" s="48">
        <f>SUM(F109)</f>
        <v>63520</v>
      </c>
    </row>
    <row r="170" spans="1:6" x14ac:dyDescent="0.25">
      <c r="A170" s="45" t="s">
        <v>17</v>
      </c>
      <c r="B170" s="19" t="s">
        <v>60</v>
      </c>
      <c r="C170" s="22"/>
      <c r="D170" s="42"/>
      <c r="E170" s="47"/>
      <c r="F170" s="48">
        <f>SUM(F122)</f>
        <v>20690</v>
      </c>
    </row>
    <row r="171" spans="1:6" x14ac:dyDescent="0.25">
      <c r="A171" s="45" t="s">
        <v>18</v>
      </c>
      <c r="B171" s="19" t="s">
        <v>143</v>
      </c>
      <c r="C171" s="22"/>
      <c r="D171" s="42"/>
      <c r="E171" s="47"/>
      <c r="F171" s="48">
        <f>SUM(F132)</f>
        <v>34415</v>
      </c>
    </row>
    <row r="172" spans="1:6" x14ac:dyDescent="0.25">
      <c r="A172" s="45" t="s">
        <v>19</v>
      </c>
      <c r="B172" s="19" t="s">
        <v>282</v>
      </c>
      <c r="C172" s="22"/>
      <c r="D172" s="42"/>
      <c r="E172" s="47"/>
      <c r="F172" s="48">
        <f>SUM(F140)</f>
        <v>44727.5</v>
      </c>
    </row>
    <row r="173" spans="1:6" x14ac:dyDescent="0.25">
      <c r="A173" s="45" t="s">
        <v>66</v>
      </c>
      <c r="B173" s="19" t="s">
        <v>286</v>
      </c>
      <c r="C173" s="22"/>
      <c r="D173" s="42"/>
      <c r="E173" s="47"/>
      <c r="F173" s="48">
        <f>SUM(F157)</f>
        <v>28995</v>
      </c>
    </row>
    <row r="174" spans="1:6" x14ac:dyDescent="0.25">
      <c r="A174" s="45"/>
      <c r="B174" s="19"/>
      <c r="C174" s="22"/>
      <c r="D174" s="42"/>
      <c r="E174" s="47"/>
      <c r="F174" s="42"/>
    </row>
    <row r="175" spans="1:6" x14ac:dyDescent="0.25">
      <c r="A175" s="45"/>
      <c r="B175" s="35" t="s">
        <v>99</v>
      </c>
      <c r="C175" s="22"/>
      <c r="D175" s="42"/>
      <c r="E175" s="49"/>
      <c r="F175" s="42">
        <f>SUM(F163:F173)</f>
        <v>384274.5</v>
      </c>
    </row>
    <row r="176" spans="1:6" x14ac:dyDescent="0.25">
      <c r="B176" s="50"/>
      <c r="E176" s="46"/>
    </row>
    <row r="177" spans="1:6" x14ac:dyDescent="0.25">
      <c r="B177" s="50"/>
      <c r="E177" s="46"/>
    </row>
    <row r="178" spans="1:6" x14ac:dyDescent="0.25">
      <c r="A178" s="45" t="s">
        <v>45</v>
      </c>
      <c r="B178" s="23" t="s">
        <v>296</v>
      </c>
    </row>
    <row r="179" spans="1:6" x14ac:dyDescent="0.25">
      <c r="A179" s="45"/>
      <c r="B179" s="19"/>
    </row>
    <row r="180" spans="1:6" x14ac:dyDescent="0.25">
      <c r="A180" s="45" t="s">
        <v>6</v>
      </c>
      <c r="B180" s="61" t="s">
        <v>144</v>
      </c>
      <c r="C180" s="41"/>
      <c r="D180" s="41"/>
      <c r="E180" s="62"/>
      <c r="F180" s="41"/>
    </row>
    <row r="181" spans="1:6" x14ac:dyDescent="0.25">
      <c r="A181" s="66"/>
      <c r="B181" s="59" t="s">
        <v>326</v>
      </c>
      <c r="D181" s="51"/>
    </row>
    <row r="182" spans="1:6" ht="52.8" x14ac:dyDescent="0.25">
      <c r="A182" s="66" t="s">
        <v>21</v>
      </c>
      <c r="B182" s="59" t="s">
        <v>726</v>
      </c>
      <c r="C182" s="2" t="s">
        <v>8</v>
      </c>
      <c r="D182" s="51">
        <v>1</v>
      </c>
      <c r="E182" s="34">
        <v>100</v>
      </c>
      <c r="F182" s="3">
        <f t="shared" ref="F182" si="18">D182*$E182</f>
        <v>100</v>
      </c>
    </row>
    <row r="183" spans="1:6" ht="52.8" x14ac:dyDescent="0.25">
      <c r="A183" s="66" t="s">
        <v>22</v>
      </c>
      <c r="B183" s="67" t="s">
        <v>328</v>
      </c>
      <c r="D183" s="51"/>
    </row>
    <row r="184" spans="1:6" x14ac:dyDescent="0.25">
      <c r="A184" s="66" t="s">
        <v>61</v>
      </c>
      <c r="B184" s="67" t="s">
        <v>329</v>
      </c>
      <c r="C184" s="2" t="s">
        <v>10</v>
      </c>
      <c r="D184" s="3">
        <v>22</v>
      </c>
      <c r="E184" s="34">
        <v>36</v>
      </c>
      <c r="F184" s="3">
        <f>D184*$E184</f>
        <v>792</v>
      </c>
    </row>
    <row r="185" spans="1:6" x14ac:dyDescent="0.25">
      <c r="A185" s="66" t="s">
        <v>62</v>
      </c>
      <c r="B185" s="67" t="s">
        <v>330</v>
      </c>
      <c r="C185" s="2" t="s">
        <v>10</v>
      </c>
      <c r="D185" s="3">
        <v>58</v>
      </c>
      <c r="E185" s="34">
        <v>50</v>
      </c>
      <c r="F185" s="3">
        <f>D185*$E185</f>
        <v>2900</v>
      </c>
    </row>
    <row r="186" spans="1:6" ht="105.6" x14ac:dyDescent="0.25">
      <c r="A186" s="66" t="s">
        <v>23</v>
      </c>
      <c r="B186" s="67" t="s">
        <v>331</v>
      </c>
      <c r="C186" s="2" t="s">
        <v>8</v>
      </c>
      <c r="D186" s="51">
        <v>4</v>
      </c>
      <c r="E186" s="34">
        <v>350</v>
      </c>
      <c r="F186" s="3">
        <f t="shared" ref="F186" si="19">D186*$E186</f>
        <v>1400</v>
      </c>
    </row>
    <row r="187" spans="1:6" ht="132" x14ac:dyDescent="0.25">
      <c r="A187" s="66" t="s">
        <v>24</v>
      </c>
      <c r="B187" s="67" t="s">
        <v>728</v>
      </c>
    </row>
    <row r="188" spans="1:6" x14ac:dyDescent="0.25">
      <c r="A188" s="66" t="s">
        <v>61</v>
      </c>
      <c r="B188" s="67" t="s">
        <v>329</v>
      </c>
      <c r="C188" s="2" t="s">
        <v>10</v>
      </c>
      <c r="D188" s="3">
        <v>22</v>
      </c>
      <c r="E188" s="34">
        <v>8</v>
      </c>
      <c r="F188" s="3">
        <f>D188*$E188</f>
        <v>176</v>
      </c>
    </row>
    <row r="189" spans="1:6" x14ac:dyDescent="0.25">
      <c r="A189" s="66" t="s">
        <v>62</v>
      </c>
      <c r="B189" s="67" t="s">
        <v>330</v>
      </c>
      <c r="C189" s="2" t="s">
        <v>10</v>
      </c>
      <c r="D189" s="3">
        <v>58</v>
      </c>
      <c r="E189" s="34">
        <v>10</v>
      </c>
      <c r="F189" s="3">
        <f>D189*$E189</f>
        <v>580</v>
      </c>
    </row>
    <row r="190" spans="1:6" x14ac:dyDescent="0.25">
      <c r="A190" s="66" t="s">
        <v>25</v>
      </c>
      <c r="B190" s="59" t="s">
        <v>332</v>
      </c>
      <c r="C190" s="2" t="s">
        <v>46</v>
      </c>
      <c r="D190" s="51">
        <v>1</v>
      </c>
      <c r="E190" s="34">
        <v>350</v>
      </c>
      <c r="F190" s="3">
        <f t="shared" ref="F190:F194" si="20">D190*$E190</f>
        <v>350</v>
      </c>
    </row>
    <row r="191" spans="1:6" ht="26.4" x14ac:dyDescent="0.25">
      <c r="A191" s="66" t="s">
        <v>145</v>
      </c>
      <c r="B191" s="59" t="s">
        <v>320</v>
      </c>
      <c r="C191" s="2" t="s">
        <v>46</v>
      </c>
      <c r="D191" s="51">
        <v>4</v>
      </c>
      <c r="E191" s="34">
        <v>80</v>
      </c>
      <c r="F191" s="3">
        <f t="shared" si="20"/>
        <v>320</v>
      </c>
    </row>
    <row r="192" spans="1:6" ht="26.4" x14ac:dyDescent="0.25">
      <c r="A192" s="66" t="s">
        <v>146</v>
      </c>
      <c r="B192" s="59" t="s">
        <v>333</v>
      </c>
      <c r="C192" s="2" t="s">
        <v>46</v>
      </c>
      <c r="D192" s="51">
        <v>1</v>
      </c>
      <c r="E192" s="34">
        <v>200</v>
      </c>
      <c r="F192" s="3">
        <f t="shared" si="20"/>
        <v>200</v>
      </c>
    </row>
    <row r="193" spans="1:6" x14ac:dyDescent="0.25">
      <c r="A193" s="66" t="s">
        <v>147</v>
      </c>
      <c r="B193" s="59" t="s">
        <v>334</v>
      </c>
      <c r="C193" s="2" t="s">
        <v>46</v>
      </c>
      <c r="D193" s="51">
        <v>1</v>
      </c>
      <c r="E193" s="34">
        <v>150</v>
      </c>
      <c r="F193" s="3">
        <f t="shared" si="20"/>
        <v>150</v>
      </c>
    </row>
    <row r="194" spans="1:6" ht="39.6" x14ac:dyDescent="0.25">
      <c r="A194" s="32" t="s">
        <v>148</v>
      </c>
      <c r="B194" s="59" t="s">
        <v>725</v>
      </c>
      <c r="C194" s="2" t="s">
        <v>46</v>
      </c>
      <c r="D194" s="51">
        <v>1</v>
      </c>
      <c r="E194" s="34">
        <v>250</v>
      </c>
      <c r="F194" s="3">
        <f t="shared" si="20"/>
        <v>250</v>
      </c>
    </row>
    <row r="195" spans="1:6" x14ac:dyDescent="0.25">
      <c r="A195" s="7"/>
      <c r="B195" s="44" t="s">
        <v>156</v>
      </c>
      <c r="C195" s="6"/>
      <c r="D195" s="6"/>
      <c r="E195" s="21"/>
      <c r="F195" s="42">
        <f>SUM(F182:F194)</f>
        <v>7218</v>
      </c>
    </row>
    <row r="197" spans="1:6" x14ac:dyDescent="0.25">
      <c r="A197" s="45" t="s">
        <v>11</v>
      </c>
      <c r="B197" s="61" t="s">
        <v>336</v>
      </c>
      <c r="C197" s="41"/>
      <c r="D197" s="41"/>
      <c r="E197" s="62"/>
      <c r="F197" s="41"/>
    </row>
    <row r="198" spans="1:6" x14ac:dyDescent="0.25">
      <c r="A198" s="45"/>
      <c r="B198" s="65" t="s">
        <v>338</v>
      </c>
      <c r="C198" s="41"/>
      <c r="D198" s="41"/>
      <c r="E198" s="62"/>
      <c r="F198" s="41"/>
    </row>
    <row r="199" spans="1:6" x14ac:dyDescent="0.25">
      <c r="A199" s="32" t="s">
        <v>26</v>
      </c>
      <c r="B199" s="1" t="s">
        <v>337</v>
      </c>
      <c r="C199" s="2" t="s">
        <v>10</v>
      </c>
      <c r="D199" s="3">
        <v>35</v>
      </c>
      <c r="E199" s="34">
        <v>20</v>
      </c>
      <c r="F199" s="3">
        <f>D199*$E199</f>
        <v>700</v>
      </c>
    </row>
    <row r="200" spans="1:6" ht="79.2" x14ac:dyDescent="0.25">
      <c r="A200" s="66" t="s">
        <v>27</v>
      </c>
      <c r="B200" s="67" t="s">
        <v>339</v>
      </c>
      <c r="C200" s="2" t="s">
        <v>10</v>
      </c>
      <c r="D200" s="3">
        <v>35</v>
      </c>
      <c r="E200" s="34">
        <v>60</v>
      </c>
      <c r="F200" s="3">
        <f>D200*$E200</f>
        <v>2100</v>
      </c>
    </row>
    <row r="201" spans="1:6" x14ac:dyDescent="0.25">
      <c r="A201" s="66"/>
      <c r="B201" s="67" t="s">
        <v>340</v>
      </c>
    </row>
    <row r="202" spans="1:6" ht="52.8" x14ac:dyDescent="0.25">
      <c r="A202" s="66" t="s">
        <v>28</v>
      </c>
      <c r="B202" s="67" t="s">
        <v>729</v>
      </c>
      <c r="C202" s="2" t="s">
        <v>8</v>
      </c>
      <c r="D202" s="51">
        <v>2</v>
      </c>
      <c r="E202" s="34">
        <v>100</v>
      </c>
      <c r="F202" s="3">
        <f>D202*$E202</f>
        <v>200</v>
      </c>
    </row>
    <row r="203" spans="1:6" ht="52.8" x14ac:dyDescent="0.25">
      <c r="A203" s="66" t="s">
        <v>29</v>
      </c>
      <c r="B203" s="67" t="s">
        <v>341</v>
      </c>
    </row>
    <row r="204" spans="1:6" x14ac:dyDescent="0.25">
      <c r="A204" s="66" t="s">
        <v>61</v>
      </c>
      <c r="B204" s="67" t="s">
        <v>342</v>
      </c>
      <c r="C204" s="2" t="s">
        <v>10</v>
      </c>
      <c r="D204" s="3">
        <v>17</v>
      </c>
      <c r="E204" s="34">
        <v>8</v>
      </c>
      <c r="F204" s="3">
        <f>D204*$E204</f>
        <v>136</v>
      </c>
    </row>
    <row r="205" spans="1:6" x14ac:dyDescent="0.25">
      <c r="A205" s="66" t="s">
        <v>62</v>
      </c>
      <c r="B205" s="67" t="s">
        <v>343</v>
      </c>
      <c r="C205" s="2" t="s">
        <v>8</v>
      </c>
      <c r="D205" s="51">
        <v>6</v>
      </c>
      <c r="E205" s="34">
        <v>5</v>
      </c>
      <c r="F205" s="3">
        <f>D205*$E205</f>
        <v>30</v>
      </c>
    </row>
    <row r="206" spans="1:6" ht="52.8" x14ac:dyDescent="0.25">
      <c r="A206" s="66" t="s">
        <v>52</v>
      </c>
      <c r="B206" s="67" t="s">
        <v>344</v>
      </c>
      <c r="C206" s="2" t="s">
        <v>10</v>
      </c>
      <c r="D206" s="3">
        <v>23</v>
      </c>
      <c r="E206" s="34">
        <v>5</v>
      </c>
      <c r="F206" s="3">
        <f>D206*$E206</f>
        <v>115</v>
      </c>
    </row>
    <row r="207" spans="1:6" x14ac:dyDescent="0.25">
      <c r="A207" s="66" t="s">
        <v>76</v>
      </c>
      <c r="B207" s="67" t="s">
        <v>345</v>
      </c>
      <c r="C207" s="2" t="s">
        <v>8</v>
      </c>
      <c r="D207" s="51">
        <v>1</v>
      </c>
      <c r="E207" s="34">
        <v>80</v>
      </c>
      <c r="F207" s="3">
        <f>D207*$E207</f>
        <v>80</v>
      </c>
    </row>
    <row r="208" spans="1:6" ht="26.4" x14ac:dyDescent="0.25">
      <c r="A208" s="66" t="s">
        <v>83</v>
      </c>
      <c r="B208" s="67" t="s">
        <v>346</v>
      </c>
      <c r="C208" s="2" t="s">
        <v>46</v>
      </c>
      <c r="D208" s="51">
        <v>1</v>
      </c>
      <c r="E208" s="34">
        <v>200</v>
      </c>
      <c r="F208" s="3">
        <f t="shared" ref="F208" si="21">D208*$E208</f>
        <v>200</v>
      </c>
    </row>
    <row r="209" spans="1:6" x14ac:dyDescent="0.25">
      <c r="A209" s="7"/>
      <c r="B209" s="44" t="s">
        <v>347</v>
      </c>
      <c r="C209" s="6"/>
      <c r="D209" s="6"/>
      <c r="E209" s="21"/>
      <c r="F209" s="42">
        <f>SUM(F199:F208)</f>
        <v>3561</v>
      </c>
    </row>
    <row r="211" spans="1:6" x14ac:dyDescent="0.25">
      <c r="A211" s="35" t="s">
        <v>12</v>
      </c>
      <c r="B211" s="61" t="s">
        <v>348</v>
      </c>
      <c r="C211" s="41"/>
      <c r="D211" s="41"/>
      <c r="E211" s="62"/>
      <c r="F211" s="41"/>
    </row>
    <row r="212" spans="1:6" ht="66" x14ac:dyDescent="0.25">
      <c r="A212" s="32" t="s">
        <v>30</v>
      </c>
      <c r="B212" s="1" t="s">
        <v>349</v>
      </c>
      <c r="C212" s="2" t="s">
        <v>46</v>
      </c>
      <c r="D212" s="51">
        <v>1</v>
      </c>
      <c r="E212" s="34">
        <v>500</v>
      </c>
      <c r="F212" s="3">
        <f t="shared" ref="F212:F214" si="22">D212*$E212</f>
        <v>500</v>
      </c>
    </row>
    <row r="213" spans="1:6" ht="52.8" x14ac:dyDescent="0.25">
      <c r="A213" s="32" t="s">
        <v>31</v>
      </c>
      <c r="B213" s="1" t="s">
        <v>350</v>
      </c>
      <c r="C213" s="2" t="s">
        <v>46</v>
      </c>
      <c r="D213" s="51">
        <v>1</v>
      </c>
      <c r="E213" s="34">
        <v>400</v>
      </c>
      <c r="F213" s="3">
        <f t="shared" si="22"/>
        <v>400</v>
      </c>
    </row>
    <row r="214" spans="1:6" ht="52.8" x14ac:dyDescent="0.25">
      <c r="A214" s="32" t="s">
        <v>32</v>
      </c>
      <c r="B214" s="1" t="s">
        <v>351</v>
      </c>
      <c r="C214" s="2" t="s">
        <v>46</v>
      </c>
      <c r="D214" s="51">
        <v>1</v>
      </c>
      <c r="E214" s="34">
        <v>500</v>
      </c>
      <c r="F214" s="3">
        <f t="shared" si="22"/>
        <v>500</v>
      </c>
    </row>
    <row r="215" spans="1:6" x14ac:dyDescent="0.25">
      <c r="B215" s="44" t="s">
        <v>352</v>
      </c>
      <c r="C215" s="6"/>
      <c r="D215" s="6"/>
      <c r="E215" s="21"/>
      <c r="F215" s="42">
        <f>SUM(F212:F214)</f>
        <v>1400</v>
      </c>
    </row>
    <row r="218" spans="1:6" x14ac:dyDescent="0.25">
      <c r="A218" s="45" t="s">
        <v>45</v>
      </c>
      <c r="B218" s="23" t="s">
        <v>353</v>
      </c>
    </row>
    <row r="220" spans="1:6" x14ac:dyDescent="0.25">
      <c r="A220" s="45" t="s">
        <v>6</v>
      </c>
      <c r="B220" s="19" t="s">
        <v>144</v>
      </c>
      <c r="C220" s="22"/>
      <c r="D220" s="42"/>
      <c r="E220" s="49"/>
      <c r="F220" s="42">
        <f>SUM(F195)</f>
        <v>7218</v>
      </c>
    </row>
    <row r="221" spans="1:6" x14ac:dyDescent="0.25">
      <c r="A221" s="45" t="s">
        <v>11</v>
      </c>
      <c r="B221" s="19" t="s">
        <v>336</v>
      </c>
      <c r="C221" s="22"/>
      <c r="D221" s="42"/>
      <c r="E221" s="49"/>
      <c r="F221" s="42">
        <f>SUM(F209)</f>
        <v>3561</v>
      </c>
    </row>
    <row r="222" spans="1:6" x14ac:dyDescent="0.25">
      <c r="A222" s="45" t="s">
        <v>12</v>
      </c>
      <c r="B222" s="19" t="s">
        <v>348</v>
      </c>
      <c r="C222" s="22"/>
      <c r="D222" s="42"/>
      <c r="E222" s="49"/>
      <c r="F222" s="42">
        <f>SUM(F215)</f>
        <v>1400</v>
      </c>
    </row>
    <row r="223" spans="1:6" x14ac:dyDescent="0.25">
      <c r="A223" s="45"/>
      <c r="B223" s="19"/>
      <c r="C223" s="22"/>
      <c r="D223" s="42"/>
      <c r="E223" s="47"/>
      <c r="F223" s="42"/>
    </row>
    <row r="224" spans="1:6" x14ac:dyDescent="0.25">
      <c r="A224" s="45"/>
      <c r="B224" s="35" t="s">
        <v>354</v>
      </c>
      <c r="C224" s="22"/>
      <c r="D224" s="42"/>
      <c r="E224" s="49"/>
      <c r="F224" s="42">
        <f>SUM(F220:F222)</f>
        <v>12179</v>
      </c>
    </row>
    <row r="225" spans="1:6" x14ac:dyDescent="0.25">
      <c r="B225" s="50"/>
      <c r="E225" s="46"/>
    </row>
    <row r="226" spans="1:6" x14ac:dyDescent="0.25">
      <c r="B226" s="50"/>
      <c r="E226" s="46"/>
    </row>
    <row r="227" spans="1:6" x14ac:dyDescent="0.25">
      <c r="A227" s="45" t="s">
        <v>80</v>
      </c>
      <c r="B227" s="23" t="s">
        <v>501</v>
      </c>
      <c r="C227" s="22"/>
      <c r="D227" s="42"/>
      <c r="E227" s="49"/>
      <c r="F227" s="42"/>
    </row>
    <row r="228" spans="1:6" x14ac:dyDescent="0.25">
      <c r="A228" s="45"/>
      <c r="B228" s="23"/>
      <c r="C228" s="22"/>
      <c r="D228" s="42"/>
      <c r="E228" s="49"/>
      <c r="F228" s="42"/>
    </row>
    <row r="229" spans="1:6" x14ac:dyDescent="0.25">
      <c r="A229" s="35" t="s">
        <v>6</v>
      </c>
      <c r="B229" s="61" t="s">
        <v>158</v>
      </c>
      <c r="C229" s="41"/>
      <c r="D229" s="41"/>
      <c r="E229" s="62"/>
      <c r="F229" s="41"/>
    </row>
    <row r="230" spans="1:6" ht="132" x14ac:dyDescent="0.25">
      <c r="A230" s="35"/>
      <c r="B230" s="1" t="s">
        <v>355</v>
      </c>
      <c r="C230" s="41"/>
      <c r="D230" s="41"/>
      <c r="E230" s="62"/>
      <c r="F230" s="41"/>
    </row>
    <row r="231" spans="1:6" ht="343.2" x14ac:dyDescent="0.25">
      <c r="A231" s="32" t="s">
        <v>21</v>
      </c>
      <c r="B231" s="59" t="s">
        <v>551</v>
      </c>
      <c r="C231" s="2" t="s">
        <v>46</v>
      </c>
      <c r="D231" s="51">
        <v>1</v>
      </c>
      <c r="E231" s="34">
        <v>3200</v>
      </c>
      <c r="F231" s="3">
        <f>D231*$E231</f>
        <v>3200</v>
      </c>
    </row>
    <row r="232" spans="1:6" x14ac:dyDescent="0.25">
      <c r="B232" s="44" t="s">
        <v>159</v>
      </c>
      <c r="C232" s="6"/>
      <c r="D232" s="6"/>
      <c r="E232" s="21"/>
      <c r="F232" s="42">
        <f>SUM(F231:F231)</f>
        <v>3200</v>
      </c>
    </row>
    <row r="233" spans="1:6" x14ac:dyDescent="0.25">
      <c r="D233" s="51"/>
    </row>
    <row r="234" spans="1:6" x14ac:dyDescent="0.25">
      <c r="A234" s="35" t="s">
        <v>11</v>
      </c>
      <c r="B234" s="68" t="s">
        <v>389</v>
      </c>
      <c r="C234" s="41"/>
      <c r="D234" s="41"/>
      <c r="E234" s="62"/>
      <c r="F234" s="41"/>
    </row>
    <row r="235" spans="1:6" ht="79.2" x14ac:dyDescent="0.25">
      <c r="A235" s="7" t="s">
        <v>26</v>
      </c>
      <c r="B235" s="1" t="s">
        <v>358</v>
      </c>
    </row>
    <row r="236" spans="1:6" x14ac:dyDescent="0.25">
      <c r="A236" s="7" t="s">
        <v>61</v>
      </c>
      <c r="B236" s="1" t="s">
        <v>359</v>
      </c>
      <c r="C236" s="2" t="s">
        <v>10</v>
      </c>
      <c r="D236" s="3">
        <v>35</v>
      </c>
      <c r="E236" s="34">
        <v>4.3499999999999996</v>
      </c>
      <c r="F236" s="3">
        <f t="shared" ref="F236:F244" si="23">D236*$E236</f>
        <v>152.25</v>
      </c>
    </row>
    <row r="237" spans="1:6" x14ac:dyDescent="0.25">
      <c r="A237" s="7" t="s">
        <v>62</v>
      </c>
      <c r="B237" s="1" t="s">
        <v>360</v>
      </c>
      <c r="C237" s="2" t="s">
        <v>10</v>
      </c>
      <c r="D237" s="3">
        <v>320</v>
      </c>
      <c r="E237" s="34">
        <v>3.33</v>
      </c>
      <c r="F237" s="3">
        <f t="shared" si="23"/>
        <v>1065.5999999999999</v>
      </c>
    </row>
    <row r="238" spans="1:6" x14ac:dyDescent="0.25">
      <c r="A238" s="7" t="s">
        <v>63</v>
      </c>
      <c r="B238" s="1" t="s">
        <v>361</v>
      </c>
      <c r="C238" s="2" t="s">
        <v>10</v>
      </c>
      <c r="D238" s="3">
        <v>210</v>
      </c>
      <c r="E238" s="34">
        <v>3.98</v>
      </c>
      <c r="F238" s="3">
        <f t="shared" si="23"/>
        <v>835.8</v>
      </c>
    </row>
    <row r="239" spans="1:6" x14ac:dyDescent="0.25">
      <c r="A239" s="7" t="s">
        <v>64</v>
      </c>
      <c r="B239" s="1" t="s">
        <v>362</v>
      </c>
      <c r="C239" s="2" t="s">
        <v>10</v>
      </c>
      <c r="D239" s="3">
        <v>5</v>
      </c>
      <c r="E239" s="34">
        <v>4</v>
      </c>
      <c r="F239" s="3">
        <f t="shared" si="23"/>
        <v>20</v>
      </c>
    </row>
    <row r="240" spans="1:6" x14ac:dyDescent="0.25">
      <c r="A240" s="7" t="s">
        <v>103</v>
      </c>
      <c r="B240" s="1" t="s">
        <v>365</v>
      </c>
      <c r="C240" s="2" t="s">
        <v>10</v>
      </c>
      <c r="D240" s="3">
        <v>145</v>
      </c>
      <c r="E240" s="34">
        <v>5</v>
      </c>
      <c r="F240" s="3">
        <f t="shared" si="23"/>
        <v>725</v>
      </c>
    </row>
    <row r="241" spans="1:6" x14ac:dyDescent="0.25">
      <c r="A241" s="7" t="s">
        <v>115</v>
      </c>
      <c r="B241" s="1" t="s">
        <v>367</v>
      </c>
      <c r="C241" s="2" t="s">
        <v>10</v>
      </c>
      <c r="D241" s="3">
        <v>85</v>
      </c>
      <c r="E241" s="34">
        <v>11</v>
      </c>
      <c r="F241" s="3">
        <f t="shared" si="23"/>
        <v>935</v>
      </c>
    </row>
    <row r="242" spans="1:6" x14ac:dyDescent="0.25">
      <c r="A242" s="7" t="s">
        <v>116</v>
      </c>
      <c r="B242" s="1" t="s">
        <v>363</v>
      </c>
      <c r="C242" s="2" t="s">
        <v>10</v>
      </c>
      <c r="D242" s="3">
        <v>95</v>
      </c>
      <c r="E242" s="34">
        <v>20</v>
      </c>
      <c r="F242" s="3">
        <f t="shared" si="23"/>
        <v>1900</v>
      </c>
    </row>
    <row r="243" spans="1:6" x14ac:dyDescent="0.25">
      <c r="A243" s="7" t="s">
        <v>117</v>
      </c>
      <c r="B243" s="1" t="s">
        <v>368</v>
      </c>
      <c r="C243" s="2" t="s">
        <v>10</v>
      </c>
      <c r="D243" s="3">
        <v>90</v>
      </c>
      <c r="E243" s="34">
        <v>10</v>
      </c>
      <c r="F243" s="3">
        <f t="shared" si="23"/>
        <v>900</v>
      </c>
    </row>
    <row r="244" spans="1:6" ht="26.4" x14ac:dyDescent="0.25">
      <c r="A244" s="7" t="s">
        <v>118</v>
      </c>
      <c r="B244" s="1" t="s">
        <v>369</v>
      </c>
      <c r="C244" s="2" t="s">
        <v>10</v>
      </c>
      <c r="D244" s="3">
        <v>350</v>
      </c>
      <c r="E244" s="34">
        <v>5</v>
      </c>
      <c r="F244" s="3">
        <f t="shared" si="23"/>
        <v>1750</v>
      </c>
    </row>
    <row r="245" spans="1:6" x14ac:dyDescent="0.25">
      <c r="B245" s="44" t="s">
        <v>390</v>
      </c>
      <c r="C245" s="6"/>
      <c r="D245" s="6"/>
      <c r="E245" s="21"/>
      <c r="F245" s="42">
        <f>SUM(F236:F244)</f>
        <v>8283.65</v>
      </c>
    </row>
    <row r="246" spans="1:6" x14ac:dyDescent="0.25">
      <c r="D246" s="51"/>
    </row>
    <row r="247" spans="1:6" x14ac:dyDescent="0.25">
      <c r="A247" s="35" t="s">
        <v>12</v>
      </c>
      <c r="B247" s="68" t="s">
        <v>392</v>
      </c>
      <c r="C247" s="41"/>
      <c r="D247" s="41"/>
      <c r="E247" s="62"/>
      <c r="F247" s="41"/>
    </row>
    <row r="248" spans="1:6" ht="382.8" x14ac:dyDescent="0.25">
      <c r="A248" s="32" t="s">
        <v>30</v>
      </c>
      <c r="B248" s="1" t="s">
        <v>370</v>
      </c>
      <c r="C248" s="2" t="s">
        <v>8</v>
      </c>
      <c r="D248" s="51">
        <v>30</v>
      </c>
      <c r="E248" s="34">
        <v>150</v>
      </c>
      <c r="F248" s="3">
        <f t="shared" ref="F248:F266" si="24">D248*$E248</f>
        <v>4500</v>
      </c>
    </row>
    <row r="249" spans="1:6" ht="264" x14ac:dyDescent="0.25">
      <c r="A249" s="32" t="s">
        <v>31</v>
      </c>
      <c r="B249" s="1" t="s">
        <v>371</v>
      </c>
      <c r="D249" s="51"/>
    </row>
    <row r="250" spans="1:6" ht="184.8" x14ac:dyDescent="0.25">
      <c r="B250" s="59" t="s">
        <v>372</v>
      </c>
      <c r="C250" s="2" t="s">
        <v>8</v>
      </c>
      <c r="D250" s="51">
        <v>4</v>
      </c>
      <c r="E250" s="34">
        <v>198</v>
      </c>
      <c r="F250" s="3">
        <f t="shared" ref="F250:F251" si="25">D250*$E250</f>
        <v>792</v>
      </c>
    </row>
    <row r="251" spans="1:6" ht="277.2" x14ac:dyDescent="0.25">
      <c r="A251" s="32" t="s">
        <v>32</v>
      </c>
      <c r="B251" s="1" t="s">
        <v>373</v>
      </c>
      <c r="C251" s="2" t="s">
        <v>8</v>
      </c>
      <c r="D251" s="51">
        <v>15</v>
      </c>
      <c r="E251" s="34">
        <v>65</v>
      </c>
      <c r="F251" s="3">
        <f t="shared" si="25"/>
        <v>975</v>
      </c>
    </row>
    <row r="252" spans="1:6" ht="303.60000000000002" x14ac:dyDescent="0.25">
      <c r="A252" s="32" t="s">
        <v>33</v>
      </c>
      <c r="B252" s="1" t="s">
        <v>374</v>
      </c>
      <c r="C252" s="2" t="s">
        <v>8</v>
      </c>
      <c r="D252" s="51">
        <v>2</v>
      </c>
      <c r="E252" s="34">
        <v>65</v>
      </c>
      <c r="F252" s="3">
        <f t="shared" si="24"/>
        <v>130</v>
      </c>
    </row>
    <row r="253" spans="1:6" ht="39.6" x14ac:dyDescent="0.25">
      <c r="A253" s="32" t="s">
        <v>53</v>
      </c>
      <c r="B253" s="1" t="s">
        <v>375</v>
      </c>
      <c r="D253" s="51"/>
    </row>
    <row r="254" spans="1:6" x14ac:dyDescent="0.25">
      <c r="A254" s="32" t="s">
        <v>61</v>
      </c>
      <c r="B254" s="59" t="s">
        <v>376</v>
      </c>
      <c r="C254" s="2" t="s">
        <v>8</v>
      </c>
      <c r="D254" s="51">
        <v>4</v>
      </c>
      <c r="E254" s="34">
        <v>18</v>
      </c>
      <c r="F254" s="3">
        <f t="shared" ref="F254:F262" si="26">D254*$E254</f>
        <v>72</v>
      </c>
    </row>
    <row r="255" spans="1:6" x14ac:dyDescent="0.25">
      <c r="A255" s="32" t="s">
        <v>62</v>
      </c>
      <c r="B255" s="1" t="s">
        <v>377</v>
      </c>
      <c r="C255" s="2" t="s">
        <v>8</v>
      </c>
      <c r="D255" s="51">
        <v>2</v>
      </c>
      <c r="E255" s="34">
        <v>25</v>
      </c>
      <c r="F255" s="3">
        <f t="shared" si="26"/>
        <v>50</v>
      </c>
    </row>
    <row r="256" spans="1:6" x14ac:dyDescent="0.25">
      <c r="A256" s="32" t="s">
        <v>63</v>
      </c>
      <c r="B256" s="1" t="s">
        <v>378</v>
      </c>
      <c r="C256" s="2" t="s">
        <v>8</v>
      </c>
      <c r="D256" s="51">
        <v>2</v>
      </c>
      <c r="E256" s="34">
        <v>28</v>
      </c>
      <c r="F256" s="3">
        <f t="shared" si="26"/>
        <v>56</v>
      </c>
    </row>
    <row r="257" spans="1:6" x14ac:dyDescent="0.25">
      <c r="A257" s="32" t="s">
        <v>64</v>
      </c>
      <c r="B257" s="1" t="s">
        <v>379</v>
      </c>
      <c r="C257" s="2" t="s">
        <v>8</v>
      </c>
      <c r="D257" s="51">
        <v>2</v>
      </c>
      <c r="E257" s="34">
        <v>31</v>
      </c>
      <c r="F257" s="3">
        <f t="shared" si="26"/>
        <v>62</v>
      </c>
    </row>
    <row r="258" spans="1:6" x14ac:dyDescent="0.25">
      <c r="A258" s="32" t="s">
        <v>103</v>
      </c>
      <c r="B258" s="1" t="s">
        <v>380</v>
      </c>
      <c r="C258" s="2" t="s">
        <v>8</v>
      </c>
      <c r="D258" s="51">
        <v>2</v>
      </c>
      <c r="E258" s="34">
        <v>32</v>
      </c>
      <c r="F258" s="3">
        <f t="shared" si="26"/>
        <v>64</v>
      </c>
    </row>
    <row r="259" spans="1:6" x14ac:dyDescent="0.25">
      <c r="A259" s="32" t="s">
        <v>115</v>
      </c>
      <c r="B259" s="1" t="s">
        <v>381</v>
      </c>
      <c r="C259" s="2" t="s">
        <v>8</v>
      </c>
      <c r="D259" s="51">
        <v>3</v>
      </c>
      <c r="E259" s="34">
        <v>15</v>
      </c>
      <c r="F259" s="3">
        <f t="shared" si="26"/>
        <v>45</v>
      </c>
    </row>
    <row r="260" spans="1:6" x14ac:dyDescent="0.25">
      <c r="A260" s="32" t="s">
        <v>116</v>
      </c>
      <c r="B260" s="1" t="s">
        <v>382</v>
      </c>
      <c r="C260" s="2" t="s">
        <v>8</v>
      </c>
      <c r="D260" s="51">
        <v>15</v>
      </c>
      <c r="E260" s="34">
        <v>15</v>
      </c>
      <c r="F260" s="3">
        <f t="shared" si="26"/>
        <v>225</v>
      </c>
    </row>
    <row r="261" spans="1:6" x14ac:dyDescent="0.25">
      <c r="A261" s="32" t="s">
        <v>117</v>
      </c>
      <c r="B261" s="1" t="s">
        <v>383</v>
      </c>
      <c r="C261" s="2" t="s">
        <v>8</v>
      </c>
      <c r="D261" s="51">
        <v>2</v>
      </c>
      <c r="E261" s="34">
        <v>65</v>
      </c>
      <c r="F261" s="3">
        <f t="shared" si="26"/>
        <v>130</v>
      </c>
    </row>
    <row r="262" spans="1:6" ht="52.8" x14ac:dyDescent="0.25">
      <c r="A262" s="32" t="s">
        <v>54</v>
      </c>
      <c r="B262" s="1" t="s">
        <v>384</v>
      </c>
      <c r="C262" s="2" t="s">
        <v>10</v>
      </c>
      <c r="D262" s="3">
        <v>65</v>
      </c>
      <c r="E262" s="34">
        <v>25</v>
      </c>
      <c r="F262" s="3">
        <f t="shared" si="26"/>
        <v>1625</v>
      </c>
    </row>
    <row r="263" spans="1:6" ht="39.6" x14ac:dyDescent="0.25">
      <c r="A263" s="32" t="s">
        <v>55</v>
      </c>
      <c r="B263" s="1" t="s">
        <v>385</v>
      </c>
      <c r="D263" s="51"/>
    </row>
    <row r="264" spans="1:6" x14ac:dyDescent="0.25">
      <c r="A264" s="32" t="s">
        <v>61</v>
      </c>
      <c r="B264" s="59" t="s">
        <v>386</v>
      </c>
      <c r="C264" s="2" t="s">
        <v>10</v>
      </c>
      <c r="D264" s="3">
        <v>420</v>
      </c>
      <c r="E264" s="34">
        <v>4</v>
      </c>
      <c r="F264" s="3">
        <f t="shared" ref="F264:F265" si="27">D264*$E264</f>
        <v>1680</v>
      </c>
    </row>
    <row r="265" spans="1:6" ht="26.4" x14ac:dyDescent="0.25">
      <c r="A265" s="32" t="s">
        <v>62</v>
      </c>
      <c r="B265" s="1" t="s">
        <v>387</v>
      </c>
      <c r="C265" s="2" t="s">
        <v>46</v>
      </c>
      <c r="D265" s="51">
        <v>20</v>
      </c>
      <c r="E265" s="34">
        <v>5</v>
      </c>
      <c r="F265" s="3">
        <f t="shared" si="27"/>
        <v>100</v>
      </c>
    </row>
    <row r="266" spans="1:6" ht="26.4" x14ac:dyDescent="0.25">
      <c r="A266" s="32" t="s">
        <v>56</v>
      </c>
      <c r="B266" s="1" t="s">
        <v>388</v>
      </c>
      <c r="C266" s="2" t="s">
        <v>8</v>
      </c>
      <c r="D266" s="51">
        <v>9</v>
      </c>
      <c r="E266" s="34">
        <v>30</v>
      </c>
      <c r="F266" s="3">
        <f t="shared" si="24"/>
        <v>270</v>
      </c>
    </row>
    <row r="267" spans="1:6" x14ac:dyDescent="0.25">
      <c r="B267" s="35" t="s">
        <v>391</v>
      </c>
      <c r="C267" s="6"/>
      <c r="D267" s="6"/>
      <c r="E267" s="21"/>
      <c r="F267" s="42">
        <f>SUM(F248:F266)</f>
        <v>10776</v>
      </c>
    </row>
    <row r="268" spans="1:6" x14ac:dyDescent="0.25">
      <c r="D268" s="51"/>
    </row>
    <row r="269" spans="1:6" x14ac:dyDescent="0.25">
      <c r="A269" s="35" t="s">
        <v>13</v>
      </c>
      <c r="B269" s="68" t="s">
        <v>404</v>
      </c>
      <c r="C269" s="41"/>
      <c r="D269" s="41"/>
      <c r="E269" s="62"/>
      <c r="F269" s="41"/>
    </row>
    <row r="270" spans="1:6" ht="26.4" x14ac:dyDescent="0.25">
      <c r="A270" s="32" t="s">
        <v>39</v>
      </c>
      <c r="B270" s="1" t="s">
        <v>405</v>
      </c>
      <c r="C270" s="2" t="s">
        <v>9</v>
      </c>
      <c r="D270" s="3">
        <v>55</v>
      </c>
      <c r="E270" s="34">
        <v>15</v>
      </c>
      <c r="F270" s="3">
        <f t="shared" ref="F270:F276" si="28">D270*$E270</f>
        <v>825</v>
      </c>
    </row>
    <row r="271" spans="1:6" ht="26.4" x14ac:dyDescent="0.25">
      <c r="A271" s="32" t="s">
        <v>40</v>
      </c>
      <c r="B271" s="1" t="s">
        <v>406</v>
      </c>
      <c r="C271" s="2" t="s">
        <v>8</v>
      </c>
      <c r="D271" s="51">
        <v>6</v>
      </c>
      <c r="E271" s="34">
        <v>65</v>
      </c>
      <c r="F271" s="3">
        <f t="shared" si="28"/>
        <v>390</v>
      </c>
    </row>
    <row r="272" spans="1:6" ht="39.6" x14ac:dyDescent="0.25">
      <c r="A272" s="32" t="s">
        <v>70</v>
      </c>
      <c r="B272" s="59" t="s">
        <v>407</v>
      </c>
      <c r="C272" s="2" t="s">
        <v>10</v>
      </c>
      <c r="D272" s="3">
        <v>110</v>
      </c>
      <c r="E272" s="34">
        <v>15</v>
      </c>
      <c r="F272" s="3">
        <f t="shared" si="28"/>
        <v>1650</v>
      </c>
    </row>
    <row r="273" spans="1:6" ht="26.4" x14ac:dyDescent="0.25">
      <c r="A273" s="32" t="s">
        <v>71</v>
      </c>
      <c r="B273" s="1" t="s">
        <v>408</v>
      </c>
      <c r="C273" s="2" t="s">
        <v>10</v>
      </c>
      <c r="D273" s="3">
        <v>35</v>
      </c>
      <c r="E273" s="34">
        <v>12</v>
      </c>
      <c r="F273" s="3">
        <f t="shared" si="28"/>
        <v>420</v>
      </c>
    </row>
    <row r="274" spans="1:6" ht="26.4" x14ac:dyDescent="0.25">
      <c r="A274" s="32" t="s">
        <v>72</v>
      </c>
      <c r="B274" s="1" t="s">
        <v>409</v>
      </c>
      <c r="C274" s="2" t="s">
        <v>10</v>
      </c>
      <c r="D274" s="3">
        <v>95</v>
      </c>
      <c r="E274" s="34">
        <v>12</v>
      </c>
      <c r="F274" s="3">
        <f t="shared" si="28"/>
        <v>1140</v>
      </c>
    </row>
    <row r="275" spans="1:6" x14ac:dyDescent="0.25">
      <c r="A275" s="32" t="s">
        <v>73</v>
      </c>
      <c r="B275" s="1" t="s">
        <v>410</v>
      </c>
      <c r="C275" s="2" t="s">
        <v>8</v>
      </c>
      <c r="D275" s="51">
        <v>20</v>
      </c>
      <c r="E275" s="34">
        <v>14</v>
      </c>
      <c r="F275" s="3">
        <f t="shared" si="28"/>
        <v>280</v>
      </c>
    </row>
    <row r="276" spans="1:6" x14ac:dyDescent="0.25">
      <c r="A276" s="32" t="s">
        <v>165</v>
      </c>
      <c r="B276" s="1" t="s">
        <v>411</v>
      </c>
      <c r="C276" s="2" t="s">
        <v>8</v>
      </c>
      <c r="D276" s="51">
        <v>6</v>
      </c>
      <c r="E276" s="34">
        <v>25</v>
      </c>
      <c r="F276" s="3">
        <f t="shared" si="28"/>
        <v>150</v>
      </c>
    </row>
    <row r="277" spans="1:6" x14ac:dyDescent="0.25">
      <c r="B277" s="35" t="s">
        <v>552</v>
      </c>
      <c r="C277" s="6"/>
      <c r="D277" s="6"/>
      <c r="E277" s="21"/>
      <c r="F277" s="42">
        <f>SUM(F270:F276)</f>
        <v>4855</v>
      </c>
    </row>
    <row r="278" spans="1:6" x14ac:dyDescent="0.25">
      <c r="D278" s="51"/>
    </row>
    <row r="279" spans="1:6" x14ac:dyDescent="0.25">
      <c r="A279" s="35" t="s">
        <v>14</v>
      </c>
      <c r="B279" s="68" t="s">
        <v>437</v>
      </c>
      <c r="C279" s="41"/>
      <c r="D279" s="41"/>
      <c r="E279" s="62"/>
      <c r="F279" s="41"/>
    </row>
    <row r="280" spans="1:6" ht="105.6" x14ac:dyDescent="0.25">
      <c r="A280" s="32" t="s">
        <v>35</v>
      </c>
      <c r="B280" s="1" t="s">
        <v>438</v>
      </c>
      <c r="C280" s="2" t="s">
        <v>8</v>
      </c>
      <c r="D280" s="51">
        <v>12</v>
      </c>
      <c r="E280" s="34">
        <v>710</v>
      </c>
      <c r="F280" s="69" t="s">
        <v>550</v>
      </c>
    </row>
    <row r="281" spans="1:6" ht="145.19999999999999" x14ac:dyDescent="0.25">
      <c r="A281" s="32" t="s">
        <v>36</v>
      </c>
      <c r="B281" s="1" t="s">
        <v>439</v>
      </c>
      <c r="C281" s="2" t="s">
        <v>8</v>
      </c>
      <c r="D281" s="51">
        <v>1</v>
      </c>
      <c r="E281" s="34">
        <v>2100</v>
      </c>
      <c r="F281" s="3">
        <f t="shared" ref="F281:F296" si="29">D281*$E281</f>
        <v>2100</v>
      </c>
    </row>
    <row r="282" spans="1:6" ht="132" x14ac:dyDescent="0.25">
      <c r="A282" s="32" t="s">
        <v>37</v>
      </c>
      <c r="B282" s="1" t="s">
        <v>440</v>
      </c>
      <c r="C282" s="2" t="s">
        <v>8</v>
      </c>
      <c r="D282" s="51">
        <v>2</v>
      </c>
      <c r="E282" s="34">
        <v>1650</v>
      </c>
      <c r="F282" s="3">
        <f t="shared" si="29"/>
        <v>3300</v>
      </c>
    </row>
    <row r="283" spans="1:6" ht="26.4" x14ac:dyDescent="0.25">
      <c r="A283" s="32" t="s">
        <v>38</v>
      </c>
      <c r="B283" s="1" t="s">
        <v>441</v>
      </c>
      <c r="C283" s="2" t="s">
        <v>8</v>
      </c>
      <c r="D283" s="51">
        <v>1</v>
      </c>
      <c r="E283" s="34">
        <v>300</v>
      </c>
      <c r="F283" s="3">
        <f t="shared" si="29"/>
        <v>300</v>
      </c>
    </row>
    <row r="284" spans="1:6" ht="26.4" x14ac:dyDescent="0.25">
      <c r="A284" s="32" t="s">
        <v>105</v>
      </c>
      <c r="B284" s="1" t="s">
        <v>442</v>
      </c>
      <c r="C284" s="2" t="s">
        <v>8</v>
      </c>
      <c r="D284" s="51">
        <v>2</v>
      </c>
      <c r="E284" s="34">
        <v>240</v>
      </c>
      <c r="F284" s="3">
        <f t="shared" si="29"/>
        <v>480</v>
      </c>
    </row>
    <row r="285" spans="1:6" ht="92.4" x14ac:dyDescent="0.25">
      <c r="A285" s="32" t="s">
        <v>106</v>
      </c>
      <c r="B285" s="1" t="s">
        <v>443</v>
      </c>
      <c r="C285" s="2" t="s">
        <v>8</v>
      </c>
      <c r="D285" s="51">
        <v>2</v>
      </c>
      <c r="E285" s="34">
        <v>155</v>
      </c>
      <c r="F285" s="3">
        <f t="shared" si="29"/>
        <v>310</v>
      </c>
    </row>
    <row r="286" spans="1:6" ht="39.6" x14ac:dyDescent="0.25">
      <c r="A286" s="32" t="s">
        <v>107</v>
      </c>
      <c r="B286" s="1" t="s">
        <v>444</v>
      </c>
      <c r="C286" s="2" t="s">
        <v>8</v>
      </c>
      <c r="D286" s="51">
        <v>2</v>
      </c>
      <c r="E286" s="34">
        <v>125</v>
      </c>
      <c r="F286" s="3">
        <f t="shared" si="29"/>
        <v>250</v>
      </c>
    </row>
    <row r="287" spans="1:6" x14ac:dyDescent="0.25">
      <c r="A287" s="32" t="s">
        <v>108</v>
      </c>
      <c r="B287" s="1" t="s">
        <v>445</v>
      </c>
      <c r="C287" s="2" t="s">
        <v>8</v>
      </c>
      <c r="D287" s="51">
        <v>2</v>
      </c>
      <c r="E287" s="34">
        <v>15</v>
      </c>
      <c r="F287" s="3">
        <f t="shared" si="29"/>
        <v>30</v>
      </c>
    </row>
    <row r="288" spans="1:6" ht="26.4" x14ac:dyDescent="0.25">
      <c r="A288" s="32" t="s">
        <v>109</v>
      </c>
      <c r="B288" s="1" t="s">
        <v>446</v>
      </c>
      <c r="C288" s="2" t="s">
        <v>8</v>
      </c>
      <c r="D288" s="51">
        <v>1</v>
      </c>
      <c r="E288" s="34">
        <v>610</v>
      </c>
      <c r="F288" s="3">
        <f t="shared" si="29"/>
        <v>610</v>
      </c>
    </row>
    <row r="289" spans="1:6" x14ac:dyDescent="0.25">
      <c r="A289" s="32" t="s">
        <v>110</v>
      </c>
      <c r="B289" s="1" t="s">
        <v>447</v>
      </c>
      <c r="C289" s="2" t="s">
        <v>8</v>
      </c>
      <c r="D289" s="51">
        <v>2</v>
      </c>
      <c r="E289" s="34">
        <v>550</v>
      </c>
      <c r="F289" s="3">
        <f t="shared" si="29"/>
        <v>1100</v>
      </c>
    </row>
    <row r="290" spans="1:6" x14ac:dyDescent="0.25">
      <c r="A290" s="32" t="s">
        <v>111</v>
      </c>
      <c r="B290" s="1" t="s">
        <v>450</v>
      </c>
      <c r="C290" s="2" t="s">
        <v>10</v>
      </c>
      <c r="D290" s="3">
        <v>10</v>
      </c>
      <c r="E290" s="34">
        <v>4.2</v>
      </c>
      <c r="F290" s="3">
        <f t="shared" si="29"/>
        <v>42</v>
      </c>
    </row>
    <row r="291" spans="1:6" x14ac:dyDescent="0.25">
      <c r="A291" s="32" t="s">
        <v>112</v>
      </c>
      <c r="B291" s="1" t="s">
        <v>451</v>
      </c>
      <c r="C291" s="2" t="s">
        <v>10</v>
      </c>
      <c r="D291" s="3">
        <v>20</v>
      </c>
      <c r="E291" s="34">
        <v>4.55</v>
      </c>
      <c r="F291" s="3">
        <f t="shared" si="29"/>
        <v>91</v>
      </c>
    </row>
    <row r="292" spans="1:6" x14ac:dyDescent="0.25">
      <c r="A292" s="32" t="s">
        <v>113</v>
      </c>
      <c r="B292" s="1" t="s">
        <v>453</v>
      </c>
      <c r="C292" s="2" t="s">
        <v>10</v>
      </c>
      <c r="D292" s="3">
        <v>20</v>
      </c>
      <c r="E292" s="34">
        <v>14</v>
      </c>
      <c r="F292" s="3">
        <f t="shared" si="29"/>
        <v>280</v>
      </c>
    </row>
    <row r="293" spans="1:6" x14ac:dyDescent="0.25">
      <c r="A293" s="32" t="s">
        <v>553</v>
      </c>
      <c r="B293" s="1" t="s">
        <v>456</v>
      </c>
      <c r="C293" s="2" t="s">
        <v>10</v>
      </c>
      <c r="D293" s="3">
        <v>50</v>
      </c>
      <c r="E293" s="34">
        <v>3.55</v>
      </c>
      <c r="F293" s="3">
        <f t="shared" si="29"/>
        <v>177.5</v>
      </c>
    </row>
    <row r="294" spans="1:6" x14ac:dyDescent="0.25">
      <c r="A294" s="32" t="s">
        <v>554</v>
      </c>
      <c r="B294" s="1" t="s">
        <v>457</v>
      </c>
      <c r="C294" s="2" t="s">
        <v>10</v>
      </c>
      <c r="D294" s="3">
        <v>30</v>
      </c>
      <c r="E294" s="34">
        <v>4.2</v>
      </c>
      <c r="F294" s="3">
        <f t="shared" si="29"/>
        <v>126</v>
      </c>
    </row>
    <row r="295" spans="1:6" x14ac:dyDescent="0.25">
      <c r="A295" s="32" t="s">
        <v>555</v>
      </c>
      <c r="B295" s="1" t="s">
        <v>459</v>
      </c>
      <c r="C295" s="2" t="s">
        <v>10</v>
      </c>
      <c r="D295" s="3">
        <v>10</v>
      </c>
      <c r="E295" s="34">
        <v>4.2</v>
      </c>
      <c r="F295" s="3">
        <f t="shared" si="29"/>
        <v>42</v>
      </c>
    </row>
    <row r="296" spans="1:6" x14ac:dyDescent="0.25">
      <c r="A296" s="32" t="s">
        <v>556</v>
      </c>
      <c r="B296" s="1" t="s">
        <v>460</v>
      </c>
      <c r="C296" s="2" t="s">
        <v>10</v>
      </c>
      <c r="D296" s="3">
        <v>60</v>
      </c>
      <c r="E296" s="34">
        <v>3.55</v>
      </c>
      <c r="F296" s="3">
        <f t="shared" si="29"/>
        <v>213</v>
      </c>
    </row>
    <row r="297" spans="1:6" x14ac:dyDescent="0.25">
      <c r="B297" s="35" t="s">
        <v>557</v>
      </c>
      <c r="C297" s="6"/>
      <c r="D297" s="6"/>
      <c r="E297" s="21"/>
      <c r="F297" s="42">
        <f>SUM(F281:F296)</f>
        <v>9451.5</v>
      </c>
    </row>
    <row r="298" spans="1:6" x14ac:dyDescent="0.25">
      <c r="D298" s="51"/>
    </row>
    <row r="299" spans="1:6" x14ac:dyDescent="0.25">
      <c r="A299" s="35" t="s">
        <v>15</v>
      </c>
      <c r="B299" s="68" t="s">
        <v>462</v>
      </c>
      <c r="C299" s="41"/>
      <c r="D299" s="41"/>
      <c r="E299" s="62"/>
      <c r="F299" s="41"/>
    </row>
    <row r="300" spans="1:6" ht="184.8" x14ac:dyDescent="0.25">
      <c r="A300" s="32" t="s">
        <v>39</v>
      </c>
      <c r="B300" s="1" t="s">
        <v>463</v>
      </c>
      <c r="C300" s="2" t="s">
        <v>46</v>
      </c>
      <c r="D300" s="51">
        <v>1</v>
      </c>
      <c r="E300" s="34">
        <v>980</v>
      </c>
      <c r="F300" s="3">
        <f t="shared" ref="F300:F324" si="30">D300*$E300</f>
        <v>980</v>
      </c>
    </row>
    <row r="301" spans="1:6" x14ac:dyDescent="0.25">
      <c r="A301" s="32" t="s">
        <v>40</v>
      </c>
      <c r="B301" s="1" t="s">
        <v>464</v>
      </c>
      <c r="C301" s="2" t="s">
        <v>46</v>
      </c>
      <c r="D301" s="51">
        <v>1</v>
      </c>
      <c r="E301" s="34">
        <v>55</v>
      </c>
      <c r="F301" s="3">
        <f t="shared" si="30"/>
        <v>55</v>
      </c>
    </row>
    <row r="302" spans="1:6" ht="39.6" x14ac:dyDescent="0.25">
      <c r="A302" s="32" t="s">
        <v>70</v>
      </c>
      <c r="B302" s="1" t="s">
        <v>465</v>
      </c>
      <c r="C302" s="2" t="s">
        <v>8</v>
      </c>
      <c r="D302" s="51">
        <v>2</v>
      </c>
      <c r="E302" s="34">
        <v>55</v>
      </c>
      <c r="F302" s="3">
        <f t="shared" si="30"/>
        <v>110</v>
      </c>
    </row>
    <row r="303" spans="1:6" ht="171.6" x14ac:dyDescent="0.25">
      <c r="A303" s="32" t="s">
        <v>71</v>
      </c>
      <c r="B303" s="1" t="s">
        <v>466</v>
      </c>
      <c r="C303" s="2" t="s">
        <v>8</v>
      </c>
      <c r="D303" s="51">
        <v>1</v>
      </c>
      <c r="E303" s="34">
        <v>1450</v>
      </c>
      <c r="F303" s="3">
        <f t="shared" si="30"/>
        <v>1450</v>
      </c>
    </row>
    <row r="304" spans="1:6" ht="118.8" x14ac:dyDescent="0.25">
      <c r="A304" s="32" t="s">
        <v>72</v>
      </c>
      <c r="B304" s="1" t="s">
        <v>467</v>
      </c>
      <c r="C304" s="2" t="s">
        <v>8</v>
      </c>
      <c r="D304" s="51">
        <v>1</v>
      </c>
      <c r="E304" s="34">
        <v>355</v>
      </c>
      <c r="F304" s="3">
        <f t="shared" si="30"/>
        <v>355</v>
      </c>
    </row>
    <row r="305" spans="1:6" ht="105.6" x14ac:dyDescent="0.25">
      <c r="A305" s="32" t="s">
        <v>73</v>
      </c>
      <c r="B305" s="1" t="s">
        <v>468</v>
      </c>
      <c r="C305" s="2" t="s">
        <v>8</v>
      </c>
      <c r="D305" s="51">
        <v>1</v>
      </c>
      <c r="E305" s="34">
        <v>55</v>
      </c>
      <c r="F305" s="3">
        <f t="shared" si="30"/>
        <v>55</v>
      </c>
    </row>
    <row r="306" spans="1:6" ht="158.4" x14ac:dyDescent="0.25">
      <c r="A306" s="32" t="s">
        <v>165</v>
      </c>
      <c r="B306" s="1" t="s">
        <v>472</v>
      </c>
      <c r="C306" s="2" t="s">
        <v>8</v>
      </c>
      <c r="D306" s="51">
        <v>9</v>
      </c>
      <c r="E306" s="34">
        <v>55</v>
      </c>
      <c r="F306" s="3">
        <f t="shared" si="30"/>
        <v>495</v>
      </c>
    </row>
    <row r="307" spans="1:6" ht="118.8" x14ac:dyDescent="0.25">
      <c r="A307" s="32" t="s">
        <v>74</v>
      </c>
      <c r="B307" s="1" t="s">
        <v>469</v>
      </c>
      <c r="C307" s="2" t="s">
        <v>8</v>
      </c>
      <c r="D307" s="51">
        <v>2</v>
      </c>
      <c r="E307" s="34">
        <v>78</v>
      </c>
      <c r="F307" s="3">
        <f t="shared" si="30"/>
        <v>156</v>
      </c>
    </row>
    <row r="308" spans="1:6" ht="26.4" x14ac:dyDescent="0.25">
      <c r="A308" s="32" t="s">
        <v>166</v>
      </c>
      <c r="B308" s="1" t="s">
        <v>470</v>
      </c>
      <c r="C308" s="2" t="s">
        <v>8</v>
      </c>
      <c r="D308" s="51">
        <v>2</v>
      </c>
      <c r="E308" s="34">
        <v>20</v>
      </c>
      <c r="F308" s="3">
        <f t="shared" si="30"/>
        <v>40</v>
      </c>
    </row>
    <row r="309" spans="1:6" ht="26.4" x14ac:dyDescent="0.25">
      <c r="A309" s="32" t="s">
        <v>167</v>
      </c>
      <c r="B309" s="1" t="s">
        <v>471</v>
      </c>
      <c r="C309" s="2" t="s">
        <v>8</v>
      </c>
      <c r="D309" s="51">
        <v>2</v>
      </c>
      <c r="E309" s="34">
        <v>5</v>
      </c>
      <c r="F309" s="3">
        <f t="shared" si="30"/>
        <v>10</v>
      </c>
    </row>
    <row r="310" spans="1:6" ht="79.2" x14ac:dyDescent="0.25">
      <c r="A310" s="32" t="s">
        <v>250</v>
      </c>
      <c r="B310" s="1" t="s">
        <v>473</v>
      </c>
      <c r="C310" s="2" t="s">
        <v>8</v>
      </c>
      <c r="D310" s="51">
        <v>2</v>
      </c>
      <c r="E310" s="34">
        <v>110</v>
      </c>
      <c r="F310" s="3">
        <f t="shared" si="30"/>
        <v>220</v>
      </c>
    </row>
    <row r="311" spans="1:6" ht="158.4" x14ac:dyDescent="0.25">
      <c r="A311" s="32" t="s">
        <v>253</v>
      </c>
      <c r="B311" s="1" t="s">
        <v>474</v>
      </c>
      <c r="C311" s="2" t="s">
        <v>8</v>
      </c>
      <c r="D311" s="51">
        <v>2</v>
      </c>
      <c r="E311" s="34">
        <v>165</v>
      </c>
      <c r="F311" s="3">
        <f t="shared" si="30"/>
        <v>330</v>
      </c>
    </row>
    <row r="312" spans="1:6" ht="105.6" x14ac:dyDescent="0.25">
      <c r="A312" s="32" t="s">
        <v>260</v>
      </c>
      <c r="B312" s="1" t="s">
        <v>475</v>
      </c>
      <c r="C312" s="2" t="s">
        <v>8</v>
      </c>
      <c r="D312" s="51">
        <v>2</v>
      </c>
      <c r="E312" s="34">
        <v>110</v>
      </c>
      <c r="F312" s="3">
        <f t="shared" si="30"/>
        <v>220</v>
      </c>
    </row>
    <row r="313" spans="1:6" ht="39.6" x14ac:dyDescent="0.25">
      <c r="A313" s="32" t="s">
        <v>558</v>
      </c>
      <c r="B313" s="1" t="s">
        <v>476</v>
      </c>
      <c r="C313" s="2" t="s">
        <v>8</v>
      </c>
      <c r="D313" s="51">
        <v>14</v>
      </c>
      <c r="E313" s="34">
        <v>20</v>
      </c>
      <c r="F313" s="3">
        <f t="shared" si="30"/>
        <v>280</v>
      </c>
    </row>
    <row r="314" spans="1:6" ht="237.6" x14ac:dyDescent="0.25">
      <c r="A314" s="32" t="s">
        <v>559</v>
      </c>
      <c r="B314" s="1" t="s">
        <v>477</v>
      </c>
      <c r="C314" s="2" t="s">
        <v>8</v>
      </c>
      <c r="D314" s="51">
        <v>1</v>
      </c>
      <c r="E314" s="34">
        <v>135</v>
      </c>
      <c r="F314" s="3">
        <f t="shared" si="30"/>
        <v>135</v>
      </c>
    </row>
    <row r="315" spans="1:6" ht="66" x14ac:dyDescent="0.25">
      <c r="A315" s="32" t="s">
        <v>560</v>
      </c>
      <c r="B315" s="1" t="s">
        <v>478</v>
      </c>
      <c r="C315" s="2" t="s">
        <v>10</v>
      </c>
      <c r="D315" s="3">
        <v>145</v>
      </c>
      <c r="E315" s="34">
        <v>3.55</v>
      </c>
      <c r="F315" s="3">
        <f t="shared" si="30"/>
        <v>514.75</v>
      </c>
    </row>
    <row r="316" spans="1:6" ht="118.8" x14ac:dyDescent="0.25">
      <c r="A316" s="32" t="s">
        <v>561</v>
      </c>
      <c r="B316" s="1" t="s">
        <v>479</v>
      </c>
      <c r="C316" s="2" t="s">
        <v>10</v>
      </c>
      <c r="D316" s="3">
        <v>420</v>
      </c>
      <c r="E316" s="34">
        <v>3.55</v>
      </c>
      <c r="F316" s="3">
        <f t="shared" si="30"/>
        <v>1491</v>
      </c>
    </row>
    <row r="317" spans="1:6" ht="26.4" x14ac:dyDescent="0.25">
      <c r="A317" s="32" t="s">
        <v>562</v>
      </c>
      <c r="B317" s="1" t="s">
        <v>481</v>
      </c>
      <c r="C317" s="2" t="s">
        <v>10</v>
      </c>
      <c r="D317" s="3">
        <v>430</v>
      </c>
      <c r="E317" s="34">
        <v>4.55</v>
      </c>
      <c r="F317" s="3">
        <f t="shared" si="30"/>
        <v>1956.5</v>
      </c>
    </row>
    <row r="318" spans="1:6" ht="39.6" x14ac:dyDescent="0.25">
      <c r="A318" s="32" t="s">
        <v>563</v>
      </c>
      <c r="B318" s="1" t="s">
        <v>483</v>
      </c>
      <c r="C318" s="2" t="s">
        <v>10</v>
      </c>
      <c r="D318" s="3">
        <v>135</v>
      </c>
      <c r="E318" s="34">
        <v>4</v>
      </c>
      <c r="F318" s="3">
        <f t="shared" si="30"/>
        <v>540</v>
      </c>
    </row>
    <row r="319" spans="1:6" ht="39.6" x14ac:dyDescent="0.25">
      <c r="A319" s="32" t="s">
        <v>564</v>
      </c>
      <c r="B319" s="1" t="s">
        <v>485</v>
      </c>
      <c r="C319" s="2" t="s">
        <v>10</v>
      </c>
      <c r="D319" s="3">
        <v>20</v>
      </c>
      <c r="E319" s="34">
        <v>3.55</v>
      </c>
      <c r="F319" s="3">
        <f t="shared" si="30"/>
        <v>71</v>
      </c>
    </row>
    <row r="320" spans="1:6" ht="26.4" x14ac:dyDescent="0.25">
      <c r="A320" s="32" t="s">
        <v>565</v>
      </c>
      <c r="B320" s="1" t="s">
        <v>487</v>
      </c>
      <c r="C320" s="2" t="s">
        <v>46</v>
      </c>
      <c r="D320" s="51">
        <v>1</v>
      </c>
      <c r="E320" s="34">
        <v>255</v>
      </c>
      <c r="F320" s="3">
        <f t="shared" si="30"/>
        <v>255</v>
      </c>
    </row>
    <row r="321" spans="1:6" ht="39.6" x14ac:dyDescent="0.25">
      <c r="A321" s="32" t="s">
        <v>566</v>
      </c>
      <c r="B321" s="1" t="s">
        <v>489</v>
      </c>
      <c r="C321" s="2" t="s">
        <v>46</v>
      </c>
      <c r="D321" s="51">
        <v>1</v>
      </c>
      <c r="E321" s="34">
        <v>250</v>
      </c>
      <c r="F321" s="3">
        <f t="shared" si="30"/>
        <v>250</v>
      </c>
    </row>
    <row r="322" spans="1:6" ht="26.4" x14ac:dyDescent="0.25">
      <c r="A322" s="32" t="s">
        <v>567</v>
      </c>
      <c r="B322" s="1" t="s">
        <v>491</v>
      </c>
      <c r="C322" s="2" t="s">
        <v>46</v>
      </c>
      <c r="D322" s="51">
        <v>1</v>
      </c>
      <c r="E322" s="34">
        <v>450</v>
      </c>
      <c r="F322" s="3">
        <f t="shared" si="30"/>
        <v>450</v>
      </c>
    </row>
    <row r="323" spans="1:6" ht="26.4" x14ac:dyDescent="0.25">
      <c r="A323" s="32" t="s">
        <v>568</v>
      </c>
      <c r="B323" s="1" t="s">
        <v>493</v>
      </c>
      <c r="C323" s="2" t="s">
        <v>46</v>
      </c>
      <c r="D323" s="51">
        <v>1</v>
      </c>
      <c r="E323" s="34">
        <v>125</v>
      </c>
      <c r="F323" s="3">
        <f t="shared" si="30"/>
        <v>125</v>
      </c>
    </row>
    <row r="324" spans="1:6" ht="66" x14ac:dyDescent="0.25">
      <c r="A324" s="32" t="s">
        <v>569</v>
      </c>
      <c r="B324" s="1" t="s">
        <v>495</v>
      </c>
      <c r="C324" s="2" t="s">
        <v>46</v>
      </c>
      <c r="D324" s="51">
        <v>1</v>
      </c>
      <c r="E324" s="34">
        <v>950</v>
      </c>
      <c r="F324" s="3">
        <f t="shared" si="30"/>
        <v>950</v>
      </c>
    </row>
    <row r="325" spans="1:6" x14ac:dyDescent="0.25">
      <c r="B325" s="35" t="s">
        <v>570</v>
      </c>
      <c r="C325" s="6"/>
      <c r="D325" s="6"/>
      <c r="E325" s="21"/>
      <c r="F325" s="42">
        <f>SUM(F300:F324)</f>
        <v>11494.25</v>
      </c>
    </row>
    <row r="326" spans="1:6" x14ac:dyDescent="0.25">
      <c r="D326" s="51"/>
    </row>
    <row r="327" spans="1:6" x14ac:dyDescent="0.25">
      <c r="A327" s="35" t="s">
        <v>16</v>
      </c>
      <c r="B327" s="68" t="s">
        <v>497</v>
      </c>
      <c r="C327" s="41"/>
      <c r="D327" s="41"/>
      <c r="E327" s="62"/>
      <c r="F327" s="41"/>
    </row>
    <row r="328" spans="1:6" ht="52.8" x14ac:dyDescent="0.25">
      <c r="A328" s="32" t="s">
        <v>41</v>
      </c>
      <c r="B328" s="1" t="s">
        <v>498</v>
      </c>
      <c r="C328" s="2" t="s">
        <v>46</v>
      </c>
      <c r="D328" s="51">
        <v>1</v>
      </c>
      <c r="E328" s="34">
        <v>655</v>
      </c>
      <c r="F328" s="3">
        <f t="shared" ref="F328:F329" si="31">D328*$E328</f>
        <v>655</v>
      </c>
    </row>
    <row r="329" spans="1:6" ht="52.8" x14ac:dyDescent="0.25">
      <c r="A329" s="32" t="s">
        <v>262</v>
      </c>
      <c r="B329" s="1" t="s">
        <v>499</v>
      </c>
      <c r="C329" s="2" t="s">
        <v>46</v>
      </c>
      <c r="D329" s="51">
        <v>1</v>
      </c>
      <c r="E329" s="34">
        <v>550</v>
      </c>
      <c r="F329" s="3">
        <f t="shared" si="31"/>
        <v>550</v>
      </c>
    </row>
    <row r="330" spans="1:6" x14ac:dyDescent="0.25">
      <c r="B330" s="44" t="s">
        <v>571</v>
      </c>
      <c r="C330" s="6"/>
      <c r="D330" s="6"/>
      <c r="E330" s="21"/>
      <c r="F330" s="42">
        <f>SUM(F328:F329)</f>
        <v>1205</v>
      </c>
    </row>
    <row r="331" spans="1:6" x14ac:dyDescent="0.25">
      <c r="D331" s="51"/>
    </row>
    <row r="332" spans="1:6" x14ac:dyDescent="0.25">
      <c r="D332" s="51"/>
    </row>
    <row r="333" spans="1:6" x14ac:dyDescent="0.25">
      <c r="D333" s="51"/>
    </row>
    <row r="334" spans="1:6" x14ac:dyDescent="0.25">
      <c r="A334" s="45" t="s">
        <v>80</v>
      </c>
      <c r="B334" s="23" t="s">
        <v>502</v>
      </c>
    </row>
    <row r="336" spans="1:6" x14ac:dyDescent="0.25">
      <c r="A336" s="45" t="s">
        <v>6</v>
      </c>
      <c r="B336" s="19" t="s">
        <v>158</v>
      </c>
      <c r="C336" s="22"/>
      <c r="D336" s="42"/>
      <c r="E336" s="49"/>
      <c r="F336" s="42">
        <f>SUM(F232)</f>
        <v>3200</v>
      </c>
    </row>
    <row r="337" spans="1:6" x14ac:dyDescent="0.25">
      <c r="A337" s="45" t="s">
        <v>11</v>
      </c>
      <c r="B337" s="23" t="s">
        <v>389</v>
      </c>
      <c r="C337" s="22"/>
      <c r="D337" s="42"/>
      <c r="E337" s="49"/>
      <c r="F337" s="42">
        <f>SUM(F245)</f>
        <v>8283.65</v>
      </c>
    </row>
    <row r="338" spans="1:6" x14ac:dyDescent="0.25">
      <c r="A338" s="45" t="s">
        <v>12</v>
      </c>
      <c r="B338" s="19" t="s">
        <v>392</v>
      </c>
      <c r="C338" s="22"/>
      <c r="D338" s="42"/>
      <c r="E338" s="49"/>
      <c r="F338" s="42">
        <f>SUM(F267)</f>
        <v>10776</v>
      </c>
    </row>
    <row r="339" spans="1:6" x14ac:dyDescent="0.25">
      <c r="A339" s="45" t="s">
        <v>13</v>
      </c>
      <c r="B339" s="23" t="s">
        <v>404</v>
      </c>
      <c r="C339" s="22"/>
      <c r="D339" s="42"/>
      <c r="E339" s="49"/>
      <c r="F339" s="42">
        <f>SUM(F277)</f>
        <v>4855</v>
      </c>
    </row>
    <row r="340" spans="1:6" x14ac:dyDescent="0.25">
      <c r="A340" s="45" t="s">
        <v>14</v>
      </c>
      <c r="B340" s="23" t="s">
        <v>437</v>
      </c>
      <c r="C340" s="22"/>
      <c r="D340" s="42"/>
      <c r="E340" s="49"/>
      <c r="F340" s="42">
        <f>SUM(F297)</f>
        <v>9451.5</v>
      </c>
    </row>
    <row r="341" spans="1:6" x14ac:dyDescent="0.25">
      <c r="A341" s="45" t="s">
        <v>15</v>
      </c>
      <c r="B341" s="23" t="s">
        <v>462</v>
      </c>
      <c r="C341" s="22"/>
      <c r="D341" s="42"/>
      <c r="E341" s="49"/>
      <c r="F341" s="42">
        <f>SUM(F325)</f>
        <v>11494.25</v>
      </c>
    </row>
    <row r="342" spans="1:6" x14ac:dyDescent="0.25">
      <c r="A342" s="45" t="s">
        <v>16</v>
      </c>
      <c r="B342" s="23" t="s">
        <v>497</v>
      </c>
      <c r="C342" s="22"/>
      <c r="D342" s="42"/>
      <c r="E342" s="49"/>
      <c r="F342" s="42">
        <f>SUM(F330)</f>
        <v>1205</v>
      </c>
    </row>
    <row r="343" spans="1:6" x14ac:dyDescent="0.25">
      <c r="A343" s="45"/>
      <c r="B343" s="19"/>
      <c r="C343" s="22"/>
      <c r="D343" s="42"/>
      <c r="E343" s="49"/>
      <c r="F343" s="42"/>
    </row>
    <row r="344" spans="1:6" x14ac:dyDescent="0.25">
      <c r="A344" s="45"/>
      <c r="B344" s="35" t="s">
        <v>503</v>
      </c>
      <c r="C344" s="22"/>
      <c r="D344" s="42"/>
      <c r="E344" s="49"/>
      <c r="F344" s="42">
        <f>SUM(F336:F342)</f>
        <v>49265.4</v>
      </c>
    </row>
    <row r="345" spans="1:6" x14ac:dyDescent="0.25">
      <c r="D345" s="51"/>
    </row>
    <row r="346" spans="1:6" x14ac:dyDescent="0.25">
      <c r="D346" s="51"/>
    </row>
    <row r="348" spans="1:6" x14ac:dyDescent="0.25">
      <c r="A348" s="45" t="s">
        <v>81</v>
      </c>
      <c r="B348" s="19" t="s">
        <v>504</v>
      </c>
    </row>
    <row r="349" spans="1:6" x14ac:dyDescent="0.25">
      <c r="A349" s="45"/>
      <c r="B349" s="19"/>
    </row>
    <row r="350" spans="1:6" x14ac:dyDescent="0.25">
      <c r="A350" s="44" t="s">
        <v>6</v>
      </c>
      <c r="B350" s="19" t="s">
        <v>168</v>
      </c>
      <c r="C350" s="41"/>
      <c r="D350" s="42"/>
      <c r="E350" s="43"/>
      <c r="F350" s="42"/>
    </row>
    <row r="351" spans="1:6" ht="409.2" x14ac:dyDescent="0.25">
      <c r="A351" s="32" t="s">
        <v>21</v>
      </c>
      <c r="B351" s="1" t="s">
        <v>505</v>
      </c>
      <c r="D351" s="51"/>
    </row>
    <row r="352" spans="1:6" ht="369.6" x14ac:dyDescent="0.25">
      <c r="B352" s="1" t="s">
        <v>692</v>
      </c>
      <c r="C352" s="2" t="s">
        <v>8</v>
      </c>
      <c r="D352" s="51">
        <v>1</v>
      </c>
      <c r="E352" s="34">
        <v>6600</v>
      </c>
      <c r="F352" s="3">
        <f t="shared" ref="F352:F375" si="32">D352*$E352</f>
        <v>6600</v>
      </c>
    </row>
    <row r="353" spans="1:6" ht="92.4" x14ac:dyDescent="0.25">
      <c r="A353" s="32" t="s">
        <v>22</v>
      </c>
      <c r="B353" s="1" t="s">
        <v>507</v>
      </c>
      <c r="D353" s="51"/>
    </row>
    <row r="354" spans="1:6" ht="198" x14ac:dyDescent="0.25">
      <c r="B354" s="1" t="s">
        <v>572</v>
      </c>
      <c r="C354" s="2" t="s">
        <v>8</v>
      </c>
      <c r="D354" s="51">
        <v>3</v>
      </c>
      <c r="E354" s="34">
        <v>1600</v>
      </c>
      <c r="F354" s="3">
        <f t="shared" ref="F354:F357" si="33">D354*$E354</f>
        <v>4800</v>
      </c>
    </row>
    <row r="355" spans="1:6" ht="145.19999999999999" x14ac:dyDescent="0.25">
      <c r="A355" s="32" t="s">
        <v>23</v>
      </c>
      <c r="B355" s="1" t="s">
        <v>730</v>
      </c>
      <c r="C355" s="2" t="s">
        <v>8</v>
      </c>
      <c r="D355" s="51">
        <v>1</v>
      </c>
      <c r="E355" s="34">
        <v>450</v>
      </c>
      <c r="F355" s="3">
        <f t="shared" si="33"/>
        <v>450</v>
      </c>
    </row>
    <row r="356" spans="1:6" ht="145.19999999999999" x14ac:dyDescent="0.25">
      <c r="A356" s="32" t="s">
        <v>24</v>
      </c>
      <c r="B356" s="1" t="s">
        <v>510</v>
      </c>
      <c r="C356" s="2" t="s">
        <v>8</v>
      </c>
      <c r="D356" s="51">
        <v>3</v>
      </c>
      <c r="E356" s="34">
        <v>125</v>
      </c>
      <c r="F356" s="3">
        <f t="shared" si="33"/>
        <v>375</v>
      </c>
    </row>
    <row r="357" spans="1:6" ht="92.4" x14ac:dyDescent="0.25">
      <c r="A357" s="32" t="s">
        <v>25</v>
      </c>
      <c r="B357" s="1" t="s">
        <v>511</v>
      </c>
      <c r="C357" s="2" t="s">
        <v>8</v>
      </c>
      <c r="D357" s="51">
        <v>2</v>
      </c>
      <c r="E357" s="34">
        <v>110</v>
      </c>
      <c r="F357" s="3">
        <f t="shared" si="33"/>
        <v>220</v>
      </c>
    </row>
    <row r="358" spans="1:6" ht="66" x14ac:dyDescent="0.25">
      <c r="A358" s="32" t="s">
        <v>145</v>
      </c>
      <c r="B358" s="1" t="s">
        <v>512</v>
      </c>
      <c r="D358" s="51"/>
    </row>
    <row r="359" spans="1:6" x14ac:dyDescent="0.25">
      <c r="A359" s="32" t="s">
        <v>61</v>
      </c>
      <c r="B359" s="1" t="s">
        <v>513</v>
      </c>
      <c r="C359" s="2" t="s">
        <v>10</v>
      </c>
      <c r="D359" s="3">
        <v>35</v>
      </c>
      <c r="E359" s="34">
        <v>9</v>
      </c>
      <c r="F359" s="3">
        <f t="shared" ref="F359:F362" si="34">D359*$E359</f>
        <v>315</v>
      </c>
    </row>
    <row r="360" spans="1:6" x14ac:dyDescent="0.25">
      <c r="A360" s="32" t="s">
        <v>62</v>
      </c>
      <c r="B360" s="1" t="s">
        <v>514</v>
      </c>
      <c r="C360" s="2" t="s">
        <v>10</v>
      </c>
      <c r="D360" s="3">
        <v>14</v>
      </c>
      <c r="E360" s="34">
        <v>16</v>
      </c>
      <c r="F360" s="3">
        <f t="shared" si="34"/>
        <v>224</v>
      </c>
    </row>
    <row r="361" spans="1:6" x14ac:dyDescent="0.25">
      <c r="A361" s="32" t="s">
        <v>63</v>
      </c>
      <c r="B361" s="1" t="s">
        <v>573</v>
      </c>
      <c r="C361" s="2" t="s">
        <v>10</v>
      </c>
      <c r="D361" s="3">
        <v>8</v>
      </c>
      <c r="E361" s="34">
        <v>19</v>
      </c>
      <c r="F361" s="3">
        <f t="shared" si="34"/>
        <v>152</v>
      </c>
    </row>
    <row r="362" spans="1:6" x14ac:dyDescent="0.25">
      <c r="A362" s="32" t="s">
        <v>64</v>
      </c>
      <c r="B362" s="1" t="s">
        <v>515</v>
      </c>
      <c r="C362" s="2" t="s">
        <v>10</v>
      </c>
      <c r="D362" s="3">
        <v>13</v>
      </c>
      <c r="E362" s="34">
        <v>28</v>
      </c>
      <c r="F362" s="3">
        <f t="shared" si="34"/>
        <v>364</v>
      </c>
    </row>
    <row r="363" spans="1:6" ht="66" x14ac:dyDescent="0.25">
      <c r="A363" s="32" t="s">
        <v>146</v>
      </c>
      <c r="B363" s="1" t="s">
        <v>732</v>
      </c>
      <c r="D363" s="51"/>
    </row>
    <row r="364" spans="1:6" x14ac:dyDescent="0.25">
      <c r="A364" s="32" t="s">
        <v>61</v>
      </c>
      <c r="B364" s="1" t="s">
        <v>513</v>
      </c>
      <c r="C364" s="2" t="s">
        <v>10</v>
      </c>
      <c r="D364" s="3">
        <v>35</v>
      </c>
      <c r="E364" s="34">
        <v>1</v>
      </c>
      <c r="F364" s="3">
        <f t="shared" ref="F364:F367" si="35">D364*$E364</f>
        <v>35</v>
      </c>
    </row>
    <row r="365" spans="1:6" x14ac:dyDescent="0.25">
      <c r="A365" s="32" t="s">
        <v>62</v>
      </c>
      <c r="B365" s="1" t="s">
        <v>514</v>
      </c>
      <c r="C365" s="2" t="s">
        <v>10</v>
      </c>
      <c r="D365" s="3">
        <v>14</v>
      </c>
      <c r="E365" s="34">
        <v>1</v>
      </c>
      <c r="F365" s="3">
        <f t="shared" si="35"/>
        <v>14</v>
      </c>
    </row>
    <row r="366" spans="1:6" x14ac:dyDescent="0.25">
      <c r="A366" s="32" t="s">
        <v>63</v>
      </c>
      <c r="B366" s="1" t="s">
        <v>573</v>
      </c>
      <c r="C366" s="2" t="s">
        <v>10</v>
      </c>
      <c r="D366" s="3">
        <v>8</v>
      </c>
      <c r="E366" s="34">
        <v>2</v>
      </c>
      <c r="F366" s="3">
        <f t="shared" si="35"/>
        <v>16</v>
      </c>
    </row>
    <row r="367" spans="1:6" x14ac:dyDescent="0.25">
      <c r="A367" s="32" t="s">
        <v>64</v>
      </c>
      <c r="B367" s="1" t="s">
        <v>515</v>
      </c>
      <c r="C367" s="2" t="s">
        <v>10</v>
      </c>
      <c r="D367" s="3">
        <v>13</v>
      </c>
      <c r="E367" s="34">
        <v>5</v>
      </c>
      <c r="F367" s="3">
        <f t="shared" si="35"/>
        <v>65</v>
      </c>
    </row>
    <row r="368" spans="1:6" x14ac:dyDescent="0.25">
      <c r="A368" s="32" t="s">
        <v>147</v>
      </c>
      <c r="B368" s="1" t="s">
        <v>516</v>
      </c>
      <c r="C368" s="2" t="s">
        <v>104</v>
      </c>
      <c r="D368" s="3">
        <v>3</v>
      </c>
      <c r="E368" s="34">
        <v>55</v>
      </c>
      <c r="F368" s="3">
        <f t="shared" si="32"/>
        <v>165</v>
      </c>
    </row>
    <row r="369" spans="1:6" ht="79.2" x14ac:dyDescent="0.25">
      <c r="A369" s="32" t="s">
        <v>148</v>
      </c>
      <c r="B369" s="1" t="s">
        <v>517</v>
      </c>
      <c r="C369" s="2" t="s">
        <v>10</v>
      </c>
      <c r="D369" s="3">
        <v>35</v>
      </c>
      <c r="E369" s="34">
        <v>3.5</v>
      </c>
      <c r="F369" s="3">
        <f t="shared" si="32"/>
        <v>122.5</v>
      </c>
    </row>
    <row r="370" spans="1:6" ht="66" x14ac:dyDescent="0.25">
      <c r="A370" s="32" t="s">
        <v>149</v>
      </c>
      <c r="B370" s="1" t="s">
        <v>518</v>
      </c>
      <c r="C370" s="2" t="s">
        <v>46</v>
      </c>
      <c r="D370" s="51">
        <v>1</v>
      </c>
      <c r="E370" s="34">
        <v>650</v>
      </c>
      <c r="F370" s="3">
        <f t="shared" si="32"/>
        <v>650</v>
      </c>
    </row>
    <row r="371" spans="1:6" ht="26.4" x14ac:dyDescent="0.25">
      <c r="A371" s="32" t="s">
        <v>150</v>
      </c>
      <c r="B371" s="1" t="s">
        <v>519</v>
      </c>
      <c r="C371" s="2" t="s">
        <v>46</v>
      </c>
      <c r="D371" s="51">
        <v>1</v>
      </c>
      <c r="E371" s="34">
        <v>200</v>
      </c>
      <c r="F371" s="3">
        <f t="shared" si="32"/>
        <v>200</v>
      </c>
    </row>
    <row r="372" spans="1:6" ht="79.2" x14ac:dyDescent="0.25">
      <c r="A372" s="32" t="s">
        <v>151</v>
      </c>
      <c r="B372" s="1" t="s">
        <v>520</v>
      </c>
      <c r="C372" s="2" t="s">
        <v>104</v>
      </c>
      <c r="D372" s="3">
        <v>50</v>
      </c>
      <c r="E372" s="34">
        <v>11</v>
      </c>
      <c r="F372" s="3">
        <f t="shared" si="32"/>
        <v>550</v>
      </c>
    </row>
    <row r="373" spans="1:6" ht="118.8" x14ac:dyDescent="0.25">
      <c r="A373" s="32" t="s">
        <v>152</v>
      </c>
      <c r="B373" s="1" t="s">
        <v>521</v>
      </c>
      <c r="C373" s="2" t="s">
        <v>10</v>
      </c>
      <c r="D373" s="3">
        <v>105</v>
      </c>
      <c r="E373" s="34">
        <v>72</v>
      </c>
      <c r="F373" s="3">
        <f t="shared" si="32"/>
        <v>7560</v>
      </c>
    </row>
    <row r="374" spans="1:6" x14ac:dyDescent="0.25">
      <c r="A374" s="32" t="s">
        <v>153</v>
      </c>
      <c r="B374" s="1" t="s">
        <v>522</v>
      </c>
      <c r="C374" s="2" t="s">
        <v>46</v>
      </c>
      <c r="D374" s="51">
        <v>1</v>
      </c>
      <c r="E374" s="34">
        <v>550</v>
      </c>
      <c r="F374" s="3">
        <f t="shared" si="32"/>
        <v>550</v>
      </c>
    </row>
    <row r="375" spans="1:6" ht="26.4" x14ac:dyDescent="0.25">
      <c r="A375" s="32" t="s">
        <v>154</v>
      </c>
      <c r="B375" s="1" t="s">
        <v>523</v>
      </c>
      <c r="C375" s="2" t="s">
        <v>46</v>
      </c>
      <c r="D375" s="51">
        <v>1</v>
      </c>
      <c r="E375" s="34">
        <v>1000</v>
      </c>
      <c r="F375" s="3">
        <f t="shared" si="32"/>
        <v>1000</v>
      </c>
    </row>
    <row r="376" spans="1:6" x14ac:dyDescent="0.25">
      <c r="B376" s="44" t="s">
        <v>186</v>
      </c>
      <c r="C376" s="6"/>
      <c r="D376" s="6"/>
      <c r="E376" s="21"/>
      <c r="F376" s="42">
        <f>SUM(F352:F375)</f>
        <v>24427.5</v>
      </c>
    </row>
    <row r="377" spans="1:6" x14ac:dyDescent="0.25">
      <c r="B377" s="44"/>
      <c r="C377" s="6"/>
      <c r="D377" s="6"/>
      <c r="E377" s="21"/>
    </row>
    <row r="378" spans="1:6" x14ac:dyDescent="0.25">
      <c r="A378" s="45" t="s">
        <v>11</v>
      </c>
      <c r="B378" s="61" t="s">
        <v>348</v>
      </c>
      <c r="C378" s="41"/>
      <c r="D378" s="41"/>
      <c r="E378" s="62"/>
      <c r="F378" s="41"/>
    </row>
    <row r="379" spans="1:6" ht="66" x14ac:dyDescent="0.25">
      <c r="A379" s="32" t="s">
        <v>26</v>
      </c>
      <c r="B379" s="1" t="s">
        <v>349</v>
      </c>
      <c r="C379" s="2" t="s">
        <v>46</v>
      </c>
      <c r="D379" s="51">
        <v>1</v>
      </c>
      <c r="E379" s="34">
        <v>150</v>
      </c>
      <c r="F379" s="3">
        <f t="shared" ref="F379:F382" si="36">D379*$E379</f>
        <v>150</v>
      </c>
    </row>
    <row r="380" spans="1:6" ht="52.8" x14ac:dyDescent="0.25">
      <c r="A380" s="32" t="s">
        <v>27</v>
      </c>
      <c r="B380" s="1" t="s">
        <v>524</v>
      </c>
      <c r="C380" s="2" t="s">
        <v>46</v>
      </c>
      <c r="D380" s="51">
        <v>1</v>
      </c>
      <c r="E380" s="34">
        <v>250</v>
      </c>
      <c r="F380" s="3">
        <f t="shared" si="36"/>
        <v>250</v>
      </c>
    </row>
    <row r="381" spans="1:6" ht="52.8" x14ac:dyDescent="0.25">
      <c r="A381" s="32" t="s">
        <v>28</v>
      </c>
      <c r="B381" s="1" t="s">
        <v>525</v>
      </c>
      <c r="C381" s="2" t="s">
        <v>46</v>
      </c>
      <c r="D381" s="51">
        <v>1</v>
      </c>
      <c r="E381" s="34">
        <v>80</v>
      </c>
      <c r="F381" s="3">
        <f t="shared" si="36"/>
        <v>80</v>
      </c>
    </row>
    <row r="382" spans="1:6" ht="52.8" x14ac:dyDescent="0.25">
      <c r="A382" s="32" t="s">
        <v>29</v>
      </c>
      <c r="B382" s="1" t="s">
        <v>526</v>
      </c>
      <c r="C382" s="2" t="s">
        <v>46</v>
      </c>
      <c r="D382" s="51">
        <v>1</v>
      </c>
      <c r="E382" s="34">
        <v>90</v>
      </c>
      <c r="F382" s="3">
        <f t="shared" si="36"/>
        <v>90</v>
      </c>
    </row>
    <row r="383" spans="1:6" x14ac:dyDescent="0.25">
      <c r="B383" s="44" t="s">
        <v>527</v>
      </c>
      <c r="C383" s="6"/>
      <c r="D383" s="6"/>
      <c r="E383" s="21"/>
      <c r="F383" s="42">
        <f>SUM(F379:F382)</f>
        <v>570</v>
      </c>
    </row>
    <row r="384" spans="1:6" x14ac:dyDescent="0.25">
      <c r="B384" s="44"/>
      <c r="C384" s="6"/>
      <c r="D384" s="6"/>
      <c r="E384" s="21"/>
    </row>
    <row r="385" spans="1:6" x14ac:dyDescent="0.25">
      <c r="B385" s="44"/>
      <c r="C385" s="6"/>
      <c r="D385" s="6"/>
      <c r="E385" s="21"/>
    </row>
    <row r="386" spans="1:6" x14ac:dyDescent="0.25">
      <c r="B386" s="44"/>
      <c r="C386" s="6"/>
      <c r="D386" s="6"/>
      <c r="E386" s="21"/>
    </row>
    <row r="387" spans="1:6" x14ac:dyDescent="0.25">
      <c r="A387" s="45" t="s">
        <v>81</v>
      </c>
      <c r="B387" s="23" t="s">
        <v>528</v>
      </c>
    </row>
    <row r="389" spans="1:6" x14ac:dyDescent="0.25">
      <c r="A389" s="45" t="s">
        <v>6</v>
      </c>
      <c r="B389" s="19" t="s">
        <v>168</v>
      </c>
      <c r="C389" s="22"/>
      <c r="D389" s="42"/>
      <c r="E389" s="49"/>
      <c r="F389" s="42">
        <f>SUM(F376)</f>
        <v>24427.5</v>
      </c>
    </row>
    <row r="390" spans="1:6" x14ac:dyDescent="0.25">
      <c r="A390" s="45" t="s">
        <v>11</v>
      </c>
      <c r="B390" s="70" t="s">
        <v>348</v>
      </c>
      <c r="C390" s="22"/>
      <c r="D390" s="42"/>
      <c r="E390" s="47"/>
      <c r="F390" s="42">
        <f>SUM(F383)</f>
        <v>570</v>
      </c>
    </row>
    <row r="391" spans="1:6" x14ac:dyDescent="0.25">
      <c r="A391" s="45"/>
      <c r="B391" s="19"/>
      <c r="C391" s="22"/>
      <c r="D391" s="42"/>
      <c r="E391" s="47"/>
      <c r="F391" s="42"/>
    </row>
    <row r="392" spans="1:6" x14ac:dyDescent="0.25">
      <c r="A392" s="45"/>
      <c r="B392" s="35" t="s">
        <v>529</v>
      </c>
      <c r="C392" s="22"/>
      <c r="D392" s="42"/>
      <c r="E392" s="49"/>
      <c r="F392" s="42">
        <f>SUM(F389:F390)</f>
        <v>24997.5</v>
      </c>
    </row>
    <row r="397" spans="1:6" x14ac:dyDescent="0.25">
      <c r="A397" s="45"/>
      <c r="B397" s="23" t="s">
        <v>584</v>
      </c>
    </row>
    <row r="399" spans="1:6" x14ac:dyDescent="0.25">
      <c r="A399" s="45" t="s">
        <v>20</v>
      </c>
      <c r="B399" s="19" t="s">
        <v>187</v>
      </c>
      <c r="C399" s="22"/>
      <c r="D399" s="42"/>
      <c r="E399" s="49"/>
      <c r="F399" s="42">
        <f>SUM(F175)</f>
        <v>384274.5</v>
      </c>
    </row>
    <row r="400" spans="1:6" x14ac:dyDescent="0.25">
      <c r="A400" s="45" t="s">
        <v>45</v>
      </c>
      <c r="B400" s="23" t="s">
        <v>296</v>
      </c>
      <c r="C400" s="22"/>
      <c r="D400" s="42"/>
      <c r="E400" s="49"/>
      <c r="F400" s="42">
        <f>SUM(F224)</f>
        <v>12179</v>
      </c>
    </row>
    <row r="401" spans="1:6" x14ac:dyDescent="0.25">
      <c r="A401" s="45" t="s">
        <v>80</v>
      </c>
      <c r="B401" s="19" t="s">
        <v>501</v>
      </c>
      <c r="C401" s="22"/>
      <c r="D401" s="42"/>
      <c r="E401" s="49"/>
      <c r="F401" s="42">
        <f>SUM(F344)</f>
        <v>49265.4</v>
      </c>
    </row>
    <row r="402" spans="1:6" x14ac:dyDescent="0.25">
      <c r="A402" s="45" t="s">
        <v>81</v>
      </c>
      <c r="B402" s="19" t="s">
        <v>504</v>
      </c>
      <c r="C402" s="22"/>
      <c r="D402" s="42"/>
      <c r="E402" s="49"/>
      <c r="F402" s="42">
        <f>SUM(F392)</f>
        <v>24997.5</v>
      </c>
    </row>
    <row r="403" spans="1:6" x14ac:dyDescent="0.25">
      <c r="A403" s="45"/>
      <c r="B403" s="19"/>
      <c r="C403" s="22"/>
      <c r="D403" s="42"/>
      <c r="E403" s="49"/>
      <c r="F403" s="42"/>
    </row>
    <row r="404" spans="1:6" x14ac:dyDescent="0.25">
      <c r="A404" s="45"/>
      <c r="B404" s="44" t="s">
        <v>684</v>
      </c>
      <c r="C404" s="22"/>
      <c r="D404" s="42"/>
      <c r="E404" s="49"/>
      <c r="F404" s="42">
        <f>SUM(F399:F402)</f>
        <v>470716.4</v>
      </c>
    </row>
  </sheetData>
  <sheetProtection algorithmName="SHA-512" hashValue="HGARfvPJVGgdGzqcU0oY+HxFeNlrLVxr6CsaFedBn7NkgGZpHDddAA9QUsxh5X+UGMHoqxuiqUPo3pEGtnHpbQ==" saltValue="cbi/kJ+lSad930dOybTArA==" spinCount="100000" sheet="1" selectLockedCells="1"/>
  <printOptions horizontalCentered="1" gridLines="1"/>
  <pageMargins left="0.70866141732283472" right="0.70866141732283472" top="0.74803149606299213" bottom="0.74803149606299213" header="0.31496062992125984" footer="0.31496062992125984"/>
  <pageSetup paperSize="9" scale="90" orientation="portrait" r:id="rId1"/>
  <headerFooter>
    <oddHeader>&amp;L&amp;"Arial,Uobičajeno"&amp;10Ministarstvo unutarnjih poslova RH&amp;R&amp;"Arial,Uobičajeno"&amp;10Logistički centar civilne zaštite u Jastrebarskom</oddHeader>
    <oddFooter>&amp;L&amp;"Arial,Uobičajeno"&amp;10Troškovnik radova na uređenju skladišta br. 2&amp;R&amp;"Arial,Uobičajeno"&amp;10 stranica &amp;P od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95"/>
  <sheetViews>
    <sheetView showZeros="0" zoomScaleNormal="100" workbookViewId="0">
      <selection activeCell="E7" sqref="E7"/>
    </sheetView>
  </sheetViews>
  <sheetFormatPr defaultRowHeight="13.2" x14ac:dyDescent="0.25"/>
  <cols>
    <col min="1" max="1" width="6.109375" style="32" customWidth="1"/>
    <col min="2" max="2" width="50.6640625" style="1" customWidth="1"/>
    <col min="3" max="3" width="5.6640625" style="2" customWidth="1"/>
    <col min="4" max="4" width="9.6640625" style="3" customWidth="1"/>
    <col min="5" max="5" width="10.88671875" style="34" customWidth="1"/>
    <col min="6" max="6" width="13.6640625" style="3" customWidth="1"/>
    <col min="7" max="213" width="9.109375" style="6"/>
    <col min="214" max="214" width="7.44140625" style="6" customWidth="1"/>
    <col min="215" max="215" width="51.88671875" style="6" customWidth="1"/>
    <col min="216" max="216" width="7.44140625" style="6" customWidth="1"/>
    <col min="217" max="217" width="11.33203125" style="6" customWidth="1"/>
    <col min="218" max="218" width="12.5546875" style="6" customWidth="1"/>
    <col min="219" max="219" width="16.44140625" style="6" customWidth="1"/>
    <col min="220" max="469" width="9.109375" style="6"/>
    <col min="470" max="470" width="7.44140625" style="6" customWidth="1"/>
    <col min="471" max="471" width="51.88671875" style="6" customWidth="1"/>
    <col min="472" max="472" width="7.44140625" style="6" customWidth="1"/>
    <col min="473" max="473" width="11.33203125" style="6" customWidth="1"/>
    <col min="474" max="474" width="12.5546875" style="6" customWidth="1"/>
    <col min="475" max="475" width="16.44140625" style="6" customWidth="1"/>
    <col min="476" max="725" width="9.109375" style="6"/>
    <col min="726" max="726" width="7.44140625" style="6" customWidth="1"/>
    <col min="727" max="727" width="51.88671875" style="6" customWidth="1"/>
    <col min="728" max="728" width="7.44140625" style="6" customWidth="1"/>
    <col min="729" max="729" width="11.33203125" style="6" customWidth="1"/>
    <col min="730" max="730" width="12.5546875" style="6" customWidth="1"/>
    <col min="731" max="731" width="16.44140625" style="6" customWidth="1"/>
    <col min="732" max="981" width="9.109375" style="6"/>
    <col min="982" max="982" width="7.44140625" style="6" customWidth="1"/>
    <col min="983" max="983" width="51.88671875" style="6" customWidth="1"/>
    <col min="984" max="984" width="7.44140625" style="6" customWidth="1"/>
    <col min="985" max="985" width="11.33203125" style="6" customWidth="1"/>
    <col min="986" max="986" width="12.5546875" style="6" customWidth="1"/>
    <col min="987" max="987" width="16.44140625" style="6" customWidth="1"/>
    <col min="988" max="1237" width="9.109375" style="6"/>
    <col min="1238" max="1238" width="7.44140625" style="6" customWidth="1"/>
    <col min="1239" max="1239" width="51.88671875" style="6" customWidth="1"/>
    <col min="1240" max="1240" width="7.44140625" style="6" customWidth="1"/>
    <col min="1241" max="1241" width="11.33203125" style="6" customWidth="1"/>
    <col min="1242" max="1242" width="12.5546875" style="6" customWidth="1"/>
    <col min="1243" max="1243" width="16.44140625" style="6" customWidth="1"/>
    <col min="1244" max="1493" width="9.109375" style="6"/>
    <col min="1494" max="1494" width="7.44140625" style="6" customWidth="1"/>
    <col min="1495" max="1495" width="51.88671875" style="6" customWidth="1"/>
    <col min="1496" max="1496" width="7.44140625" style="6" customWidth="1"/>
    <col min="1497" max="1497" width="11.33203125" style="6" customWidth="1"/>
    <col min="1498" max="1498" width="12.5546875" style="6" customWidth="1"/>
    <col min="1499" max="1499" width="16.44140625" style="6" customWidth="1"/>
    <col min="1500" max="1749" width="9.109375" style="6"/>
    <col min="1750" max="1750" width="7.44140625" style="6" customWidth="1"/>
    <col min="1751" max="1751" width="51.88671875" style="6" customWidth="1"/>
    <col min="1752" max="1752" width="7.44140625" style="6" customWidth="1"/>
    <col min="1753" max="1753" width="11.33203125" style="6" customWidth="1"/>
    <col min="1754" max="1754" width="12.5546875" style="6" customWidth="1"/>
    <col min="1755" max="1755" width="16.44140625" style="6" customWidth="1"/>
    <col min="1756" max="2005" width="9.109375" style="6"/>
    <col min="2006" max="2006" width="7.44140625" style="6" customWidth="1"/>
    <col min="2007" max="2007" width="51.88671875" style="6" customWidth="1"/>
    <col min="2008" max="2008" width="7.44140625" style="6" customWidth="1"/>
    <col min="2009" max="2009" width="11.33203125" style="6" customWidth="1"/>
    <col min="2010" max="2010" width="12.5546875" style="6" customWidth="1"/>
    <col min="2011" max="2011" width="16.44140625" style="6" customWidth="1"/>
    <col min="2012" max="2261" width="9.109375" style="6"/>
    <col min="2262" max="2262" width="7.44140625" style="6" customWidth="1"/>
    <col min="2263" max="2263" width="51.88671875" style="6" customWidth="1"/>
    <col min="2264" max="2264" width="7.44140625" style="6" customWidth="1"/>
    <col min="2265" max="2265" width="11.33203125" style="6" customWidth="1"/>
    <col min="2266" max="2266" width="12.5546875" style="6" customWidth="1"/>
    <col min="2267" max="2267" width="16.44140625" style="6" customWidth="1"/>
    <col min="2268" max="2517" width="9.109375" style="6"/>
    <col min="2518" max="2518" width="7.44140625" style="6" customWidth="1"/>
    <col min="2519" max="2519" width="51.88671875" style="6" customWidth="1"/>
    <col min="2520" max="2520" width="7.44140625" style="6" customWidth="1"/>
    <col min="2521" max="2521" width="11.33203125" style="6" customWidth="1"/>
    <col min="2522" max="2522" width="12.5546875" style="6" customWidth="1"/>
    <col min="2523" max="2523" width="16.44140625" style="6" customWidth="1"/>
    <col min="2524" max="2773" width="9.109375" style="6"/>
    <col min="2774" max="2774" width="7.44140625" style="6" customWidth="1"/>
    <col min="2775" max="2775" width="51.88671875" style="6" customWidth="1"/>
    <col min="2776" max="2776" width="7.44140625" style="6" customWidth="1"/>
    <col min="2777" max="2777" width="11.33203125" style="6" customWidth="1"/>
    <col min="2778" max="2778" width="12.5546875" style="6" customWidth="1"/>
    <col min="2779" max="2779" width="16.44140625" style="6" customWidth="1"/>
    <col min="2780" max="3029" width="9.109375" style="6"/>
    <col min="3030" max="3030" width="7.44140625" style="6" customWidth="1"/>
    <col min="3031" max="3031" width="51.88671875" style="6" customWidth="1"/>
    <col min="3032" max="3032" width="7.44140625" style="6" customWidth="1"/>
    <col min="3033" max="3033" width="11.33203125" style="6" customWidth="1"/>
    <col min="3034" max="3034" width="12.5546875" style="6" customWidth="1"/>
    <col min="3035" max="3035" width="16.44140625" style="6" customWidth="1"/>
    <col min="3036" max="3285" width="9.109375" style="6"/>
    <col min="3286" max="3286" width="7.44140625" style="6" customWidth="1"/>
    <col min="3287" max="3287" width="51.88671875" style="6" customWidth="1"/>
    <col min="3288" max="3288" width="7.44140625" style="6" customWidth="1"/>
    <col min="3289" max="3289" width="11.33203125" style="6" customWidth="1"/>
    <col min="3290" max="3290" width="12.5546875" style="6" customWidth="1"/>
    <col min="3291" max="3291" width="16.44140625" style="6" customWidth="1"/>
    <col min="3292" max="3541" width="9.109375" style="6"/>
    <col min="3542" max="3542" width="7.44140625" style="6" customWidth="1"/>
    <col min="3543" max="3543" width="51.88671875" style="6" customWidth="1"/>
    <col min="3544" max="3544" width="7.44140625" style="6" customWidth="1"/>
    <col min="3545" max="3545" width="11.33203125" style="6" customWidth="1"/>
    <col min="3546" max="3546" width="12.5546875" style="6" customWidth="1"/>
    <col min="3547" max="3547" width="16.44140625" style="6" customWidth="1"/>
    <col min="3548" max="3797" width="9.109375" style="6"/>
    <col min="3798" max="3798" width="7.44140625" style="6" customWidth="1"/>
    <col min="3799" max="3799" width="51.88671875" style="6" customWidth="1"/>
    <col min="3800" max="3800" width="7.44140625" style="6" customWidth="1"/>
    <col min="3801" max="3801" width="11.33203125" style="6" customWidth="1"/>
    <col min="3802" max="3802" width="12.5546875" style="6" customWidth="1"/>
    <col min="3803" max="3803" width="16.44140625" style="6" customWidth="1"/>
    <col min="3804" max="4053" width="9.109375" style="6"/>
    <col min="4054" max="4054" width="7.44140625" style="6" customWidth="1"/>
    <col min="4055" max="4055" width="51.88671875" style="6" customWidth="1"/>
    <col min="4056" max="4056" width="7.44140625" style="6" customWidth="1"/>
    <col min="4057" max="4057" width="11.33203125" style="6" customWidth="1"/>
    <col min="4058" max="4058" width="12.5546875" style="6" customWidth="1"/>
    <col min="4059" max="4059" width="16.44140625" style="6" customWidth="1"/>
    <col min="4060" max="4309" width="9.109375" style="6"/>
    <col min="4310" max="4310" width="7.44140625" style="6" customWidth="1"/>
    <col min="4311" max="4311" width="51.88671875" style="6" customWidth="1"/>
    <col min="4312" max="4312" width="7.44140625" style="6" customWidth="1"/>
    <col min="4313" max="4313" width="11.33203125" style="6" customWidth="1"/>
    <col min="4314" max="4314" width="12.5546875" style="6" customWidth="1"/>
    <col min="4315" max="4315" width="16.44140625" style="6" customWidth="1"/>
    <col min="4316" max="4565" width="9.109375" style="6"/>
    <col min="4566" max="4566" width="7.44140625" style="6" customWidth="1"/>
    <col min="4567" max="4567" width="51.88671875" style="6" customWidth="1"/>
    <col min="4568" max="4568" width="7.44140625" style="6" customWidth="1"/>
    <col min="4569" max="4569" width="11.33203125" style="6" customWidth="1"/>
    <col min="4570" max="4570" width="12.5546875" style="6" customWidth="1"/>
    <col min="4571" max="4571" width="16.44140625" style="6" customWidth="1"/>
    <col min="4572" max="4821" width="9.109375" style="6"/>
    <col min="4822" max="4822" width="7.44140625" style="6" customWidth="1"/>
    <col min="4823" max="4823" width="51.88671875" style="6" customWidth="1"/>
    <col min="4824" max="4824" width="7.44140625" style="6" customWidth="1"/>
    <col min="4825" max="4825" width="11.33203125" style="6" customWidth="1"/>
    <col min="4826" max="4826" width="12.5546875" style="6" customWidth="1"/>
    <col min="4827" max="4827" width="16.44140625" style="6" customWidth="1"/>
    <col min="4828" max="5077" width="9.109375" style="6"/>
    <col min="5078" max="5078" width="7.44140625" style="6" customWidth="1"/>
    <col min="5079" max="5079" width="51.88671875" style="6" customWidth="1"/>
    <col min="5080" max="5080" width="7.44140625" style="6" customWidth="1"/>
    <col min="5081" max="5081" width="11.33203125" style="6" customWidth="1"/>
    <col min="5082" max="5082" width="12.5546875" style="6" customWidth="1"/>
    <col min="5083" max="5083" width="16.44140625" style="6" customWidth="1"/>
    <col min="5084" max="5333" width="9.109375" style="6"/>
    <col min="5334" max="5334" width="7.44140625" style="6" customWidth="1"/>
    <col min="5335" max="5335" width="51.88671875" style="6" customWidth="1"/>
    <col min="5336" max="5336" width="7.44140625" style="6" customWidth="1"/>
    <col min="5337" max="5337" width="11.33203125" style="6" customWidth="1"/>
    <col min="5338" max="5338" width="12.5546875" style="6" customWidth="1"/>
    <col min="5339" max="5339" width="16.44140625" style="6" customWidth="1"/>
    <col min="5340" max="5589" width="9.109375" style="6"/>
    <col min="5590" max="5590" width="7.44140625" style="6" customWidth="1"/>
    <col min="5591" max="5591" width="51.88671875" style="6" customWidth="1"/>
    <col min="5592" max="5592" width="7.44140625" style="6" customWidth="1"/>
    <col min="5593" max="5593" width="11.33203125" style="6" customWidth="1"/>
    <col min="5594" max="5594" width="12.5546875" style="6" customWidth="1"/>
    <col min="5595" max="5595" width="16.44140625" style="6" customWidth="1"/>
    <col min="5596" max="5845" width="9.109375" style="6"/>
    <col min="5846" max="5846" width="7.44140625" style="6" customWidth="1"/>
    <col min="5847" max="5847" width="51.88671875" style="6" customWidth="1"/>
    <col min="5848" max="5848" width="7.44140625" style="6" customWidth="1"/>
    <col min="5849" max="5849" width="11.33203125" style="6" customWidth="1"/>
    <col min="5850" max="5850" width="12.5546875" style="6" customWidth="1"/>
    <col min="5851" max="5851" width="16.44140625" style="6" customWidth="1"/>
    <col min="5852" max="6101" width="9.109375" style="6"/>
    <col min="6102" max="6102" width="7.44140625" style="6" customWidth="1"/>
    <col min="6103" max="6103" width="51.88671875" style="6" customWidth="1"/>
    <col min="6104" max="6104" width="7.44140625" style="6" customWidth="1"/>
    <col min="6105" max="6105" width="11.33203125" style="6" customWidth="1"/>
    <col min="6106" max="6106" width="12.5546875" style="6" customWidth="1"/>
    <col min="6107" max="6107" width="16.44140625" style="6" customWidth="1"/>
    <col min="6108" max="6357" width="9.109375" style="6"/>
    <col min="6358" max="6358" width="7.44140625" style="6" customWidth="1"/>
    <col min="6359" max="6359" width="51.88671875" style="6" customWidth="1"/>
    <col min="6360" max="6360" width="7.44140625" style="6" customWidth="1"/>
    <col min="6361" max="6361" width="11.33203125" style="6" customWidth="1"/>
    <col min="6362" max="6362" width="12.5546875" style="6" customWidth="1"/>
    <col min="6363" max="6363" width="16.44140625" style="6" customWidth="1"/>
    <col min="6364" max="6613" width="9.109375" style="6"/>
    <col min="6614" max="6614" width="7.44140625" style="6" customWidth="1"/>
    <col min="6615" max="6615" width="51.88671875" style="6" customWidth="1"/>
    <col min="6616" max="6616" width="7.44140625" style="6" customWidth="1"/>
    <col min="6617" max="6617" width="11.33203125" style="6" customWidth="1"/>
    <col min="6618" max="6618" width="12.5546875" style="6" customWidth="1"/>
    <col min="6619" max="6619" width="16.44140625" style="6" customWidth="1"/>
    <col min="6620" max="6869" width="9.109375" style="6"/>
    <col min="6870" max="6870" width="7.44140625" style="6" customWidth="1"/>
    <col min="6871" max="6871" width="51.88671875" style="6" customWidth="1"/>
    <col min="6872" max="6872" width="7.44140625" style="6" customWidth="1"/>
    <col min="6873" max="6873" width="11.33203125" style="6" customWidth="1"/>
    <col min="6874" max="6874" width="12.5546875" style="6" customWidth="1"/>
    <col min="6875" max="6875" width="16.44140625" style="6" customWidth="1"/>
    <col min="6876" max="7125" width="9.109375" style="6"/>
    <col min="7126" max="7126" width="7.44140625" style="6" customWidth="1"/>
    <col min="7127" max="7127" width="51.88671875" style="6" customWidth="1"/>
    <col min="7128" max="7128" width="7.44140625" style="6" customWidth="1"/>
    <col min="7129" max="7129" width="11.33203125" style="6" customWidth="1"/>
    <col min="7130" max="7130" width="12.5546875" style="6" customWidth="1"/>
    <col min="7131" max="7131" width="16.44140625" style="6" customWidth="1"/>
    <col min="7132" max="7381" width="9.109375" style="6"/>
    <col min="7382" max="7382" width="7.44140625" style="6" customWidth="1"/>
    <col min="7383" max="7383" width="51.88671875" style="6" customWidth="1"/>
    <col min="7384" max="7384" width="7.44140625" style="6" customWidth="1"/>
    <col min="7385" max="7385" width="11.33203125" style="6" customWidth="1"/>
    <col min="7386" max="7386" width="12.5546875" style="6" customWidth="1"/>
    <col min="7387" max="7387" width="16.44140625" style="6" customWidth="1"/>
    <col min="7388" max="7637" width="9.109375" style="6"/>
    <col min="7638" max="7638" width="7.44140625" style="6" customWidth="1"/>
    <col min="7639" max="7639" width="51.88671875" style="6" customWidth="1"/>
    <col min="7640" max="7640" width="7.44140625" style="6" customWidth="1"/>
    <col min="7641" max="7641" width="11.33203125" style="6" customWidth="1"/>
    <col min="7642" max="7642" width="12.5546875" style="6" customWidth="1"/>
    <col min="7643" max="7643" width="16.44140625" style="6" customWidth="1"/>
    <col min="7644" max="7893" width="9.109375" style="6"/>
    <col min="7894" max="7894" width="7.44140625" style="6" customWidth="1"/>
    <col min="7895" max="7895" width="51.88671875" style="6" customWidth="1"/>
    <col min="7896" max="7896" width="7.44140625" style="6" customWidth="1"/>
    <col min="7897" max="7897" width="11.33203125" style="6" customWidth="1"/>
    <col min="7898" max="7898" width="12.5546875" style="6" customWidth="1"/>
    <col min="7899" max="7899" width="16.44140625" style="6" customWidth="1"/>
    <col min="7900" max="8149" width="9.109375" style="6"/>
    <col min="8150" max="8150" width="7.44140625" style="6" customWidth="1"/>
    <col min="8151" max="8151" width="51.88671875" style="6" customWidth="1"/>
    <col min="8152" max="8152" width="7.44140625" style="6" customWidth="1"/>
    <col min="8153" max="8153" width="11.33203125" style="6" customWidth="1"/>
    <col min="8154" max="8154" width="12.5546875" style="6" customWidth="1"/>
    <col min="8155" max="8155" width="16.44140625" style="6" customWidth="1"/>
    <col min="8156" max="8405" width="9.109375" style="6"/>
    <col min="8406" max="8406" width="7.44140625" style="6" customWidth="1"/>
    <col min="8407" max="8407" width="51.88671875" style="6" customWidth="1"/>
    <col min="8408" max="8408" width="7.44140625" style="6" customWidth="1"/>
    <col min="8409" max="8409" width="11.33203125" style="6" customWidth="1"/>
    <col min="8410" max="8410" width="12.5546875" style="6" customWidth="1"/>
    <col min="8411" max="8411" width="16.44140625" style="6" customWidth="1"/>
    <col min="8412" max="8661" width="9.109375" style="6"/>
    <col min="8662" max="8662" width="7.44140625" style="6" customWidth="1"/>
    <col min="8663" max="8663" width="51.88671875" style="6" customWidth="1"/>
    <col min="8664" max="8664" width="7.44140625" style="6" customWidth="1"/>
    <col min="8665" max="8665" width="11.33203125" style="6" customWidth="1"/>
    <col min="8666" max="8666" width="12.5546875" style="6" customWidth="1"/>
    <col min="8667" max="8667" width="16.44140625" style="6" customWidth="1"/>
    <col min="8668" max="8917" width="9.109375" style="6"/>
    <col min="8918" max="8918" width="7.44140625" style="6" customWidth="1"/>
    <col min="8919" max="8919" width="51.88671875" style="6" customWidth="1"/>
    <col min="8920" max="8920" width="7.44140625" style="6" customWidth="1"/>
    <col min="8921" max="8921" width="11.33203125" style="6" customWidth="1"/>
    <col min="8922" max="8922" width="12.5546875" style="6" customWidth="1"/>
    <col min="8923" max="8923" width="16.44140625" style="6" customWidth="1"/>
    <col min="8924" max="9173" width="9.109375" style="6"/>
    <col min="9174" max="9174" width="7.44140625" style="6" customWidth="1"/>
    <col min="9175" max="9175" width="51.88671875" style="6" customWidth="1"/>
    <col min="9176" max="9176" width="7.44140625" style="6" customWidth="1"/>
    <col min="9177" max="9177" width="11.33203125" style="6" customWidth="1"/>
    <col min="9178" max="9178" width="12.5546875" style="6" customWidth="1"/>
    <col min="9179" max="9179" width="16.44140625" style="6" customWidth="1"/>
    <col min="9180" max="9429" width="9.109375" style="6"/>
    <col min="9430" max="9430" width="7.44140625" style="6" customWidth="1"/>
    <col min="9431" max="9431" width="51.88671875" style="6" customWidth="1"/>
    <col min="9432" max="9432" width="7.44140625" style="6" customWidth="1"/>
    <col min="9433" max="9433" width="11.33203125" style="6" customWidth="1"/>
    <col min="9434" max="9434" width="12.5546875" style="6" customWidth="1"/>
    <col min="9435" max="9435" width="16.44140625" style="6" customWidth="1"/>
    <col min="9436" max="9685" width="9.109375" style="6"/>
    <col min="9686" max="9686" width="7.44140625" style="6" customWidth="1"/>
    <col min="9687" max="9687" width="51.88671875" style="6" customWidth="1"/>
    <col min="9688" max="9688" width="7.44140625" style="6" customWidth="1"/>
    <col min="9689" max="9689" width="11.33203125" style="6" customWidth="1"/>
    <col min="9690" max="9690" width="12.5546875" style="6" customWidth="1"/>
    <col min="9691" max="9691" width="16.44140625" style="6" customWidth="1"/>
    <col min="9692" max="9941" width="9.109375" style="6"/>
    <col min="9942" max="9942" width="7.44140625" style="6" customWidth="1"/>
    <col min="9943" max="9943" width="51.88671875" style="6" customWidth="1"/>
    <col min="9944" max="9944" width="7.44140625" style="6" customWidth="1"/>
    <col min="9945" max="9945" width="11.33203125" style="6" customWidth="1"/>
    <col min="9946" max="9946" width="12.5546875" style="6" customWidth="1"/>
    <col min="9947" max="9947" width="16.44140625" style="6" customWidth="1"/>
    <col min="9948" max="10197" width="9.109375" style="6"/>
    <col min="10198" max="10198" width="7.44140625" style="6" customWidth="1"/>
    <col min="10199" max="10199" width="51.88671875" style="6" customWidth="1"/>
    <col min="10200" max="10200" width="7.44140625" style="6" customWidth="1"/>
    <col min="10201" max="10201" width="11.33203125" style="6" customWidth="1"/>
    <col min="10202" max="10202" width="12.5546875" style="6" customWidth="1"/>
    <col min="10203" max="10203" width="16.44140625" style="6" customWidth="1"/>
    <col min="10204" max="10453" width="9.109375" style="6"/>
    <col min="10454" max="10454" width="7.44140625" style="6" customWidth="1"/>
    <col min="10455" max="10455" width="51.88671875" style="6" customWidth="1"/>
    <col min="10456" max="10456" width="7.44140625" style="6" customWidth="1"/>
    <col min="10457" max="10457" width="11.33203125" style="6" customWidth="1"/>
    <col min="10458" max="10458" width="12.5546875" style="6" customWidth="1"/>
    <col min="10459" max="10459" width="16.44140625" style="6" customWidth="1"/>
    <col min="10460" max="10709" width="9.109375" style="6"/>
    <col min="10710" max="10710" width="7.44140625" style="6" customWidth="1"/>
    <col min="10711" max="10711" width="51.88671875" style="6" customWidth="1"/>
    <col min="10712" max="10712" width="7.44140625" style="6" customWidth="1"/>
    <col min="10713" max="10713" width="11.33203125" style="6" customWidth="1"/>
    <col min="10714" max="10714" width="12.5546875" style="6" customWidth="1"/>
    <col min="10715" max="10715" width="16.44140625" style="6" customWidth="1"/>
    <col min="10716" max="10965" width="9.109375" style="6"/>
    <col min="10966" max="10966" width="7.44140625" style="6" customWidth="1"/>
    <col min="10967" max="10967" width="51.88671875" style="6" customWidth="1"/>
    <col min="10968" max="10968" width="7.44140625" style="6" customWidth="1"/>
    <col min="10969" max="10969" width="11.33203125" style="6" customWidth="1"/>
    <col min="10970" max="10970" width="12.5546875" style="6" customWidth="1"/>
    <col min="10971" max="10971" width="16.44140625" style="6" customWidth="1"/>
    <col min="10972" max="11221" width="9.109375" style="6"/>
    <col min="11222" max="11222" width="7.44140625" style="6" customWidth="1"/>
    <col min="11223" max="11223" width="51.88671875" style="6" customWidth="1"/>
    <col min="11224" max="11224" width="7.44140625" style="6" customWidth="1"/>
    <col min="11225" max="11225" width="11.33203125" style="6" customWidth="1"/>
    <col min="11226" max="11226" width="12.5546875" style="6" customWidth="1"/>
    <col min="11227" max="11227" width="16.44140625" style="6" customWidth="1"/>
    <col min="11228" max="11477" width="9.109375" style="6"/>
    <col min="11478" max="11478" width="7.44140625" style="6" customWidth="1"/>
    <col min="11479" max="11479" width="51.88671875" style="6" customWidth="1"/>
    <col min="11480" max="11480" width="7.44140625" style="6" customWidth="1"/>
    <col min="11481" max="11481" width="11.33203125" style="6" customWidth="1"/>
    <col min="11482" max="11482" width="12.5546875" style="6" customWidth="1"/>
    <col min="11483" max="11483" width="16.44140625" style="6" customWidth="1"/>
    <col min="11484" max="11733" width="9.109375" style="6"/>
    <col min="11734" max="11734" width="7.44140625" style="6" customWidth="1"/>
    <col min="11735" max="11735" width="51.88671875" style="6" customWidth="1"/>
    <col min="11736" max="11736" width="7.44140625" style="6" customWidth="1"/>
    <col min="11737" max="11737" width="11.33203125" style="6" customWidth="1"/>
    <col min="11738" max="11738" width="12.5546875" style="6" customWidth="1"/>
    <col min="11739" max="11739" width="16.44140625" style="6" customWidth="1"/>
    <col min="11740" max="11989" width="9.109375" style="6"/>
    <col min="11990" max="11990" width="7.44140625" style="6" customWidth="1"/>
    <col min="11991" max="11991" width="51.88671875" style="6" customWidth="1"/>
    <col min="11992" max="11992" width="7.44140625" style="6" customWidth="1"/>
    <col min="11993" max="11993" width="11.33203125" style="6" customWidth="1"/>
    <col min="11994" max="11994" width="12.5546875" style="6" customWidth="1"/>
    <col min="11995" max="11995" width="16.44140625" style="6" customWidth="1"/>
    <col min="11996" max="12245" width="9.109375" style="6"/>
    <col min="12246" max="12246" width="7.44140625" style="6" customWidth="1"/>
    <col min="12247" max="12247" width="51.88671875" style="6" customWidth="1"/>
    <col min="12248" max="12248" width="7.44140625" style="6" customWidth="1"/>
    <col min="12249" max="12249" width="11.33203125" style="6" customWidth="1"/>
    <col min="12250" max="12250" width="12.5546875" style="6" customWidth="1"/>
    <col min="12251" max="12251" width="16.44140625" style="6" customWidth="1"/>
    <col min="12252" max="12501" width="9.109375" style="6"/>
    <col min="12502" max="12502" width="7.44140625" style="6" customWidth="1"/>
    <col min="12503" max="12503" width="51.88671875" style="6" customWidth="1"/>
    <col min="12504" max="12504" width="7.44140625" style="6" customWidth="1"/>
    <col min="12505" max="12505" width="11.33203125" style="6" customWidth="1"/>
    <col min="12506" max="12506" width="12.5546875" style="6" customWidth="1"/>
    <col min="12507" max="12507" width="16.44140625" style="6" customWidth="1"/>
    <col min="12508" max="12757" width="9.109375" style="6"/>
    <col min="12758" max="12758" width="7.44140625" style="6" customWidth="1"/>
    <col min="12759" max="12759" width="51.88671875" style="6" customWidth="1"/>
    <col min="12760" max="12760" width="7.44140625" style="6" customWidth="1"/>
    <col min="12761" max="12761" width="11.33203125" style="6" customWidth="1"/>
    <col min="12762" max="12762" width="12.5546875" style="6" customWidth="1"/>
    <col min="12763" max="12763" width="16.44140625" style="6" customWidth="1"/>
    <col min="12764" max="13013" width="9.109375" style="6"/>
    <col min="13014" max="13014" width="7.44140625" style="6" customWidth="1"/>
    <col min="13015" max="13015" width="51.88671875" style="6" customWidth="1"/>
    <col min="13016" max="13016" width="7.44140625" style="6" customWidth="1"/>
    <col min="13017" max="13017" width="11.33203125" style="6" customWidth="1"/>
    <col min="13018" max="13018" width="12.5546875" style="6" customWidth="1"/>
    <col min="13019" max="13019" width="16.44140625" style="6" customWidth="1"/>
    <col min="13020" max="13269" width="9.109375" style="6"/>
    <col min="13270" max="13270" width="7.44140625" style="6" customWidth="1"/>
    <col min="13271" max="13271" width="51.88671875" style="6" customWidth="1"/>
    <col min="13272" max="13272" width="7.44140625" style="6" customWidth="1"/>
    <col min="13273" max="13273" width="11.33203125" style="6" customWidth="1"/>
    <col min="13274" max="13274" width="12.5546875" style="6" customWidth="1"/>
    <col min="13275" max="13275" width="16.44140625" style="6" customWidth="1"/>
    <col min="13276" max="13525" width="9.109375" style="6"/>
    <col min="13526" max="13526" width="7.44140625" style="6" customWidth="1"/>
    <col min="13527" max="13527" width="51.88671875" style="6" customWidth="1"/>
    <col min="13528" max="13528" width="7.44140625" style="6" customWidth="1"/>
    <col min="13529" max="13529" width="11.33203125" style="6" customWidth="1"/>
    <col min="13530" max="13530" width="12.5546875" style="6" customWidth="1"/>
    <col min="13531" max="13531" width="16.44140625" style="6" customWidth="1"/>
    <col min="13532" max="13781" width="9.109375" style="6"/>
    <col min="13782" max="13782" width="7.44140625" style="6" customWidth="1"/>
    <col min="13783" max="13783" width="51.88671875" style="6" customWidth="1"/>
    <col min="13784" max="13784" width="7.44140625" style="6" customWidth="1"/>
    <col min="13785" max="13785" width="11.33203125" style="6" customWidth="1"/>
    <col min="13786" max="13786" width="12.5546875" style="6" customWidth="1"/>
    <col min="13787" max="13787" width="16.44140625" style="6" customWidth="1"/>
    <col min="13788" max="14037" width="9.109375" style="6"/>
    <col min="14038" max="14038" width="7.44140625" style="6" customWidth="1"/>
    <col min="14039" max="14039" width="51.88671875" style="6" customWidth="1"/>
    <col min="14040" max="14040" width="7.44140625" style="6" customWidth="1"/>
    <col min="14041" max="14041" width="11.33203125" style="6" customWidth="1"/>
    <col min="14042" max="14042" width="12.5546875" style="6" customWidth="1"/>
    <col min="14043" max="14043" width="16.44140625" style="6" customWidth="1"/>
    <col min="14044" max="14293" width="9.109375" style="6"/>
    <col min="14294" max="14294" width="7.44140625" style="6" customWidth="1"/>
    <col min="14295" max="14295" width="51.88671875" style="6" customWidth="1"/>
    <col min="14296" max="14296" width="7.44140625" style="6" customWidth="1"/>
    <col min="14297" max="14297" width="11.33203125" style="6" customWidth="1"/>
    <col min="14298" max="14298" width="12.5546875" style="6" customWidth="1"/>
    <col min="14299" max="14299" width="16.44140625" style="6" customWidth="1"/>
    <col min="14300" max="14549" width="9.109375" style="6"/>
    <col min="14550" max="14550" width="7.44140625" style="6" customWidth="1"/>
    <col min="14551" max="14551" width="51.88671875" style="6" customWidth="1"/>
    <col min="14552" max="14552" width="7.44140625" style="6" customWidth="1"/>
    <col min="14553" max="14553" width="11.33203125" style="6" customWidth="1"/>
    <col min="14554" max="14554" width="12.5546875" style="6" customWidth="1"/>
    <col min="14555" max="14555" width="16.44140625" style="6" customWidth="1"/>
    <col min="14556" max="14805" width="9.109375" style="6"/>
    <col min="14806" max="14806" width="7.44140625" style="6" customWidth="1"/>
    <col min="14807" max="14807" width="51.88671875" style="6" customWidth="1"/>
    <col min="14808" max="14808" width="7.44140625" style="6" customWidth="1"/>
    <col min="14809" max="14809" width="11.33203125" style="6" customWidth="1"/>
    <col min="14810" max="14810" width="12.5546875" style="6" customWidth="1"/>
    <col min="14811" max="14811" width="16.44140625" style="6" customWidth="1"/>
    <col min="14812" max="15061" width="9.109375" style="6"/>
    <col min="15062" max="15062" width="7.44140625" style="6" customWidth="1"/>
    <col min="15063" max="15063" width="51.88671875" style="6" customWidth="1"/>
    <col min="15064" max="15064" width="7.44140625" style="6" customWidth="1"/>
    <col min="15065" max="15065" width="11.33203125" style="6" customWidth="1"/>
    <col min="15066" max="15066" width="12.5546875" style="6" customWidth="1"/>
    <col min="15067" max="15067" width="16.44140625" style="6" customWidth="1"/>
    <col min="15068" max="15317" width="9.109375" style="6"/>
    <col min="15318" max="15318" width="7.44140625" style="6" customWidth="1"/>
    <col min="15319" max="15319" width="51.88671875" style="6" customWidth="1"/>
    <col min="15320" max="15320" width="7.44140625" style="6" customWidth="1"/>
    <col min="15321" max="15321" width="11.33203125" style="6" customWidth="1"/>
    <col min="15322" max="15322" width="12.5546875" style="6" customWidth="1"/>
    <col min="15323" max="15323" width="16.44140625" style="6" customWidth="1"/>
    <col min="15324" max="15573" width="9.109375" style="6"/>
    <col min="15574" max="15574" width="7.44140625" style="6" customWidth="1"/>
    <col min="15575" max="15575" width="51.88671875" style="6" customWidth="1"/>
    <col min="15576" max="15576" width="7.44140625" style="6" customWidth="1"/>
    <col min="15577" max="15577" width="11.33203125" style="6" customWidth="1"/>
    <col min="15578" max="15578" width="12.5546875" style="6" customWidth="1"/>
    <col min="15579" max="15579" width="16.44140625" style="6" customWidth="1"/>
    <col min="15580" max="15829" width="9.109375" style="6"/>
    <col min="15830" max="15830" width="7.44140625" style="6" customWidth="1"/>
    <col min="15831" max="15831" width="51.88671875" style="6" customWidth="1"/>
    <col min="15832" max="15832" width="7.44140625" style="6" customWidth="1"/>
    <col min="15833" max="15833" width="11.33203125" style="6" customWidth="1"/>
    <col min="15834" max="15834" width="12.5546875" style="6" customWidth="1"/>
    <col min="15835" max="15835" width="16.44140625" style="6" customWidth="1"/>
    <col min="15836" max="16085" width="9.109375" style="6"/>
    <col min="16086" max="16086" width="7.44140625" style="6" customWidth="1"/>
    <col min="16087" max="16087" width="51.88671875" style="6" customWidth="1"/>
    <col min="16088" max="16088" width="7.44140625" style="6" customWidth="1"/>
    <col min="16089" max="16089" width="11.33203125" style="6" customWidth="1"/>
    <col min="16090" max="16090" width="12.5546875" style="6" customWidth="1"/>
    <col min="16091" max="16091" width="16.44140625" style="6" customWidth="1"/>
    <col min="16092" max="16384" width="9.109375" style="6"/>
  </cols>
  <sheetData>
    <row r="1" spans="1:6" s="37" customFormat="1" ht="22.8" x14ac:dyDescent="0.3">
      <c r="A1" s="52" t="s">
        <v>1</v>
      </c>
      <c r="B1" s="53" t="s">
        <v>2</v>
      </c>
      <c r="C1" s="54" t="s">
        <v>100</v>
      </c>
      <c r="D1" s="55" t="s">
        <v>3</v>
      </c>
      <c r="E1" s="56" t="s">
        <v>95</v>
      </c>
      <c r="F1" s="55" t="s">
        <v>96</v>
      </c>
    </row>
    <row r="2" spans="1:6" x14ac:dyDescent="0.25">
      <c r="A2" s="50"/>
      <c r="C2" s="38"/>
      <c r="D2" s="39"/>
      <c r="E2" s="40"/>
      <c r="F2" s="39"/>
    </row>
    <row r="3" spans="1:6" x14ac:dyDescent="0.25">
      <c r="A3" s="45" t="s">
        <v>20</v>
      </c>
      <c r="B3" s="19" t="s">
        <v>97</v>
      </c>
    </row>
    <row r="4" spans="1:6" x14ac:dyDescent="0.25">
      <c r="A4" s="45"/>
      <c r="B4" s="19"/>
    </row>
    <row r="5" spans="1:6" x14ac:dyDescent="0.25">
      <c r="A5" s="44" t="s">
        <v>6</v>
      </c>
      <c r="B5" s="19" t="s">
        <v>82</v>
      </c>
      <c r="C5" s="41"/>
      <c r="D5" s="42"/>
      <c r="E5" s="43"/>
      <c r="F5" s="42"/>
    </row>
    <row r="6" spans="1:6" ht="66" x14ac:dyDescent="0.25">
      <c r="A6" s="32" t="s">
        <v>21</v>
      </c>
      <c r="B6" s="59" t="s">
        <v>101</v>
      </c>
      <c r="C6" s="2" t="s">
        <v>46</v>
      </c>
      <c r="D6" s="51">
        <v>1</v>
      </c>
      <c r="E6" s="34">
        <v>5000</v>
      </c>
      <c r="F6" s="3">
        <f t="shared" ref="F6:F7" si="0">D6*$E6</f>
        <v>5000</v>
      </c>
    </row>
    <row r="7" spans="1:6" ht="66" x14ac:dyDescent="0.25">
      <c r="A7" s="32" t="s">
        <v>22</v>
      </c>
      <c r="B7" s="59" t="s">
        <v>194</v>
      </c>
      <c r="C7" s="2" t="s">
        <v>46</v>
      </c>
      <c r="D7" s="51">
        <v>1</v>
      </c>
      <c r="E7" s="34">
        <v>500</v>
      </c>
      <c r="F7" s="3">
        <f t="shared" si="0"/>
        <v>500</v>
      </c>
    </row>
    <row r="8" spans="1:6" x14ac:dyDescent="0.25">
      <c r="B8" s="44" t="s">
        <v>195</v>
      </c>
      <c r="C8" s="6"/>
      <c r="D8" s="6"/>
      <c r="E8" s="21"/>
      <c r="F8" s="42">
        <f>SUM(F6:F7)</f>
        <v>5500</v>
      </c>
    </row>
    <row r="9" spans="1:6" x14ac:dyDescent="0.25">
      <c r="B9" s="59"/>
    </row>
    <row r="10" spans="1:6" x14ac:dyDescent="0.25">
      <c r="A10" s="45" t="s">
        <v>11</v>
      </c>
      <c r="B10" s="60" t="s">
        <v>196</v>
      </c>
    </row>
    <row r="11" spans="1:6" ht="171.6" x14ac:dyDescent="0.25">
      <c r="A11" s="32" t="s">
        <v>26</v>
      </c>
      <c r="B11" s="59" t="s">
        <v>197</v>
      </c>
      <c r="C11" s="2" t="s">
        <v>9</v>
      </c>
      <c r="D11" s="3">
        <v>50</v>
      </c>
      <c r="E11" s="34">
        <v>50</v>
      </c>
      <c r="F11" s="3">
        <f t="shared" ref="F11:F12" si="1">D11*$E11</f>
        <v>2500</v>
      </c>
    </row>
    <row r="12" spans="1:6" ht="79.2" x14ac:dyDescent="0.25">
      <c r="A12" s="32" t="s">
        <v>27</v>
      </c>
      <c r="B12" s="59" t="s">
        <v>198</v>
      </c>
      <c r="C12" s="2" t="s">
        <v>8</v>
      </c>
      <c r="D12" s="51">
        <v>14</v>
      </c>
      <c r="E12" s="34">
        <v>30</v>
      </c>
      <c r="F12" s="3">
        <f t="shared" si="1"/>
        <v>420</v>
      </c>
    </row>
    <row r="13" spans="1:6" ht="39.6" x14ac:dyDescent="0.25">
      <c r="A13" s="32" t="s">
        <v>28</v>
      </c>
      <c r="B13" s="59" t="s">
        <v>199</v>
      </c>
      <c r="D13" s="51"/>
    </row>
    <row r="14" spans="1:6" x14ac:dyDescent="0.25">
      <c r="A14" s="32" t="s">
        <v>61</v>
      </c>
      <c r="B14" s="59" t="s">
        <v>200</v>
      </c>
      <c r="C14" s="2" t="s">
        <v>10</v>
      </c>
      <c r="D14" s="3">
        <v>200</v>
      </c>
      <c r="E14" s="34">
        <v>1</v>
      </c>
      <c r="F14" s="3">
        <f t="shared" ref="F14:F26" si="2">D14*$E14</f>
        <v>200</v>
      </c>
    </row>
    <row r="15" spans="1:6" x14ac:dyDescent="0.25">
      <c r="A15" s="32" t="s">
        <v>62</v>
      </c>
      <c r="B15" s="59" t="s">
        <v>201</v>
      </c>
      <c r="C15" s="2" t="s">
        <v>8</v>
      </c>
      <c r="D15" s="51">
        <v>20</v>
      </c>
      <c r="E15" s="34">
        <v>10</v>
      </c>
      <c r="F15" s="3">
        <f t="shared" si="2"/>
        <v>200</v>
      </c>
    </row>
    <row r="16" spans="1:6" x14ac:dyDescent="0.25">
      <c r="A16" s="32" t="s">
        <v>63</v>
      </c>
      <c r="B16" s="59" t="s">
        <v>202</v>
      </c>
      <c r="C16" s="2" t="s">
        <v>8</v>
      </c>
      <c r="D16" s="51">
        <v>2</v>
      </c>
      <c r="E16" s="34">
        <v>50</v>
      </c>
      <c r="F16" s="3">
        <f t="shared" si="2"/>
        <v>100</v>
      </c>
    </row>
    <row r="17" spans="1:6" ht="118.8" x14ac:dyDescent="0.25">
      <c r="A17" s="32" t="s">
        <v>29</v>
      </c>
      <c r="B17" s="59" t="s">
        <v>203</v>
      </c>
      <c r="C17" s="2" t="s">
        <v>8</v>
      </c>
      <c r="D17" s="51">
        <v>12</v>
      </c>
      <c r="E17" s="34">
        <v>50</v>
      </c>
      <c r="F17" s="3">
        <f t="shared" si="2"/>
        <v>600</v>
      </c>
    </row>
    <row r="18" spans="1:6" ht="118.8" x14ac:dyDescent="0.25">
      <c r="A18" s="32" t="s">
        <v>52</v>
      </c>
      <c r="B18" s="59" t="s">
        <v>204</v>
      </c>
      <c r="C18" s="2" t="s">
        <v>8</v>
      </c>
      <c r="D18" s="51">
        <v>20</v>
      </c>
      <c r="E18" s="34">
        <v>100</v>
      </c>
      <c r="F18" s="3">
        <f t="shared" si="2"/>
        <v>2000</v>
      </c>
    </row>
    <row r="19" spans="1:6" ht="92.4" x14ac:dyDescent="0.25">
      <c r="A19" s="32" t="s">
        <v>76</v>
      </c>
      <c r="B19" s="59" t="s">
        <v>205</v>
      </c>
      <c r="C19" s="2" t="s">
        <v>8</v>
      </c>
      <c r="D19" s="51">
        <v>1</v>
      </c>
      <c r="E19" s="34">
        <v>100</v>
      </c>
      <c r="F19" s="3">
        <f t="shared" si="2"/>
        <v>100</v>
      </c>
    </row>
    <row r="20" spans="1:6" ht="118.8" x14ac:dyDescent="0.25">
      <c r="A20" s="32" t="s">
        <v>83</v>
      </c>
      <c r="B20" s="1" t="s">
        <v>206</v>
      </c>
      <c r="C20" s="2" t="s">
        <v>10</v>
      </c>
      <c r="D20" s="3">
        <v>100</v>
      </c>
      <c r="E20" s="34">
        <v>2</v>
      </c>
      <c r="F20" s="3">
        <f t="shared" si="2"/>
        <v>200</v>
      </c>
    </row>
    <row r="21" spans="1:6" ht="158.4" x14ac:dyDescent="0.25">
      <c r="A21" s="32" t="s">
        <v>84</v>
      </c>
      <c r="B21" s="59" t="s">
        <v>207</v>
      </c>
      <c r="C21" s="2" t="s">
        <v>10</v>
      </c>
      <c r="D21" s="3">
        <v>150</v>
      </c>
      <c r="E21" s="34">
        <v>5</v>
      </c>
      <c r="F21" s="3">
        <f t="shared" si="2"/>
        <v>750</v>
      </c>
    </row>
    <row r="22" spans="1:6" ht="92.4" x14ac:dyDescent="0.25">
      <c r="A22" s="32" t="s">
        <v>86</v>
      </c>
      <c r="B22" s="59" t="s">
        <v>208</v>
      </c>
      <c r="C22" s="2" t="s">
        <v>7</v>
      </c>
      <c r="D22" s="3">
        <v>650</v>
      </c>
      <c r="E22" s="34">
        <v>22</v>
      </c>
      <c r="F22" s="3">
        <f t="shared" si="2"/>
        <v>14300</v>
      </c>
    </row>
    <row r="23" spans="1:6" ht="92.4" x14ac:dyDescent="0.25">
      <c r="A23" s="32" t="s">
        <v>87</v>
      </c>
      <c r="B23" s="59" t="s">
        <v>209</v>
      </c>
      <c r="C23" s="2" t="s">
        <v>104</v>
      </c>
      <c r="D23" s="3">
        <v>100</v>
      </c>
      <c r="E23" s="34">
        <v>3</v>
      </c>
      <c r="F23" s="3">
        <f t="shared" si="2"/>
        <v>300</v>
      </c>
    </row>
    <row r="24" spans="1:6" ht="237.6" x14ac:dyDescent="0.25">
      <c r="A24" s="32" t="s">
        <v>88</v>
      </c>
      <c r="B24" s="59" t="s">
        <v>211</v>
      </c>
      <c r="C24" s="2" t="s">
        <v>9</v>
      </c>
      <c r="D24" s="3">
        <v>29</v>
      </c>
      <c r="E24" s="34">
        <v>400</v>
      </c>
      <c r="F24" s="3">
        <f t="shared" si="2"/>
        <v>11600</v>
      </c>
    </row>
    <row r="25" spans="1:6" ht="79.2" x14ac:dyDescent="0.25">
      <c r="A25" s="32" t="s">
        <v>89</v>
      </c>
      <c r="B25" s="59" t="s">
        <v>212</v>
      </c>
      <c r="C25" s="2" t="s">
        <v>7</v>
      </c>
      <c r="D25" s="3">
        <v>150</v>
      </c>
      <c r="E25" s="34">
        <v>15</v>
      </c>
      <c r="F25" s="3">
        <f t="shared" si="2"/>
        <v>2250</v>
      </c>
    </row>
    <row r="26" spans="1:6" ht="52.8" x14ac:dyDescent="0.25">
      <c r="A26" s="32" t="s">
        <v>90</v>
      </c>
      <c r="B26" s="59" t="s">
        <v>213</v>
      </c>
      <c r="C26" s="2" t="s">
        <v>7</v>
      </c>
      <c r="D26" s="3">
        <v>550</v>
      </c>
      <c r="E26" s="34">
        <v>5</v>
      </c>
      <c r="F26" s="3">
        <f t="shared" si="2"/>
        <v>2750</v>
      </c>
    </row>
    <row r="27" spans="1:6" x14ac:dyDescent="0.25">
      <c r="B27" s="44" t="s">
        <v>214</v>
      </c>
      <c r="C27" s="6"/>
      <c r="D27" s="6"/>
      <c r="E27" s="21"/>
      <c r="F27" s="42">
        <f>SUM(F11:F26)</f>
        <v>38270</v>
      </c>
    </row>
    <row r="28" spans="1:6" x14ac:dyDescent="0.25">
      <c r="B28" s="44"/>
      <c r="C28" s="6"/>
      <c r="D28" s="6"/>
      <c r="E28" s="21"/>
    </row>
    <row r="29" spans="1:6" x14ac:dyDescent="0.25">
      <c r="A29" s="45" t="s">
        <v>12</v>
      </c>
      <c r="B29" s="61" t="s">
        <v>65</v>
      </c>
      <c r="C29" s="41"/>
      <c r="D29" s="41"/>
      <c r="E29" s="62"/>
      <c r="F29" s="41"/>
    </row>
    <row r="30" spans="1:6" ht="184.8" x14ac:dyDescent="0.25">
      <c r="A30" s="32" t="s">
        <v>30</v>
      </c>
      <c r="B30" s="1" t="s">
        <v>215</v>
      </c>
    </row>
    <row r="31" spans="1:6" x14ac:dyDescent="0.25">
      <c r="A31" s="32" t="s">
        <v>61</v>
      </c>
      <c r="B31" s="1" t="s">
        <v>734</v>
      </c>
      <c r="C31" s="2" t="s">
        <v>9</v>
      </c>
      <c r="D31" s="3">
        <v>24</v>
      </c>
      <c r="E31" s="34">
        <v>20</v>
      </c>
      <c r="F31" s="3">
        <f t="shared" ref="F31:F32" si="3">D31*$E31</f>
        <v>480</v>
      </c>
    </row>
    <row r="32" spans="1:6" x14ac:dyDescent="0.25">
      <c r="A32" s="32" t="s">
        <v>62</v>
      </c>
      <c r="B32" s="1" t="s">
        <v>735</v>
      </c>
      <c r="C32" s="2" t="s">
        <v>9</v>
      </c>
      <c r="D32" s="3">
        <v>24</v>
      </c>
      <c r="E32" s="34">
        <v>80</v>
      </c>
      <c r="F32" s="3">
        <f t="shared" si="3"/>
        <v>1920</v>
      </c>
    </row>
    <row r="33" spans="1:6" ht="198" x14ac:dyDescent="0.25">
      <c r="A33" s="32" t="s">
        <v>31</v>
      </c>
      <c r="B33" s="1" t="s">
        <v>216</v>
      </c>
    </row>
    <row r="34" spans="1:6" x14ac:dyDescent="0.25">
      <c r="A34" s="32" t="s">
        <v>61</v>
      </c>
      <c r="B34" s="1" t="s">
        <v>734</v>
      </c>
      <c r="C34" s="2" t="s">
        <v>9</v>
      </c>
      <c r="D34" s="3">
        <v>11</v>
      </c>
      <c r="E34" s="34">
        <v>20</v>
      </c>
      <c r="F34" s="3">
        <f t="shared" ref="F34:F35" si="4">D34*$E34</f>
        <v>220</v>
      </c>
    </row>
    <row r="35" spans="1:6" x14ac:dyDescent="0.25">
      <c r="A35" s="32" t="s">
        <v>62</v>
      </c>
      <c r="B35" s="1" t="s">
        <v>735</v>
      </c>
      <c r="C35" s="2" t="s">
        <v>9</v>
      </c>
      <c r="D35" s="3">
        <v>3</v>
      </c>
      <c r="E35" s="34">
        <v>80</v>
      </c>
      <c r="F35" s="3">
        <f t="shared" si="4"/>
        <v>240</v>
      </c>
    </row>
    <row r="36" spans="1:6" ht="26.4" x14ac:dyDescent="0.25">
      <c r="A36" s="32" t="s">
        <v>32</v>
      </c>
      <c r="B36" s="1" t="s">
        <v>217</v>
      </c>
    </row>
    <row r="37" spans="1:6" x14ac:dyDescent="0.25">
      <c r="A37" s="32" t="s">
        <v>61</v>
      </c>
      <c r="B37" s="1" t="s">
        <v>736</v>
      </c>
      <c r="C37" s="2" t="s">
        <v>7</v>
      </c>
      <c r="D37" s="3">
        <v>65</v>
      </c>
      <c r="E37" s="34">
        <v>5</v>
      </c>
      <c r="F37" s="3">
        <f t="shared" ref="F37:F38" si="5">D37*$E37</f>
        <v>325</v>
      </c>
    </row>
    <row r="38" spans="1:6" x14ac:dyDescent="0.25">
      <c r="A38" s="32" t="s">
        <v>62</v>
      </c>
      <c r="B38" s="1" t="s">
        <v>737</v>
      </c>
      <c r="C38" s="2" t="s">
        <v>7</v>
      </c>
      <c r="D38" s="3">
        <v>65</v>
      </c>
      <c r="E38" s="34">
        <v>5</v>
      </c>
      <c r="F38" s="3">
        <f t="shared" si="5"/>
        <v>325</v>
      </c>
    </row>
    <row r="39" spans="1:6" ht="132" x14ac:dyDescent="0.25">
      <c r="A39" s="32" t="s">
        <v>33</v>
      </c>
      <c r="B39" s="1" t="s">
        <v>218</v>
      </c>
      <c r="C39" s="2" t="s">
        <v>9</v>
      </c>
      <c r="D39" s="3">
        <v>30</v>
      </c>
      <c r="E39" s="34">
        <v>60</v>
      </c>
      <c r="F39" s="3">
        <f t="shared" ref="F39:F41" si="6">D39*$E39</f>
        <v>1800</v>
      </c>
    </row>
    <row r="40" spans="1:6" ht="79.2" x14ac:dyDescent="0.25">
      <c r="A40" s="32" t="s">
        <v>53</v>
      </c>
      <c r="B40" s="1" t="s">
        <v>219</v>
      </c>
      <c r="C40" s="2" t="s">
        <v>7</v>
      </c>
      <c r="D40" s="3">
        <v>20</v>
      </c>
      <c r="E40" s="34">
        <v>20</v>
      </c>
      <c r="F40" s="3">
        <f t="shared" si="6"/>
        <v>400</v>
      </c>
    </row>
    <row r="41" spans="1:6" ht="79.2" x14ac:dyDescent="0.25">
      <c r="A41" s="32" t="s">
        <v>54</v>
      </c>
      <c r="B41" s="1" t="s">
        <v>220</v>
      </c>
      <c r="C41" s="2" t="s">
        <v>46</v>
      </c>
      <c r="D41" s="51">
        <v>1</v>
      </c>
      <c r="E41" s="34">
        <v>300</v>
      </c>
      <c r="F41" s="3">
        <f t="shared" si="6"/>
        <v>300</v>
      </c>
    </row>
    <row r="42" spans="1:6" x14ac:dyDescent="0.25">
      <c r="B42" s="44" t="s">
        <v>221</v>
      </c>
      <c r="C42" s="6"/>
      <c r="D42" s="6"/>
      <c r="E42" s="21"/>
      <c r="F42" s="42">
        <f>SUM(F31:F41)</f>
        <v>6010</v>
      </c>
    </row>
    <row r="43" spans="1:6" x14ac:dyDescent="0.25">
      <c r="B43" s="44"/>
      <c r="C43" s="6"/>
      <c r="D43" s="6"/>
      <c r="E43" s="21"/>
    </row>
    <row r="44" spans="1:6" x14ac:dyDescent="0.25">
      <c r="A44" s="45" t="s">
        <v>13</v>
      </c>
      <c r="B44" s="61" t="s">
        <v>222</v>
      </c>
      <c r="C44" s="41"/>
      <c r="D44" s="41"/>
      <c r="E44" s="62"/>
      <c r="F44" s="41"/>
    </row>
    <row r="45" spans="1:6" ht="158.4" x14ac:dyDescent="0.25">
      <c r="A45" s="32" t="s">
        <v>34</v>
      </c>
      <c r="B45" s="1" t="s">
        <v>225</v>
      </c>
      <c r="D45" s="51"/>
    </row>
    <row r="46" spans="1:6" x14ac:dyDescent="0.25">
      <c r="A46" s="32" t="s">
        <v>61</v>
      </c>
      <c r="B46" s="1" t="s">
        <v>114</v>
      </c>
      <c r="C46" s="2" t="s">
        <v>9</v>
      </c>
      <c r="D46" s="3">
        <v>55</v>
      </c>
      <c r="E46" s="34">
        <v>190</v>
      </c>
      <c r="F46" s="3">
        <f>D46*$E46</f>
        <v>10450</v>
      </c>
    </row>
    <row r="47" spans="1:6" x14ac:dyDescent="0.25">
      <c r="A47" s="32" t="s">
        <v>62</v>
      </c>
      <c r="B47" s="1" t="s">
        <v>102</v>
      </c>
      <c r="C47" s="2" t="s">
        <v>7</v>
      </c>
      <c r="D47" s="3">
        <v>105</v>
      </c>
      <c r="E47" s="34">
        <v>30</v>
      </c>
      <c r="F47" s="3">
        <f>D47*$E47</f>
        <v>3150</v>
      </c>
    </row>
    <row r="48" spans="1:6" x14ac:dyDescent="0.25">
      <c r="A48" s="32" t="s">
        <v>63</v>
      </c>
      <c r="B48" s="1" t="s">
        <v>223</v>
      </c>
      <c r="C48" s="2" t="s">
        <v>104</v>
      </c>
      <c r="D48" s="3">
        <v>4500</v>
      </c>
      <c r="E48" s="34">
        <v>1.5</v>
      </c>
      <c r="F48" s="3">
        <f>D48*$E48</f>
        <v>6750</v>
      </c>
    </row>
    <row r="49" spans="1:6" ht="158.4" x14ac:dyDescent="0.25">
      <c r="A49" s="32" t="s">
        <v>43</v>
      </c>
      <c r="B49" s="1" t="s">
        <v>224</v>
      </c>
      <c r="D49" s="51"/>
    </row>
    <row r="50" spans="1:6" x14ac:dyDescent="0.25">
      <c r="A50" s="32" t="s">
        <v>61</v>
      </c>
      <c r="B50" s="1" t="s">
        <v>114</v>
      </c>
      <c r="C50" s="2" t="s">
        <v>9</v>
      </c>
      <c r="D50" s="3">
        <v>15</v>
      </c>
      <c r="E50" s="34">
        <v>190</v>
      </c>
      <c r="F50" s="3">
        <f>D50*$E50</f>
        <v>2850</v>
      </c>
    </row>
    <row r="51" spans="1:6" x14ac:dyDescent="0.25">
      <c r="A51" s="32" t="s">
        <v>62</v>
      </c>
      <c r="B51" s="1" t="s">
        <v>102</v>
      </c>
      <c r="C51" s="2" t="s">
        <v>7</v>
      </c>
      <c r="D51" s="3">
        <v>80</v>
      </c>
      <c r="E51" s="34">
        <v>30</v>
      </c>
      <c r="F51" s="3">
        <f>D51*$E51</f>
        <v>2400</v>
      </c>
    </row>
    <row r="52" spans="1:6" x14ac:dyDescent="0.25">
      <c r="A52" s="32" t="s">
        <v>63</v>
      </c>
      <c r="B52" s="1" t="s">
        <v>223</v>
      </c>
      <c r="C52" s="2" t="s">
        <v>104</v>
      </c>
      <c r="D52" s="3">
        <v>1500</v>
      </c>
      <c r="E52" s="34">
        <v>1.5</v>
      </c>
      <c r="F52" s="3">
        <f>D52*$E52</f>
        <v>2250</v>
      </c>
    </row>
    <row r="53" spans="1:6" ht="198" x14ac:dyDescent="0.25">
      <c r="A53" s="32" t="s">
        <v>44</v>
      </c>
      <c r="B53" s="1" t="s">
        <v>226</v>
      </c>
    </row>
    <row r="54" spans="1:6" x14ac:dyDescent="0.25">
      <c r="A54" s="32" t="s">
        <v>61</v>
      </c>
      <c r="B54" s="1" t="s">
        <v>114</v>
      </c>
      <c r="C54" s="2" t="s">
        <v>9</v>
      </c>
      <c r="D54" s="3">
        <v>10</v>
      </c>
      <c r="E54" s="34">
        <v>250</v>
      </c>
      <c r="F54" s="3">
        <f>D54*$E54</f>
        <v>2500</v>
      </c>
    </row>
    <row r="55" spans="1:6" x14ac:dyDescent="0.25">
      <c r="A55" s="32" t="s">
        <v>62</v>
      </c>
      <c r="B55" s="1" t="s">
        <v>102</v>
      </c>
      <c r="C55" s="2" t="s">
        <v>7</v>
      </c>
      <c r="D55" s="3">
        <v>30</v>
      </c>
      <c r="E55" s="34">
        <v>50</v>
      </c>
      <c r="F55" s="3">
        <f>D55*$E55</f>
        <v>1500</v>
      </c>
    </row>
    <row r="56" spans="1:6" x14ac:dyDescent="0.25">
      <c r="A56" s="32" t="s">
        <v>63</v>
      </c>
      <c r="B56" s="1" t="s">
        <v>223</v>
      </c>
      <c r="C56" s="2" t="s">
        <v>104</v>
      </c>
      <c r="D56" s="3">
        <v>1000</v>
      </c>
      <c r="E56" s="34">
        <v>1.5</v>
      </c>
      <c r="F56" s="3">
        <f>D56*$E56</f>
        <v>1500</v>
      </c>
    </row>
    <row r="57" spans="1:6" ht="132" x14ac:dyDescent="0.25">
      <c r="A57" s="32" t="s">
        <v>69</v>
      </c>
      <c r="B57" s="1" t="s">
        <v>227</v>
      </c>
    </row>
    <row r="58" spans="1:6" x14ac:dyDescent="0.25">
      <c r="A58" s="32" t="s">
        <v>61</v>
      </c>
      <c r="B58" s="1" t="s">
        <v>114</v>
      </c>
      <c r="C58" s="2" t="s">
        <v>9</v>
      </c>
      <c r="D58" s="3">
        <v>8</v>
      </c>
      <c r="E58" s="34">
        <v>250</v>
      </c>
      <c r="F58" s="3">
        <f>D58*$E58</f>
        <v>2000</v>
      </c>
    </row>
    <row r="59" spans="1:6" x14ac:dyDescent="0.25">
      <c r="A59" s="32" t="s">
        <v>62</v>
      </c>
      <c r="B59" s="1" t="s">
        <v>102</v>
      </c>
      <c r="C59" s="2" t="s">
        <v>7</v>
      </c>
      <c r="D59" s="3">
        <v>25</v>
      </c>
      <c r="E59" s="34">
        <v>50</v>
      </c>
      <c r="F59" s="3">
        <f>D59*$E59</f>
        <v>1250</v>
      </c>
    </row>
    <row r="60" spans="1:6" x14ac:dyDescent="0.25">
      <c r="A60" s="32" t="s">
        <v>63</v>
      </c>
      <c r="B60" s="1" t="s">
        <v>223</v>
      </c>
      <c r="C60" s="2" t="s">
        <v>104</v>
      </c>
      <c r="D60" s="3">
        <v>800</v>
      </c>
      <c r="E60" s="34">
        <v>1.6</v>
      </c>
      <c r="F60" s="3">
        <f>D60*$E60</f>
        <v>1280</v>
      </c>
    </row>
    <row r="61" spans="1:6" ht="145.19999999999999" x14ac:dyDescent="0.25">
      <c r="A61" s="32" t="s">
        <v>78</v>
      </c>
      <c r="B61" s="1" t="s">
        <v>228</v>
      </c>
    </row>
    <row r="62" spans="1:6" x14ac:dyDescent="0.25">
      <c r="A62" s="32" t="s">
        <v>61</v>
      </c>
      <c r="B62" s="1" t="s">
        <v>114</v>
      </c>
      <c r="C62" s="2" t="s">
        <v>9</v>
      </c>
      <c r="D62" s="3">
        <v>7</v>
      </c>
      <c r="E62" s="34">
        <v>250</v>
      </c>
      <c r="F62" s="3">
        <f>D62*$E62</f>
        <v>1750</v>
      </c>
    </row>
    <row r="63" spans="1:6" x14ac:dyDescent="0.25">
      <c r="A63" s="32" t="s">
        <v>62</v>
      </c>
      <c r="B63" s="1" t="s">
        <v>102</v>
      </c>
      <c r="C63" s="2" t="s">
        <v>7</v>
      </c>
      <c r="D63" s="3">
        <v>15</v>
      </c>
      <c r="E63" s="34">
        <v>50</v>
      </c>
      <c r="F63" s="3">
        <f>D63*$E63</f>
        <v>750</v>
      </c>
    </row>
    <row r="64" spans="1:6" x14ac:dyDescent="0.25">
      <c r="A64" s="32" t="s">
        <v>63</v>
      </c>
      <c r="B64" s="1" t="s">
        <v>223</v>
      </c>
      <c r="C64" s="2" t="s">
        <v>104</v>
      </c>
      <c r="D64" s="3">
        <v>700</v>
      </c>
      <c r="E64" s="34">
        <v>1.6</v>
      </c>
      <c r="F64" s="3">
        <f>D64*$E64</f>
        <v>1120</v>
      </c>
    </row>
    <row r="65" spans="1:6" ht="118.8" x14ac:dyDescent="0.25">
      <c r="A65" s="32" t="s">
        <v>79</v>
      </c>
      <c r="B65" s="1" t="s">
        <v>229</v>
      </c>
    </row>
    <row r="66" spans="1:6" x14ac:dyDescent="0.25">
      <c r="A66" s="32" t="s">
        <v>61</v>
      </c>
      <c r="B66" s="1" t="s">
        <v>114</v>
      </c>
      <c r="C66" s="2" t="s">
        <v>9</v>
      </c>
      <c r="D66" s="3">
        <v>3</v>
      </c>
      <c r="E66" s="34">
        <v>500</v>
      </c>
      <c r="F66" s="3">
        <f>D66*$E66</f>
        <v>1500</v>
      </c>
    </row>
    <row r="67" spans="1:6" x14ac:dyDescent="0.25">
      <c r="A67" s="32" t="s">
        <v>62</v>
      </c>
      <c r="B67" s="1" t="s">
        <v>102</v>
      </c>
      <c r="C67" s="2" t="s">
        <v>7</v>
      </c>
      <c r="D67" s="3">
        <v>10</v>
      </c>
      <c r="E67" s="34">
        <v>100</v>
      </c>
      <c r="F67" s="3">
        <f>D67*$E67</f>
        <v>1000</v>
      </c>
    </row>
    <row r="68" spans="1:6" ht="145.19999999999999" x14ac:dyDescent="0.25">
      <c r="A68" s="32" t="s">
        <v>85</v>
      </c>
      <c r="B68" s="1" t="s">
        <v>230</v>
      </c>
    </row>
    <row r="69" spans="1:6" x14ac:dyDescent="0.25">
      <c r="A69" s="32" t="s">
        <v>61</v>
      </c>
      <c r="B69" s="1" t="s">
        <v>231</v>
      </c>
      <c r="C69" s="2" t="s">
        <v>9</v>
      </c>
      <c r="D69" s="3">
        <v>4.7</v>
      </c>
      <c r="E69" s="34">
        <v>190</v>
      </c>
      <c r="F69" s="3">
        <f>D69*$E69</f>
        <v>893</v>
      </c>
    </row>
    <row r="70" spans="1:6" x14ac:dyDescent="0.25">
      <c r="A70" s="32" t="s">
        <v>62</v>
      </c>
      <c r="B70" s="1" t="s">
        <v>232</v>
      </c>
      <c r="C70" s="2" t="s">
        <v>7</v>
      </c>
      <c r="D70" s="3">
        <v>14.5</v>
      </c>
      <c r="E70" s="34">
        <v>50</v>
      </c>
      <c r="F70" s="3">
        <f>D70*$E70</f>
        <v>725</v>
      </c>
    </row>
    <row r="71" spans="1:6" x14ac:dyDescent="0.25">
      <c r="A71" s="32" t="s">
        <v>63</v>
      </c>
      <c r="B71" s="1" t="s">
        <v>233</v>
      </c>
      <c r="C71" s="2" t="s">
        <v>104</v>
      </c>
      <c r="D71" s="3">
        <v>450</v>
      </c>
      <c r="E71" s="34">
        <v>1.5</v>
      </c>
      <c r="F71" s="3">
        <f>D71*$E71</f>
        <v>675</v>
      </c>
    </row>
    <row r="72" spans="1:6" x14ac:dyDescent="0.25">
      <c r="A72" s="7"/>
      <c r="B72" s="44" t="s">
        <v>234</v>
      </c>
      <c r="C72" s="6"/>
      <c r="D72" s="6"/>
      <c r="E72" s="21"/>
      <c r="F72" s="42">
        <f>SUM(F46:F71)</f>
        <v>46293</v>
      </c>
    </row>
    <row r="74" spans="1:6" x14ac:dyDescent="0.25">
      <c r="A74" s="35" t="s">
        <v>14</v>
      </c>
      <c r="B74" s="61" t="s">
        <v>235</v>
      </c>
      <c r="C74" s="63"/>
      <c r="D74" s="63"/>
      <c r="E74" s="64"/>
      <c r="F74" s="63"/>
    </row>
    <row r="75" spans="1:6" ht="356.4" x14ac:dyDescent="0.25">
      <c r="A75" s="32" t="s">
        <v>35</v>
      </c>
      <c r="B75" s="1" t="s">
        <v>236</v>
      </c>
    </row>
    <row r="76" spans="1:6" x14ac:dyDescent="0.25">
      <c r="A76" s="32" t="s">
        <v>61</v>
      </c>
      <c r="B76" s="1" t="s">
        <v>237</v>
      </c>
      <c r="C76" s="2" t="s">
        <v>7</v>
      </c>
      <c r="D76" s="3">
        <v>330</v>
      </c>
      <c r="E76" s="34">
        <v>55</v>
      </c>
      <c r="F76" s="3">
        <f>D76*$E76</f>
        <v>18150</v>
      </c>
    </row>
    <row r="77" spans="1:6" x14ac:dyDescent="0.25">
      <c r="A77" s="32" t="s">
        <v>62</v>
      </c>
      <c r="B77" s="1" t="s">
        <v>238</v>
      </c>
      <c r="C77" s="2" t="s">
        <v>7</v>
      </c>
      <c r="D77" s="3">
        <v>80</v>
      </c>
      <c r="E77" s="34">
        <v>55</v>
      </c>
      <c r="F77" s="3">
        <f>D77*$E77</f>
        <v>4400</v>
      </c>
    </row>
    <row r="78" spans="1:6" x14ac:dyDescent="0.25">
      <c r="A78" s="32" t="s">
        <v>63</v>
      </c>
      <c r="B78" s="1" t="s">
        <v>239</v>
      </c>
      <c r="C78" s="2" t="s">
        <v>7</v>
      </c>
      <c r="D78" s="3">
        <v>40</v>
      </c>
      <c r="E78" s="34">
        <v>55</v>
      </c>
      <c r="F78" s="3">
        <f>D78*$E78</f>
        <v>2200</v>
      </c>
    </row>
    <row r="79" spans="1:6" ht="92.4" x14ac:dyDescent="0.25">
      <c r="A79" s="32" t="s">
        <v>36</v>
      </c>
      <c r="B79" s="1" t="s">
        <v>738</v>
      </c>
      <c r="C79" s="2" t="s">
        <v>104</v>
      </c>
      <c r="D79" s="3">
        <v>130</v>
      </c>
      <c r="E79" s="34">
        <v>8</v>
      </c>
      <c r="F79" s="3">
        <f>D79*$E79</f>
        <v>1040</v>
      </c>
    </row>
    <row r="80" spans="1:6" ht="184.8" x14ac:dyDescent="0.25">
      <c r="A80" s="32" t="s">
        <v>37</v>
      </c>
      <c r="B80" s="1" t="s">
        <v>739</v>
      </c>
      <c r="C80" s="2" t="s">
        <v>10</v>
      </c>
      <c r="D80" s="3">
        <v>20</v>
      </c>
      <c r="E80" s="34">
        <v>230</v>
      </c>
      <c r="F80" s="3">
        <f>D80*$E80</f>
        <v>4600</v>
      </c>
    </row>
    <row r="81" spans="1:6" x14ac:dyDescent="0.25">
      <c r="B81" s="44" t="s">
        <v>240</v>
      </c>
      <c r="C81" s="6"/>
      <c r="D81" s="6"/>
      <c r="E81" s="21"/>
      <c r="F81" s="42">
        <f>SUM(F76:F80)</f>
        <v>30390</v>
      </c>
    </row>
    <row r="83" spans="1:6" x14ac:dyDescent="0.25">
      <c r="A83" s="45" t="s">
        <v>15</v>
      </c>
      <c r="B83" s="61" t="s">
        <v>241</v>
      </c>
      <c r="C83" s="41"/>
      <c r="D83" s="41"/>
      <c r="E83" s="62"/>
      <c r="F83" s="41"/>
    </row>
    <row r="84" spans="1:6" ht="198" x14ac:dyDescent="0.25">
      <c r="A84" s="32" t="s">
        <v>39</v>
      </c>
      <c r="B84" s="59" t="s">
        <v>242</v>
      </c>
      <c r="C84" s="2" t="s">
        <v>9</v>
      </c>
      <c r="D84" s="3">
        <v>90</v>
      </c>
      <c r="E84" s="34">
        <v>250</v>
      </c>
      <c r="F84" s="3">
        <f t="shared" ref="F84:F100" si="7">D84*$E84</f>
        <v>22500</v>
      </c>
    </row>
    <row r="85" spans="1:6" ht="237.6" x14ac:dyDescent="0.25">
      <c r="A85" s="32" t="s">
        <v>40</v>
      </c>
      <c r="B85" s="1" t="s">
        <v>243</v>
      </c>
      <c r="C85" s="2" t="s">
        <v>7</v>
      </c>
      <c r="D85" s="3">
        <v>530</v>
      </c>
      <c r="E85" s="34">
        <v>17</v>
      </c>
      <c r="F85" s="3">
        <f t="shared" si="7"/>
        <v>9010</v>
      </c>
    </row>
    <row r="86" spans="1:6" ht="92.4" x14ac:dyDescent="0.25">
      <c r="A86" s="32" t="s">
        <v>70</v>
      </c>
      <c r="B86" s="1" t="s">
        <v>244</v>
      </c>
      <c r="C86" s="2" t="s">
        <v>7</v>
      </c>
      <c r="D86" s="3">
        <v>20</v>
      </c>
      <c r="E86" s="34">
        <v>30</v>
      </c>
      <c r="F86" s="3">
        <f t="shared" si="7"/>
        <v>600</v>
      </c>
    </row>
    <row r="87" spans="1:6" ht="79.2" x14ac:dyDescent="0.25">
      <c r="A87" s="32" t="s">
        <v>71</v>
      </c>
      <c r="B87" s="1" t="s">
        <v>245</v>
      </c>
      <c r="C87" s="2" t="s">
        <v>7</v>
      </c>
      <c r="D87" s="3">
        <v>20</v>
      </c>
      <c r="E87" s="34">
        <v>30</v>
      </c>
      <c r="F87" s="3">
        <f t="shared" si="7"/>
        <v>600</v>
      </c>
    </row>
    <row r="88" spans="1:6" ht="92.4" x14ac:dyDescent="0.25">
      <c r="A88" s="32" t="s">
        <v>72</v>
      </c>
      <c r="B88" s="1" t="s">
        <v>246</v>
      </c>
      <c r="C88" s="2" t="s">
        <v>10</v>
      </c>
      <c r="D88" s="3">
        <v>70</v>
      </c>
      <c r="E88" s="34">
        <v>10</v>
      </c>
      <c r="F88" s="3">
        <f t="shared" si="7"/>
        <v>700</v>
      </c>
    </row>
    <row r="89" spans="1:6" ht="224.4" x14ac:dyDescent="0.25">
      <c r="A89" s="32" t="s">
        <v>73</v>
      </c>
      <c r="B89" s="1" t="s">
        <v>259</v>
      </c>
    </row>
    <row r="90" spans="1:6" ht="277.2" x14ac:dyDescent="0.25">
      <c r="B90" s="1" t="s">
        <v>258</v>
      </c>
      <c r="C90" s="2" t="s">
        <v>10</v>
      </c>
      <c r="D90" s="3">
        <v>72</v>
      </c>
      <c r="E90" s="34">
        <v>2</v>
      </c>
      <c r="F90" s="3">
        <f t="shared" ref="F90" si="8">D90*$E90</f>
        <v>144</v>
      </c>
    </row>
    <row r="91" spans="1:6" ht="92.4" x14ac:dyDescent="0.25">
      <c r="A91" s="32" t="s">
        <v>165</v>
      </c>
      <c r="B91" s="1" t="s">
        <v>247</v>
      </c>
      <c r="C91" s="2" t="s">
        <v>7</v>
      </c>
      <c r="D91" s="3">
        <v>70</v>
      </c>
      <c r="E91" s="34">
        <v>30</v>
      </c>
      <c r="F91" s="3">
        <f t="shared" si="7"/>
        <v>2100</v>
      </c>
    </row>
    <row r="92" spans="1:6" ht="211.2" x14ac:dyDescent="0.25">
      <c r="A92" s="32" t="s">
        <v>74</v>
      </c>
      <c r="B92" s="1" t="s">
        <v>740</v>
      </c>
    </row>
    <row r="93" spans="1:6" x14ac:dyDescent="0.25">
      <c r="A93" s="32" t="s">
        <v>61</v>
      </c>
      <c r="B93" s="1" t="s">
        <v>741</v>
      </c>
      <c r="C93" s="2" t="s">
        <v>8</v>
      </c>
      <c r="D93" s="51">
        <v>2</v>
      </c>
      <c r="E93" s="34">
        <v>120</v>
      </c>
      <c r="F93" s="3">
        <f t="shared" ref="F93" si="9">D93*$E93</f>
        <v>240</v>
      </c>
    </row>
    <row r="94" spans="1:6" ht="145.19999999999999" x14ac:dyDescent="0.25">
      <c r="A94" s="32" t="s">
        <v>166</v>
      </c>
      <c r="B94" s="1" t="s">
        <v>248</v>
      </c>
      <c r="C94" s="2" t="s">
        <v>7</v>
      </c>
      <c r="D94" s="3">
        <v>85</v>
      </c>
      <c r="E94" s="34">
        <v>20</v>
      </c>
      <c r="F94" s="3">
        <f t="shared" si="7"/>
        <v>1700</v>
      </c>
    </row>
    <row r="95" spans="1:6" ht="105.6" x14ac:dyDescent="0.25">
      <c r="A95" s="32" t="s">
        <v>167</v>
      </c>
      <c r="B95" s="59" t="s">
        <v>249</v>
      </c>
      <c r="C95" s="2" t="s">
        <v>7</v>
      </c>
      <c r="D95" s="3">
        <v>530</v>
      </c>
      <c r="E95" s="34">
        <v>10</v>
      </c>
      <c r="F95" s="3">
        <f t="shared" si="7"/>
        <v>5300</v>
      </c>
    </row>
    <row r="96" spans="1:6" ht="145.19999999999999" x14ac:dyDescent="0.25">
      <c r="A96" s="32" t="s">
        <v>250</v>
      </c>
      <c r="B96" s="59" t="s">
        <v>251</v>
      </c>
      <c r="C96" s="2" t="s">
        <v>7</v>
      </c>
      <c r="D96" s="3">
        <v>500</v>
      </c>
      <c r="E96" s="34">
        <v>12</v>
      </c>
      <c r="F96" s="3">
        <f t="shared" si="7"/>
        <v>6000</v>
      </c>
    </row>
    <row r="97" spans="1:6" ht="145.19999999999999" x14ac:dyDescent="0.25">
      <c r="A97" s="32" t="s">
        <v>253</v>
      </c>
      <c r="B97" s="59" t="s">
        <v>252</v>
      </c>
      <c r="C97" s="2" t="s">
        <v>7</v>
      </c>
      <c r="D97" s="3">
        <v>420</v>
      </c>
      <c r="E97" s="34">
        <v>8</v>
      </c>
      <c r="F97" s="3">
        <f t="shared" si="7"/>
        <v>3360</v>
      </c>
    </row>
    <row r="98" spans="1:6" ht="66" x14ac:dyDescent="0.25">
      <c r="A98" s="32" t="s">
        <v>260</v>
      </c>
      <c r="B98" s="59" t="s">
        <v>255</v>
      </c>
    </row>
    <row r="99" spans="1:6" x14ac:dyDescent="0.25">
      <c r="A99" s="32" t="s">
        <v>61</v>
      </c>
      <c r="B99" s="59" t="s">
        <v>256</v>
      </c>
      <c r="C99" s="2" t="s">
        <v>7</v>
      </c>
      <c r="D99" s="3">
        <v>420</v>
      </c>
      <c r="E99" s="34">
        <v>26</v>
      </c>
      <c r="F99" s="3">
        <f t="shared" ref="F99" si="10">D99*$E99</f>
        <v>10920</v>
      </c>
    </row>
    <row r="100" spans="1:6" x14ac:dyDescent="0.25">
      <c r="A100" s="32" t="s">
        <v>62</v>
      </c>
      <c r="B100" s="59" t="s">
        <v>257</v>
      </c>
      <c r="C100" s="2" t="s">
        <v>7</v>
      </c>
      <c r="D100" s="3">
        <v>100</v>
      </c>
      <c r="E100" s="34">
        <v>35</v>
      </c>
      <c r="F100" s="3">
        <f t="shared" si="7"/>
        <v>3500</v>
      </c>
    </row>
    <row r="101" spans="1:6" x14ac:dyDescent="0.25">
      <c r="B101" s="44" t="s">
        <v>254</v>
      </c>
      <c r="C101" s="6"/>
      <c r="D101" s="6"/>
      <c r="E101" s="21"/>
      <c r="F101" s="42">
        <f>SUM(F84:F100)</f>
        <v>66674</v>
      </c>
    </row>
    <row r="103" spans="1:6" x14ac:dyDescent="0.25">
      <c r="A103" s="45" t="s">
        <v>16</v>
      </c>
      <c r="B103" s="61" t="s">
        <v>261</v>
      </c>
      <c r="C103" s="41"/>
      <c r="D103" s="41"/>
      <c r="E103" s="62"/>
      <c r="F103" s="41"/>
    </row>
    <row r="104" spans="1:6" ht="198" x14ac:dyDescent="0.25">
      <c r="A104" s="32" t="s">
        <v>41</v>
      </c>
      <c r="B104" s="59" t="s">
        <v>723</v>
      </c>
      <c r="C104" s="2" t="s">
        <v>7</v>
      </c>
      <c r="D104" s="3">
        <v>672</v>
      </c>
      <c r="E104" s="34">
        <v>70</v>
      </c>
      <c r="F104" s="3">
        <f t="shared" ref="F104:F108" si="11">D104*$E104</f>
        <v>47040</v>
      </c>
    </row>
    <row r="105" spans="1:6" ht="158.4" x14ac:dyDescent="0.25">
      <c r="A105" s="32" t="s">
        <v>262</v>
      </c>
      <c r="B105" s="59" t="s">
        <v>263</v>
      </c>
      <c r="C105" s="2" t="s">
        <v>10</v>
      </c>
      <c r="D105" s="3">
        <v>110</v>
      </c>
      <c r="E105" s="34">
        <v>40</v>
      </c>
      <c r="F105" s="3">
        <f t="shared" si="11"/>
        <v>4400</v>
      </c>
    </row>
    <row r="106" spans="1:6" ht="79.2" x14ac:dyDescent="0.25">
      <c r="A106" s="32" t="s">
        <v>264</v>
      </c>
      <c r="B106" s="59" t="s">
        <v>265</v>
      </c>
      <c r="C106" s="2" t="s">
        <v>10</v>
      </c>
      <c r="D106" s="3">
        <v>36.5</v>
      </c>
      <c r="E106" s="34">
        <v>40</v>
      </c>
      <c r="F106" s="3">
        <f t="shared" si="11"/>
        <v>1460</v>
      </c>
    </row>
    <row r="107" spans="1:6" ht="66" x14ac:dyDescent="0.25">
      <c r="A107" s="32" t="s">
        <v>266</v>
      </c>
      <c r="B107" s="59" t="s">
        <v>267</v>
      </c>
      <c r="C107" s="2" t="s">
        <v>10</v>
      </c>
      <c r="D107" s="3">
        <v>141</v>
      </c>
      <c r="E107" s="34">
        <v>60</v>
      </c>
      <c r="F107" s="3">
        <f t="shared" si="11"/>
        <v>8460</v>
      </c>
    </row>
    <row r="108" spans="1:6" ht="105.6" x14ac:dyDescent="0.25">
      <c r="A108" s="32" t="s">
        <v>268</v>
      </c>
      <c r="B108" s="59" t="s">
        <v>269</v>
      </c>
      <c r="C108" s="2" t="s">
        <v>7</v>
      </c>
      <c r="D108" s="3">
        <v>48</v>
      </c>
      <c r="E108" s="34">
        <v>45</v>
      </c>
      <c r="F108" s="3">
        <f t="shared" si="11"/>
        <v>2160</v>
      </c>
    </row>
    <row r="109" spans="1:6" x14ac:dyDescent="0.25">
      <c r="B109" s="44" t="s">
        <v>272</v>
      </c>
      <c r="C109" s="6"/>
      <c r="D109" s="6"/>
      <c r="E109" s="21"/>
      <c r="F109" s="42">
        <f>SUM(F104:F108)</f>
        <v>63520</v>
      </c>
    </row>
    <row r="111" spans="1:6" x14ac:dyDescent="0.25">
      <c r="A111" s="45" t="s">
        <v>17</v>
      </c>
      <c r="B111" s="61" t="s">
        <v>60</v>
      </c>
      <c r="C111" s="41"/>
      <c r="D111" s="41"/>
      <c r="E111" s="62"/>
      <c r="F111" s="41"/>
    </row>
    <row r="112" spans="1:6" ht="250.8" x14ac:dyDescent="0.25">
      <c r="A112" s="32" t="s">
        <v>42</v>
      </c>
      <c r="B112" s="59" t="s">
        <v>733</v>
      </c>
    </row>
    <row r="113" spans="1:6" ht="39.6" x14ac:dyDescent="0.25">
      <c r="A113" s="32" t="s">
        <v>61</v>
      </c>
      <c r="B113" s="59" t="s">
        <v>711</v>
      </c>
      <c r="C113" s="2" t="s">
        <v>8</v>
      </c>
      <c r="D113" s="51">
        <v>2</v>
      </c>
      <c r="E113" s="34">
        <v>600</v>
      </c>
      <c r="F113" s="3">
        <f t="shared" ref="F113:F121" si="12">D113*$E113</f>
        <v>1200</v>
      </c>
    </row>
    <row r="114" spans="1:6" ht="39.6" x14ac:dyDescent="0.25">
      <c r="A114" s="32" t="s">
        <v>62</v>
      </c>
      <c r="B114" s="59" t="s">
        <v>712</v>
      </c>
      <c r="C114" s="2" t="s">
        <v>8</v>
      </c>
      <c r="D114" s="51">
        <v>2</v>
      </c>
      <c r="E114" s="34">
        <v>600</v>
      </c>
      <c r="F114" s="3">
        <f t="shared" si="12"/>
        <v>1200</v>
      </c>
    </row>
    <row r="115" spans="1:6" ht="39.6" x14ac:dyDescent="0.25">
      <c r="A115" s="32" t="s">
        <v>63</v>
      </c>
      <c r="B115" s="59" t="s">
        <v>713</v>
      </c>
      <c r="C115" s="2" t="s">
        <v>8</v>
      </c>
      <c r="D115" s="51">
        <v>2</v>
      </c>
      <c r="E115" s="34">
        <v>1100</v>
      </c>
      <c r="F115" s="3">
        <f t="shared" si="12"/>
        <v>2200</v>
      </c>
    </row>
    <row r="116" spans="1:6" ht="39.6" x14ac:dyDescent="0.25">
      <c r="A116" s="32" t="s">
        <v>64</v>
      </c>
      <c r="B116" s="59" t="s">
        <v>714</v>
      </c>
      <c r="C116" s="2" t="s">
        <v>8</v>
      </c>
      <c r="D116" s="51">
        <v>2</v>
      </c>
      <c r="E116" s="34">
        <v>1100</v>
      </c>
      <c r="F116" s="3">
        <f t="shared" si="12"/>
        <v>2200</v>
      </c>
    </row>
    <row r="117" spans="1:6" ht="277.2" x14ac:dyDescent="0.25">
      <c r="A117" s="32" t="s">
        <v>57</v>
      </c>
      <c r="B117" s="59" t="s">
        <v>694</v>
      </c>
      <c r="D117" s="51"/>
    </row>
    <row r="118" spans="1:6" ht="26.4" x14ac:dyDescent="0.25">
      <c r="A118" s="32" t="s">
        <v>61</v>
      </c>
      <c r="B118" s="59" t="s">
        <v>715</v>
      </c>
      <c r="C118" s="2" t="s">
        <v>8</v>
      </c>
      <c r="D118" s="51">
        <v>4</v>
      </c>
      <c r="E118" s="34">
        <v>1200</v>
      </c>
      <c r="F118" s="3">
        <f t="shared" ref="F118" si="13">D118*$E118</f>
        <v>4800</v>
      </c>
    </row>
    <row r="119" spans="1:6" ht="132" x14ac:dyDescent="0.25">
      <c r="A119" s="32" t="s">
        <v>58</v>
      </c>
      <c r="B119" s="59" t="s">
        <v>695</v>
      </c>
      <c r="C119" s="2" t="s">
        <v>8</v>
      </c>
      <c r="D119" s="51">
        <v>2</v>
      </c>
      <c r="E119" s="34">
        <v>1400</v>
      </c>
      <c r="F119" s="3">
        <f t="shared" si="12"/>
        <v>2800</v>
      </c>
    </row>
    <row r="120" spans="1:6" ht="132" x14ac:dyDescent="0.25">
      <c r="A120" s="32" t="s">
        <v>120</v>
      </c>
      <c r="B120" s="59" t="s">
        <v>721</v>
      </c>
      <c r="C120" s="2" t="s">
        <v>8</v>
      </c>
      <c r="D120" s="51">
        <v>2</v>
      </c>
      <c r="E120" s="34">
        <v>4000</v>
      </c>
      <c r="F120" s="3">
        <f t="shared" si="12"/>
        <v>8000</v>
      </c>
    </row>
    <row r="121" spans="1:6" ht="118.8" x14ac:dyDescent="0.25">
      <c r="A121" s="32" t="s">
        <v>121</v>
      </c>
      <c r="B121" s="59" t="s">
        <v>697</v>
      </c>
      <c r="C121" s="2" t="s">
        <v>10</v>
      </c>
      <c r="D121" s="3">
        <v>23</v>
      </c>
      <c r="E121" s="34">
        <v>30</v>
      </c>
      <c r="F121" s="3">
        <f t="shared" si="12"/>
        <v>690</v>
      </c>
    </row>
    <row r="122" spans="1:6" x14ac:dyDescent="0.25">
      <c r="B122" s="44" t="s">
        <v>273</v>
      </c>
      <c r="C122" s="6"/>
      <c r="D122" s="6"/>
      <c r="E122" s="21"/>
      <c r="F122" s="42">
        <f>SUM(F113:F121)</f>
        <v>23090</v>
      </c>
    </row>
    <row r="124" spans="1:6" x14ac:dyDescent="0.25">
      <c r="A124" s="45" t="s">
        <v>18</v>
      </c>
      <c r="B124" s="61" t="s">
        <v>143</v>
      </c>
      <c r="C124" s="41"/>
      <c r="D124" s="41"/>
      <c r="E124" s="62"/>
      <c r="F124" s="41"/>
    </row>
    <row r="125" spans="1:6" ht="52.8" x14ac:dyDescent="0.25">
      <c r="A125" s="32" t="s">
        <v>47</v>
      </c>
      <c r="B125" s="59" t="s">
        <v>274</v>
      </c>
      <c r="C125" s="2" t="s">
        <v>7</v>
      </c>
      <c r="D125" s="3">
        <v>145</v>
      </c>
      <c r="E125" s="34">
        <v>3</v>
      </c>
      <c r="F125" s="3">
        <f t="shared" ref="F125:F131" si="14">D125*$E125</f>
        <v>435</v>
      </c>
    </row>
    <row r="126" spans="1:6" ht="39.6" x14ac:dyDescent="0.25">
      <c r="A126" s="32" t="s">
        <v>48</v>
      </c>
      <c r="B126" s="1" t="s">
        <v>275</v>
      </c>
      <c r="C126" s="2" t="s">
        <v>7</v>
      </c>
      <c r="D126" s="3">
        <v>145</v>
      </c>
      <c r="E126" s="34">
        <v>3</v>
      </c>
      <c r="F126" s="3">
        <f t="shared" si="14"/>
        <v>435</v>
      </c>
    </row>
    <row r="127" spans="1:6" ht="66" x14ac:dyDescent="0.25">
      <c r="A127" s="32" t="s">
        <v>49</v>
      </c>
      <c r="B127" s="1" t="s">
        <v>276</v>
      </c>
      <c r="C127" s="2" t="s">
        <v>7</v>
      </c>
      <c r="D127" s="3">
        <v>30</v>
      </c>
      <c r="E127" s="34">
        <v>10</v>
      </c>
      <c r="F127" s="3">
        <f t="shared" si="14"/>
        <v>300</v>
      </c>
    </row>
    <row r="128" spans="1:6" ht="39.6" x14ac:dyDescent="0.25">
      <c r="A128" s="32" t="s">
        <v>50</v>
      </c>
      <c r="B128" s="1" t="s">
        <v>277</v>
      </c>
      <c r="C128" s="2" t="s">
        <v>7</v>
      </c>
      <c r="D128" s="3">
        <v>390</v>
      </c>
      <c r="E128" s="34">
        <v>3</v>
      </c>
      <c r="F128" s="3">
        <f t="shared" si="14"/>
        <v>1170</v>
      </c>
    </row>
    <row r="129" spans="1:6" ht="39.6" x14ac:dyDescent="0.25">
      <c r="A129" s="32" t="s">
        <v>127</v>
      </c>
      <c r="B129" s="1" t="s">
        <v>278</v>
      </c>
      <c r="C129" s="2" t="s">
        <v>7</v>
      </c>
      <c r="D129" s="3">
        <v>325</v>
      </c>
      <c r="E129" s="34">
        <v>15</v>
      </c>
      <c r="F129" s="3">
        <f t="shared" si="14"/>
        <v>4875</v>
      </c>
    </row>
    <row r="130" spans="1:6" ht="145.19999999999999" x14ac:dyDescent="0.25">
      <c r="A130" s="32" t="s">
        <v>128</v>
      </c>
      <c r="B130" s="1" t="s">
        <v>279</v>
      </c>
      <c r="C130" s="2" t="s">
        <v>7</v>
      </c>
      <c r="D130" s="3">
        <v>35</v>
      </c>
      <c r="E130" s="34">
        <v>70</v>
      </c>
      <c r="F130" s="3">
        <f t="shared" si="14"/>
        <v>2450</v>
      </c>
    </row>
    <row r="131" spans="1:6" ht="303.60000000000002" x14ac:dyDescent="0.25">
      <c r="A131" s="32" t="s">
        <v>129</v>
      </c>
      <c r="B131" s="59" t="s">
        <v>280</v>
      </c>
      <c r="C131" s="2" t="s">
        <v>7</v>
      </c>
      <c r="D131" s="3">
        <v>450</v>
      </c>
      <c r="E131" s="34">
        <v>55</v>
      </c>
      <c r="F131" s="3">
        <f t="shared" si="14"/>
        <v>24750</v>
      </c>
    </row>
    <row r="132" spans="1:6" x14ac:dyDescent="0.25">
      <c r="B132" s="44" t="s">
        <v>281</v>
      </c>
      <c r="C132" s="6"/>
      <c r="D132" s="6"/>
      <c r="E132" s="21"/>
      <c r="F132" s="42">
        <f>SUM(F125:F131)</f>
        <v>34415</v>
      </c>
    </row>
    <row r="134" spans="1:6" x14ac:dyDescent="0.25">
      <c r="A134" s="45" t="s">
        <v>19</v>
      </c>
      <c r="B134" s="61" t="s">
        <v>282</v>
      </c>
      <c r="C134" s="41"/>
      <c r="D134" s="41"/>
      <c r="E134" s="62"/>
      <c r="F134" s="41"/>
    </row>
    <row r="135" spans="1:6" ht="409.6" x14ac:dyDescent="0.25">
      <c r="A135" s="32" t="s">
        <v>51</v>
      </c>
      <c r="B135" s="59" t="s">
        <v>742</v>
      </c>
    </row>
    <row r="136" spans="1:6" x14ac:dyDescent="0.25">
      <c r="A136" s="32" t="s">
        <v>61</v>
      </c>
      <c r="B136" s="1" t="s">
        <v>283</v>
      </c>
      <c r="C136" s="2" t="s">
        <v>7</v>
      </c>
      <c r="D136" s="3">
        <v>654</v>
      </c>
      <c r="E136" s="34">
        <v>55</v>
      </c>
      <c r="F136" s="3">
        <f t="shared" ref="F136:F139" si="15">D136*$E136</f>
        <v>35970</v>
      </c>
    </row>
    <row r="137" spans="1:6" ht="26.4" x14ac:dyDescent="0.25">
      <c r="A137" s="32" t="s">
        <v>62</v>
      </c>
      <c r="B137" s="1" t="s">
        <v>743</v>
      </c>
      <c r="C137" s="2" t="s">
        <v>10</v>
      </c>
      <c r="D137" s="3">
        <v>120</v>
      </c>
      <c r="E137" s="34">
        <v>18</v>
      </c>
      <c r="F137" s="3">
        <f t="shared" si="15"/>
        <v>2160</v>
      </c>
    </row>
    <row r="138" spans="1:6" ht="79.2" x14ac:dyDescent="0.25">
      <c r="A138" s="32" t="s">
        <v>140</v>
      </c>
      <c r="B138" s="1" t="s">
        <v>284</v>
      </c>
      <c r="C138" s="2" t="s">
        <v>7</v>
      </c>
      <c r="D138" s="3">
        <v>654</v>
      </c>
      <c r="E138" s="34">
        <v>20</v>
      </c>
      <c r="F138" s="3">
        <f t="shared" si="15"/>
        <v>13080</v>
      </c>
    </row>
    <row r="139" spans="1:6" ht="66" x14ac:dyDescent="0.25">
      <c r="A139" s="32" t="s">
        <v>747</v>
      </c>
      <c r="B139" s="1" t="s">
        <v>748</v>
      </c>
      <c r="C139" s="2" t="s">
        <v>10</v>
      </c>
      <c r="D139" s="3">
        <v>225</v>
      </c>
      <c r="E139" s="34">
        <v>9.5</v>
      </c>
      <c r="F139" s="3">
        <f t="shared" si="15"/>
        <v>2137.5</v>
      </c>
    </row>
    <row r="140" spans="1:6" x14ac:dyDescent="0.25">
      <c r="B140" s="44" t="s">
        <v>285</v>
      </c>
      <c r="C140" s="6"/>
      <c r="D140" s="6"/>
      <c r="E140" s="21"/>
      <c r="F140" s="42">
        <f>SUM(F136:F139)</f>
        <v>53347.5</v>
      </c>
    </row>
    <row r="142" spans="1:6" x14ac:dyDescent="0.25">
      <c r="A142" s="45" t="s">
        <v>66</v>
      </c>
      <c r="B142" s="61" t="s">
        <v>286</v>
      </c>
      <c r="C142" s="41"/>
      <c r="D142" s="41"/>
      <c r="E142" s="62"/>
      <c r="F142" s="41"/>
    </row>
    <row r="143" spans="1:6" x14ac:dyDescent="0.25">
      <c r="A143" s="32" t="s">
        <v>67</v>
      </c>
      <c r="B143" s="59" t="s">
        <v>287</v>
      </c>
      <c r="C143" s="2" t="s">
        <v>7</v>
      </c>
      <c r="D143" s="3">
        <v>525</v>
      </c>
      <c r="E143" s="34">
        <v>3</v>
      </c>
      <c r="F143" s="3">
        <f t="shared" ref="F143" si="16">D143*$E143</f>
        <v>1575</v>
      </c>
    </row>
    <row r="144" spans="1:6" ht="52.8" x14ac:dyDescent="0.25">
      <c r="A144" s="32" t="s">
        <v>68</v>
      </c>
      <c r="B144" s="1" t="s">
        <v>292</v>
      </c>
      <c r="D144" s="51"/>
    </row>
    <row r="145" spans="1:6" x14ac:dyDescent="0.25">
      <c r="A145" s="32" t="s">
        <v>61</v>
      </c>
      <c r="B145" s="1" t="s">
        <v>288</v>
      </c>
      <c r="C145" s="2" t="s">
        <v>9</v>
      </c>
      <c r="D145" s="3">
        <v>40</v>
      </c>
      <c r="E145" s="34">
        <v>30</v>
      </c>
      <c r="F145" s="3">
        <f t="shared" ref="F145:F148" si="17">D145*$E145</f>
        <v>1200</v>
      </c>
    </row>
    <row r="146" spans="1:6" x14ac:dyDescent="0.25">
      <c r="A146" s="32" t="s">
        <v>62</v>
      </c>
      <c r="B146" s="1" t="s">
        <v>289</v>
      </c>
      <c r="C146" s="2" t="s">
        <v>10</v>
      </c>
      <c r="D146" s="3">
        <v>75</v>
      </c>
      <c r="E146" s="34">
        <v>25</v>
      </c>
      <c r="F146" s="3">
        <f t="shared" si="17"/>
        <v>1875</v>
      </c>
    </row>
    <row r="147" spans="1:6" x14ac:dyDescent="0.25">
      <c r="A147" s="32" t="s">
        <v>63</v>
      </c>
      <c r="B147" s="1" t="s">
        <v>290</v>
      </c>
      <c r="C147" s="2" t="s">
        <v>9</v>
      </c>
      <c r="D147" s="3">
        <v>15</v>
      </c>
      <c r="E147" s="34">
        <v>20</v>
      </c>
      <c r="F147" s="3">
        <f t="shared" si="17"/>
        <v>300</v>
      </c>
    </row>
    <row r="148" spans="1:6" x14ac:dyDescent="0.25">
      <c r="A148" s="32" t="s">
        <v>64</v>
      </c>
      <c r="B148" s="1" t="s">
        <v>291</v>
      </c>
      <c r="C148" s="2" t="s">
        <v>9</v>
      </c>
      <c r="D148" s="3">
        <v>25</v>
      </c>
      <c r="E148" s="34">
        <v>20</v>
      </c>
      <c r="F148" s="3">
        <f t="shared" si="17"/>
        <v>500</v>
      </c>
    </row>
    <row r="149" spans="1:6" ht="66" x14ac:dyDescent="0.25">
      <c r="A149" s="32" t="s">
        <v>75</v>
      </c>
      <c r="B149" s="1" t="s">
        <v>293</v>
      </c>
      <c r="D149" s="51"/>
    </row>
    <row r="150" spans="1:6" x14ac:dyDescent="0.25">
      <c r="A150" s="32" t="s">
        <v>61</v>
      </c>
      <c r="B150" s="1" t="s">
        <v>288</v>
      </c>
      <c r="C150" s="2" t="s">
        <v>9</v>
      </c>
      <c r="D150" s="3">
        <v>40</v>
      </c>
      <c r="E150" s="34">
        <v>30</v>
      </c>
      <c r="F150" s="3">
        <f t="shared" ref="F150:F156" si="18">D150*$E150</f>
        <v>1200</v>
      </c>
    </row>
    <row r="151" spans="1:6" x14ac:dyDescent="0.25">
      <c r="A151" s="32" t="s">
        <v>62</v>
      </c>
      <c r="B151" s="1" t="s">
        <v>289</v>
      </c>
      <c r="C151" s="2" t="s">
        <v>10</v>
      </c>
      <c r="D151" s="3">
        <v>75</v>
      </c>
      <c r="E151" s="34">
        <v>25</v>
      </c>
      <c r="F151" s="3">
        <f t="shared" si="18"/>
        <v>1875</v>
      </c>
    </row>
    <row r="152" spans="1:6" x14ac:dyDescent="0.25">
      <c r="A152" s="32" t="s">
        <v>63</v>
      </c>
      <c r="B152" s="1" t="s">
        <v>290</v>
      </c>
      <c r="C152" s="2" t="s">
        <v>9</v>
      </c>
      <c r="D152" s="3">
        <v>15</v>
      </c>
      <c r="E152" s="34">
        <v>20</v>
      </c>
      <c r="F152" s="3">
        <f t="shared" si="18"/>
        <v>300</v>
      </c>
    </row>
    <row r="153" spans="1:6" x14ac:dyDescent="0.25">
      <c r="A153" s="32" t="s">
        <v>64</v>
      </c>
      <c r="B153" s="1" t="s">
        <v>291</v>
      </c>
      <c r="C153" s="2" t="s">
        <v>9</v>
      </c>
      <c r="D153" s="3">
        <v>25</v>
      </c>
      <c r="E153" s="34">
        <v>20</v>
      </c>
      <c r="F153" s="3">
        <f t="shared" si="18"/>
        <v>500</v>
      </c>
    </row>
    <row r="154" spans="1:6" ht="224.4" x14ac:dyDescent="0.25">
      <c r="A154" s="32" t="s">
        <v>77</v>
      </c>
      <c r="B154" s="1" t="s">
        <v>688</v>
      </c>
      <c r="C154" s="2" t="s">
        <v>7</v>
      </c>
      <c r="D154" s="3">
        <v>550</v>
      </c>
      <c r="E154" s="34">
        <v>18</v>
      </c>
      <c r="F154" s="3">
        <f t="shared" si="18"/>
        <v>9900</v>
      </c>
    </row>
    <row r="155" spans="1:6" ht="264" x14ac:dyDescent="0.25">
      <c r="A155" s="32" t="s">
        <v>141</v>
      </c>
      <c r="B155" s="1" t="s">
        <v>689</v>
      </c>
      <c r="C155" s="2" t="s">
        <v>7</v>
      </c>
      <c r="D155" s="3">
        <v>550</v>
      </c>
      <c r="E155" s="34">
        <v>15</v>
      </c>
      <c r="F155" s="3">
        <f t="shared" si="18"/>
        <v>8250</v>
      </c>
    </row>
    <row r="156" spans="1:6" ht="132" x14ac:dyDescent="0.25">
      <c r="A156" s="32" t="s">
        <v>142</v>
      </c>
      <c r="B156" s="59" t="s">
        <v>294</v>
      </c>
      <c r="C156" s="2" t="s">
        <v>10</v>
      </c>
      <c r="D156" s="3">
        <v>38</v>
      </c>
      <c r="E156" s="34">
        <v>40</v>
      </c>
      <c r="F156" s="3">
        <f t="shared" si="18"/>
        <v>1520</v>
      </c>
    </row>
    <row r="157" spans="1:6" x14ac:dyDescent="0.25">
      <c r="B157" s="44" t="s">
        <v>295</v>
      </c>
      <c r="C157" s="6"/>
      <c r="D157" s="6"/>
      <c r="E157" s="21"/>
      <c r="F157" s="42">
        <f>SUM(F143:F156)</f>
        <v>28995</v>
      </c>
    </row>
    <row r="160" spans="1:6" x14ac:dyDescent="0.25">
      <c r="A160" s="45" t="s">
        <v>20</v>
      </c>
      <c r="B160" s="23" t="s">
        <v>98</v>
      </c>
    </row>
    <row r="162" spans="1:6" x14ac:dyDescent="0.25">
      <c r="A162" s="45" t="s">
        <v>6</v>
      </c>
      <c r="B162" s="19" t="s">
        <v>82</v>
      </c>
      <c r="C162" s="22"/>
      <c r="D162" s="42"/>
      <c r="E162" s="49"/>
      <c r="F162" s="42">
        <f>SUM(F8)</f>
        <v>5500</v>
      </c>
    </row>
    <row r="163" spans="1:6" x14ac:dyDescent="0.25">
      <c r="A163" s="45" t="s">
        <v>11</v>
      </c>
      <c r="B163" s="19" t="s">
        <v>196</v>
      </c>
      <c r="C163" s="22"/>
      <c r="D163" s="42"/>
      <c r="E163" s="49"/>
      <c r="F163" s="42">
        <f>SUM(F27)</f>
        <v>38270</v>
      </c>
    </row>
    <row r="164" spans="1:6" x14ac:dyDescent="0.25">
      <c r="A164" s="45" t="s">
        <v>12</v>
      </c>
      <c r="B164" s="19" t="s">
        <v>65</v>
      </c>
      <c r="C164" s="22"/>
      <c r="D164" s="42"/>
      <c r="E164" s="49"/>
      <c r="F164" s="42">
        <f>SUM(F42)</f>
        <v>6010</v>
      </c>
    </row>
    <row r="165" spans="1:6" x14ac:dyDescent="0.25">
      <c r="A165" s="45" t="s">
        <v>13</v>
      </c>
      <c r="B165" s="19" t="s">
        <v>222</v>
      </c>
      <c r="C165" s="22"/>
      <c r="D165" s="42"/>
      <c r="E165" s="49"/>
      <c r="F165" s="42">
        <f>SUM(F72)</f>
        <v>46293</v>
      </c>
    </row>
    <row r="166" spans="1:6" x14ac:dyDescent="0.25">
      <c r="A166" s="45" t="s">
        <v>14</v>
      </c>
      <c r="B166" s="19" t="s">
        <v>235</v>
      </c>
      <c r="C166" s="22"/>
      <c r="D166" s="42"/>
      <c r="E166" s="49"/>
      <c r="F166" s="42">
        <f>SUM(F81)</f>
        <v>30390</v>
      </c>
    </row>
    <row r="167" spans="1:6" x14ac:dyDescent="0.25">
      <c r="A167" s="45" t="s">
        <v>15</v>
      </c>
      <c r="B167" s="19" t="s">
        <v>241</v>
      </c>
      <c r="C167" s="22"/>
      <c r="D167" s="42"/>
      <c r="E167" s="49"/>
      <c r="F167" s="42">
        <f>SUM(F101)</f>
        <v>66674</v>
      </c>
    </row>
    <row r="168" spans="1:6" x14ac:dyDescent="0.25">
      <c r="A168" s="45" t="s">
        <v>16</v>
      </c>
      <c r="B168" s="19" t="s">
        <v>261</v>
      </c>
      <c r="C168" s="22"/>
      <c r="D168" s="42"/>
      <c r="E168" s="47"/>
      <c r="F168" s="48">
        <f>SUM(F109)</f>
        <v>63520</v>
      </c>
    </row>
    <row r="169" spans="1:6" x14ac:dyDescent="0.25">
      <c r="A169" s="45" t="s">
        <v>17</v>
      </c>
      <c r="B169" s="19" t="s">
        <v>60</v>
      </c>
      <c r="C169" s="22"/>
      <c r="D169" s="42"/>
      <c r="E169" s="47"/>
      <c r="F169" s="48">
        <f>SUM(F122)</f>
        <v>23090</v>
      </c>
    </row>
    <row r="170" spans="1:6" x14ac:dyDescent="0.25">
      <c r="A170" s="45" t="s">
        <v>18</v>
      </c>
      <c r="B170" s="19" t="s">
        <v>143</v>
      </c>
      <c r="C170" s="22"/>
      <c r="D170" s="42"/>
      <c r="E170" s="47"/>
      <c r="F170" s="48">
        <f>SUM(F132)</f>
        <v>34415</v>
      </c>
    </row>
    <row r="171" spans="1:6" x14ac:dyDescent="0.25">
      <c r="A171" s="45" t="s">
        <v>19</v>
      </c>
      <c r="B171" s="19" t="s">
        <v>282</v>
      </c>
      <c r="C171" s="22"/>
      <c r="D171" s="42"/>
      <c r="E171" s="47"/>
      <c r="F171" s="48">
        <f>SUM(F140)</f>
        <v>53347.5</v>
      </c>
    </row>
    <row r="172" spans="1:6" x14ac:dyDescent="0.25">
      <c r="A172" s="45" t="s">
        <v>66</v>
      </c>
      <c r="B172" s="19" t="s">
        <v>286</v>
      </c>
      <c r="C172" s="22"/>
      <c r="D172" s="42"/>
      <c r="E172" s="47"/>
      <c r="F172" s="48">
        <f>SUM(F157)</f>
        <v>28995</v>
      </c>
    </row>
    <row r="173" spans="1:6" x14ac:dyDescent="0.25">
      <c r="A173" s="45"/>
      <c r="B173" s="19"/>
      <c r="C173" s="22"/>
      <c r="D173" s="42"/>
      <c r="E173" s="47"/>
      <c r="F173" s="42"/>
    </row>
    <row r="174" spans="1:6" x14ac:dyDescent="0.25">
      <c r="A174" s="45"/>
      <c r="B174" s="35" t="s">
        <v>99</v>
      </c>
      <c r="C174" s="22"/>
      <c r="D174" s="42"/>
      <c r="E174" s="49"/>
      <c r="F174" s="42">
        <f>SUM(F162:F172)</f>
        <v>396504.5</v>
      </c>
    </row>
    <row r="175" spans="1:6" x14ac:dyDescent="0.25">
      <c r="B175" s="50"/>
      <c r="E175" s="46"/>
    </row>
    <row r="176" spans="1:6" x14ac:dyDescent="0.25">
      <c r="B176" s="50"/>
      <c r="E176" s="46"/>
    </row>
    <row r="177" spans="1:6" x14ac:dyDescent="0.25">
      <c r="A177" s="45" t="s">
        <v>45</v>
      </c>
      <c r="B177" s="23" t="s">
        <v>296</v>
      </c>
    </row>
    <row r="178" spans="1:6" x14ac:dyDescent="0.25">
      <c r="A178" s="45"/>
      <c r="B178" s="19"/>
    </row>
    <row r="179" spans="1:6" x14ac:dyDescent="0.25">
      <c r="A179" s="45" t="s">
        <v>6</v>
      </c>
      <c r="B179" s="61" t="s">
        <v>144</v>
      </c>
      <c r="C179" s="41"/>
      <c r="D179" s="41"/>
      <c r="E179" s="62"/>
      <c r="F179" s="41"/>
    </row>
    <row r="180" spans="1:6" x14ac:dyDescent="0.25">
      <c r="A180" s="66"/>
      <c r="B180" s="59" t="s">
        <v>326</v>
      </c>
      <c r="D180" s="51"/>
    </row>
    <row r="181" spans="1:6" ht="52.8" x14ac:dyDescent="0.25">
      <c r="A181" s="66" t="s">
        <v>21</v>
      </c>
      <c r="B181" s="59" t="s">
        <v>726</v>
      </c>
      <c r="C181" s="2" t="s">
        <v>8</v>
      </c>
      <c r="D181" s="51">
        <v>1</v>
      </c>
      <c r="E181" s="34">
        <v>250</v>
      </c>
      <c r="F181" s="3">
        <f t="shared" ref="F181" si="19">D181*$E181</f>
        <v>250</v>
      </c>
    </row>
    <row r="182" spans="1:6" ht="52.8" x14ac:dyDescent="0.25">
      <c r="A182" s="66" t="s">
        <v>22</v>
      </c>
      <c r="B182" s="67" t="s">
        <v>328</v>
      </c>
      <c r="D182" s="51"/>
    </row>
    <row r="183" spans="1:6" x14ac:dyDescent="0.25">
      <c r="A183" s="66" t="s">
        <v>61</v>
      </c>
      <c r="B183" s="67" t="s">
        <v>329</v>
      </c>
      <c r="C183" s="2" t="s">
        <v>10</v>
      </c>
      <c r="D183" s="3">
        <v>22</v>
      </c>
      <c r="E183" s="34">
        <v>36</v>
      </c>
      <c r="F183" s="3">
        <f>D183*$E183</f>
        <v>792</v>
      </c>
    </row>
    <row r="184" spans="1:6" x14ac:dyDescent="0.25">
      <c r="A184" s="66" t="s">
        <v>62</v>
      </c>
      <c r="B184" s="67" t="s">
        <v>330</v>
      </c>
      <c r="C184" s="2" t="s">
        <v>10</v>
      </c>
      <c r="D184" s="3">
        <v>63</v>
      </c>
      <c r="E184" s="34">
        <v>50</v>
      </c>
      <c r="F184" s="3">
        <f>D184*$E184</f>
        <v>3150</v>
      </c>
    </row>
    <row r="185" spans="1:6" ht="105.6" x14ac:dyDescent="0.25">
      <c r="A185" s="66" t="s">
        <v>23</v>
      </c>
      <c r="B185" s="67" t="s">
        <v>331</v>
      </c>
      <c r="C185" s="2" t="s">
        <v>8</v>
      </c>
      <c r="D185" s="51">
        <v>4</v>
      </c>
      <c r="E185" s="34">
        <v>350</v>
      </c>
      <c r="F185" s="3">
        <f t="shared" ref="F185" si="20">D185*$E185</f>
        <v>1400</v>
      </c>
    </row>
    <row r="186" spans="1:6" ht="132" x14ac:dyDescent="0.25">
      <c r="A186" s="66" t="s">
        <v>24</v>
      </c>
      <c r="B186" s="67" t="s">
        <v>728</v>
      </c>
    </row>
    <row r="187" spans="1:6" x14ac:dyDescent="0.25">
      <c r="A187" s="66" t="s">
        <v>61</v>
      </c>
      <c r="B187" s="67" t="s">
        <v>329</v>
      </c>
      <c r="C187" s="2" t="s">
        <v>10</v>
      </c>
      <c r="D187" s="3">
        <v>22</v>
      </c>
      <c r="E187" s="34">
        <v>8</v>
      </c>
      <c r="F187" s="3">
        <f>D187*$E187</f>
        <v>176</v>
      </c>
    </row>
    <row r="188" spans="1:6" x14ac:dyDescent="0.25">
      <c r="A188" s="66" t="s">
        <v>62</v>
      </c>
      <c r="B188" s="67" t="s">
        <v>330</v>
      </c>
      <c r="C188" s="2" t="s">
        <v>10</v>
      </c>
      <c r="D188" s="3">
        <v>63</v>
      </c>
      <c r="E188" s="34">
        <v>10</v>
      </c>
      <c r="F188" s="3">
        <f>D188*$E188</f>
        <v>630</v>
      </c>
    </row>
    <row r="189" spans="1:6" x14ac:dyDescent="0.25">
      <c r="A189" s="66" t="s">
        <v>25</v>
      </c>
      <c r="B189" s="59" t="s">
        <v>332</v>
      </c>
      <c r="C189" s="2" t="s">
        <v>46</v>
      </c>
      <c r="D189" s="51">
        <v>1</v>
      </c>
      <c r="E189" s="34">
        <v>256</v>
      </c>
      <c r="F189" s="3">
        <f t="shared" ref="F189:F193" si="21">D189*$E189</f>
        <v>256</v>
      </c>
    </row>
    <row r="190" spans="1:6" ht="26.4" x14ac:dyDescent="0.25">
      <c r="A190" s="66" t="s">
        <v>145</v>
      </c>
      <c r="B190" s="59" t="s">
        <v>320</v>
      </c>
      <c r="C190" s="2" t="s">
        <v>46</v>
      </c>
      <c r="D190" s="51">
        <v>4</v>
      </c>
      <c r="E190" s="34">
        <v>80</v>
      </c>
      <c r="F190" s="3">
        <f t="shared" si="21"/>
        <v>320</v>
      </c>
    </row>
    <row r="191" spans="1:6" ht="26.4" x14ac:dyDescent="0.25">
      <c r="A191" s="66" t="s">
        <v>146</v>
      </c>
      <c r="B191" s="59" t="s">
        <v>333</v>
      </c>
      <c r="C191" s="2" t="s">
        <v>46</v>
      </c>
      <c r="D191" s="51">
        <v>1</v>
      </c>
      <c r="E191" s="34">
        <v>200</v>
      </c>
      <c r="F191" s="3">
        <f t="shared" si="21"/>
        <v>200</v>
      </c>
    </row>
    <row r="192" spans="1:6" x14ac:dyDescent="0.25">
      <c r="A192" s="66" t="s">
        <v>147</v>
      </c>
      <c r="B192" s="59" t="s">
        <v>334</v>
      </c>
      <c r="C192" s="2" t="s">
        <v>46</v>
      </c>
      <c r="D192" s="51">
        <v>1</v>
      </c>
      <c r="E192" s="34">
        <v>150</v>
      </c>
      <c r="F192" s="3">
        <f t="shared" si="21"/>
        <v>150</v>
      </c>
    </row>
    <row r="193" spans="1:6" ht="39.6" x14ac:dyDescent="0.25">
      <c r="A193" s="32" t="s">
        <v>148</v>
      </c>
      <c r="B193" s="59" t="s">
        <v>725</v>
      </c>
      <c r="C193" s="2" t="s">
        <v>46</v>
      </c>
      <c r="D193" s="51">
        <v>1</v>
      </c>
      <c r="E193" s="34">
        <v>250</v>
      </c>
      <c r="F193" s="3">
        <f t="shared" si="21"/>
        <v>250</v>
      </c>
    </row>
    <row r="194" spans="1:6" x14ac:dyDescent="0.25">
      <c r="A194" s="7"/>
      <c r="B194" s="44" t="s">
        <v>156</v>
      </c>
      <c r="C194" s="6"/>
      <c r="D194" s="6"/>
      <c r="E194" s="21"/>
      <c r="F194" s="42">
        <f>SUM(F181:F193)</f>
        <v>7574</v>
      </c>
    </row>
    <row r="196" spans="1:6" x14ac:dyDescent="0.25">
      <c r="A196" s="45" t="s">
        <v>11</v>
      </c>
      <c r="B196" s="61" t="s">
        <v>336</v>
      </c>
      <c r="C196" s="41"/>
      <c r="D196" s="41"/>
      <c r="E196" s="62"/>
      <c r="F196" s="41"/>
    </row>
    <row r="197" spans="1:6" x14ac:dyDescent="0.25">
      <c r="A197" s="45"/>
      <c r="B197" s="65" t="s">
        <v>338</v>
      </c>
      <c r="C197" s="41"/>
      <c r="D197" s="41"/>
      <c r="E197" s="62"/>
      <c r="F197" s="41"/>
    </row>
    <row r="198" spans="1:6" x14ac:dyDescent="0.25">
      <c r="A198" s="32" t="s">
        <v>26</v>
      </c>
      <c r="B198" s="1" t="s">
        <v>337</v>
      </c>
      <c r="C198" s="2" t="s">
        <v>10</v>
      </c>
      <c r="D198" s="3">
        <v>36</v>
      </c>
      <c r="E198" s="34">
        <v>20</v>
      </c>
      <c r="F198" s="3">
        <f>D198*$E198</f>
        <v>720</v>
      </c>
    </row>
    <row r="199" spans="1:6" ht="79.2" x14ac:dyDescent="0.25">
      <c r="A199" s="66" t="s">
        <v>27</v>
      </c>
      <c r="B199" s="67" t="s">
        <v>339</v>
      </c>
      <c r="C199" s="2" t="s">
        <v>10</v>
      </c>
      <c r="D199" s="3">
        <v>36</v>
      </c>
      <c r="E199" s="34">
        <v>60</v>
      </c>
      <c r="F199" s="3">
        <f>D199*$E199</f>
        <v>2160</v>
      </c>
    </row>
    <row r="200" spans="1:6" x14ac:dyDescent="0.25">
      <c r="A200" s="66"/>
      <c r="B200" s="67" t="s">
        <v>340</v>
      </c>
    </row>
    <row r="201" spans="1:6" ht="52.8" x14ac:dyDescent="0.25">
      <c r="A201" s="66" t="s">
        <v>28</v>
      </c>
      <c r="B201" s="67" t="s">
        <v>729</v>
      </c>
      <c r="C201" s="2" t="s">
        <v>8</v>
      </c>
      <c r="D201" s="51">
        <v>1</v>
      </c>
      <c r="E201" s="34">
        <v>100</v>
      </c>
      <c r="F201" s="3">
        <f>D201*$E201</f>
        <v>100</v>
      </c>
    </row>
    <row r="202" spans="1:6" ht="52.8" x14ac:dyDescent="0.25">
      <c r="A202" s="66" t="s">
        <v>29</v>
      </c>
      <c r="B202" s="67" t="s">
        <v>341</v>
      </c>
    </row>
    <row r="203" spans="1:6" x14ac:dyDescent="0.25">
      <c r="A203" s="66" t="s">
        <v>61</v>
      </c>
      <c r="B203" s="67" t="s">
        <v>342</v>
      </c>
      <c r="C203" s="2" t="s">
        <v>10</v>
      </c>
      <c r="D203" s="3">
        <v>22</v>
      </c>
      <c r="E203" s="34">
        <v>8</v>
      </c>
      <c r="F203" s="3">
        <f>D203*$E203</f>
        <v>176</v>
      </c>
    </row>
    <row r="204" spans="1:6" x14ac:dyDescent="0.25">
      <c r="A204" s="66" t="s">
        <v>62</v>
      </c>
      <c r="B204" s="67" t="s">
        <v>343</v>
      </c>
      <c r="C204" s="2" t="s">
        <v>8</v>
      </c>
      <c r="D204" s="51">
        <v>8</v>
      </c>
      <c r="E204" s="34">
        <v>5</v>
      </c>
      <c r="F204" s="3">
        <f>D204*$E204</f>
        <v>40</v>
      </c>
    </row>
    <row r="205" spans="1:6" ht="52.8" x14ac:dyDescent="0.25">
      <c r="A205" s="66" t="s">
        <v>52</v>
      </c>
      <c r="B205" s="67" t="s">
        <v>344</v>
      </c>
      <c r="C205" s="2" t="s">
        <v>10</v>
      </c>
      <c r="D205" s="3">
        <v>30</v>
      </c>
      <c r="E205" s="34">
        <v>5</v>
      </c>
      <c r="F205" s="3">
        <f>D205*$E205</f>
        <v>150</v>
      </c>
    </row>
    <row r="206" spans="1:6" x14ac:dyDescent="0.25">
      <c r="A206" s="66" t="s">
        <v>76</v>
      </c>
      <c r="B206" s="67" t="s">
        <v>345</v>
      </c>
      <c r="C206" s="2" t="s">
        <v>8</v>
      </c>
      <c r="D206" s="51">
        <v>1</v>
      </c>
      <c r="E206" s="34">
        <v>80</v>
      </c>
      <c r="F206" s="3">
        <f>D206*$E206</f>
        <v>80</v>
      </c>
    </row>
    <row r="207" spans="1:6" ht="26.4" x14ac:dyDescent="0.25">
      <c r="A207" s="66" t="s">
        <v>83</v>
      </c>
      <c r="B207" s="67" t="s">
        <v>346</v>
      </c>
      <c r="C207" s="2" t="s">
        <v>46</v>
      </c>
      <c r="D207" s="51">
        <v>1</v>
      </c>
      <c r="E207" s="34">
        <v>200</v>
      </c>
      <c r="F207" s="3">
        <f t="shared" ref="F207" si="22">D207*$E207</f>
        <v>200</v>
      </c>
    </row>
    <row r="208" spans="1:6" x14ac:dyDescent="0.25">
      <c r="A208" s="7"/>
      <c r="B208" s="44" t="s">
        <v>347</v>
      </c>
      <c r="C208" s="6"/>
      <c r="D208" s="6"/>
      <c r="E208" s="21"/>
      <c r="F208" s="42">
        <f>SUM(F198:F207)</f>
        <v>3626</v>
      </c>
    </row>
    <row r="210" spans="1:6" x14ac:dyDescent="0.25">
      <c r="A210" s="35" t="s">
        <v>12</v>
      </c>
      <c r="B210" s="61" t="s">
        <v>348</v>
      </c>
      <c r="C210" s="41"/>
      <c r="D210" s="41"/>
      <c r="E210" s="62"/>
      <c r="F210" s="41"/>
    </row>
    <row r="211" spans="1:6" ht="66" x14ac:dyDescent="0.25">
      <c r="A211" s="32" t="s">
        <v>30</v>
      </c>
      <c r="B211" s="1" t="s">
        <v>349</v>
      </c>
      <c r="C211" s="2" t="s">
        <v>46</v>
      </c>
      <c r="D211" s="51">
        <v>1</v>
      </c>
      <c r="E211" s="34">
        <v>500</v>
      </c>
      <c r="F211" s="3">
        <f t="shared" ref="F211:F213" si="23">D211*$E211</f>
        <v>500</v>
      </c>
    </row>
    <row r="212" spans="1:6" ht="52.8" x14ac:dyDescent="0.25">
      <c r="A212" s="32" t="s">
        <v>31</v>
      </c>
      <c r="B212" s="1" t="s">
        <v>350</v>
      </c>
      <c r="C212" s="2" t="s">
        <v>46</v>
      </c>
      <c r="D212" s="51">
        <v>1</v>
      </c>
      <c r="E212" s="34">
        <v>400</v>
      </c>
      <c r="F212" s="3">
        <f t="shared" si="23"/>
        <v>400</v>
      </c>
    </row>
    <row r="213" spans="1:6" ht="52.8" x14ac:dyDescent="0.25">
      <c r="A213" s="32" t="s">
        <v>32</v>
      </c>
      <c r="B213" s="1" t="s">
        <v>351</v>
      </c>
      <c r="C213" s="2" t="s">
        <v>46</v>
      </c>
      <c r="D213" s="51">
        <v>1</v>
      </c>
      <c r="E213" s="34">
        <v>500</v>
      </c>
      <c r="F213" s="3">
        <f t="shared" si="23"/>
        <v>500</v>
      </c>
    </row>
    <row r="214" spans="1:6" x14ac:dyDescent="0.25">
      <c r="B214" s="44" t="s">
        <v>352</v>
      </c>
      <c r="C214" s="6"/>
      <c r="D214" s="6"/>
      <c r="E214" s="21"/>
      <c r="F214" s="42">
        <f>SUM(F211:F213)</f>
        <v>1400</v>
      </c>
    </row>
    <row r="217" spans="1:6" x14ac:dyDescent="0.25">
      <c r="A217" s="45" t="s">
        <v>45</v>
      </c>
      <c r="B217" s="23" t="s">
        <v>353</v>
      </c>
    </row>
    <row r="219" spans="1:6" x14ac:dyDescent="0.25">
      <c r="A219" s="45" t="s">
        <v>6</v>
      </c>
      <c r="B219" s="19" t="s">
        <v>144</v>
      </c>
      <c r="C219" s="22"/>
      <c r="D219" s="42"/>
      <c r="E219" s="49"/>
      <c r="F219" s="42">
        <f>SUM(F194)</f>
        <v>7574</v>
      </c>
    </row>
    <row r="220" spans="1:6" x14ac:dyDescent="0.25">
      <c r="A220" s="45" t="s">
        <v>11</v>
      </c>
      <c r="B220" s="19" t="s">
        <v>336</v>
      </c>
      <c r="C220" s="22"/>
      <c r="D220" s="42"/>
      <c r="E220" s="49"/>
      <c r="F220" s="42">
        <f>SUM(F208)</f>
        <v>3626</v>
      </c>
    </row>
    <row r="221" spans="1:6" x14ac:dyDescent="0.25">
      <c r="A221" s="45" t="s">
        <v>12</v>
      </c>
      <c r="B221" s="19" t="s">
        <v>348</v>
      </c>
      <c r="C221" s="22"/>
      <c r="D221" s="42"/>
      <c r="E221" s="49"/>
      <c r="F221" s="42">
        <f>SUM(F214)</f>
        <v>1400</v>
      </c>
    </row>
    <row r="222" spans="1:6" x14ac:dyDescent="0.25">
      <c r="A222" s="45"/>
      <c r="B222" s="19"/>
      <c r="C222" s="22"/>
      <c r="D222" s="42"/>
      <c r="E222" s="47"/>
      <c r="F222" s="42"/>
    </row>
    <row r="223" spans="1:6" x14ac:dyDescent="0.25">
      <c r="A223" s="45"/>
      <c r="B223" s="35" t="s">
        <v>354</v>
      </c>
      <c r="C223" s="22"/>
      <c r="D223" s="42"/>
      <c r="E223" s="49"/>
      <c r="F223" s="42">
        <f>SUM(F219:F221)</f>
        <v>12600</v>
      </c>
    </row>
    <row r="224" spans="1:6" x14ac:dyDescent="0.25">
      <c r="B224" s="50"/>
      <c r="E224" s="46"/>
    </row>
    <row r="225" spans="1:6" x14ac:dyDescent="0.25">
      <c r="B225" s="50"/>
      <c r="E225" s="46"/>
    </row>
    <row r="226" spans="1:6" x14ac:dyDescent="0.25">
      <c r="A226" s="45" t="s">
        <v>80</v>
      </c>
      <c r="B226" s="23" t="s">
        <v>501</v>
      </c>
      <c r="C226" s="22"/>
      <c r="D226" s="42"/>
      <c r="E226" s="49"/>
      <c r="F226" s="42"/>
    </row>
    <row r="227" spans="1:6" x14ac:dyDescent="0.25">
      <c r="A227" s="45"/>
      <c r="B227" s="23"/>
      <c r="C227" s="22"/>
      <c r="D227" s="42"/>
      <c r="E227" s="49"/>
      <c r="F227" s="42"/>
    </row>
    <row r="228" spans="1:6" x14ac:dyDescent="0.25">
      <c r="A228" s="35" t="s">
        <v>6</v>
      </c>
      <c r="B228" s="61" t="s">
        <v>158</v>
      </c>
      <c r="C228" s="41"/>
      <c r="D228" s="41"/>
      <c r="E228" s="62"/>
      <c r="F228" s="41"/>
    </row>
    <row r="229" spans="1:6" ht="132" x14ac:dyDescent="0.25">
      <c r="A229" s="35"/>
      <c r="B229" s="1" t="s">
        <v>355</v>
      </c>
      <c r="C229" s="41"/>
      <c r="D229" s="41"/>
      <c r="E229" s="62"/>
      <c r="F229" s="41"/>
    </row>
    <row r="230" spans="1:6" ht="303.60000000000002" x14ac:dyDescent="0.25">
      <c r="A230" s="32" t="s">
        <v>21</v>
      </c>
      <c r="B230" s="59" t="s">
        <v>574</v>
      </c>
      <c r="C230" s="2" t="s">
        <v>46</v>
      </c>
      <c r="D230" s="51">
        <v>1</v>
      </c>
      <c r="E230" s="34">
        <v>2691</v>
      </c>
      <c r="F230" s="3">
        <f>D230*$E230</f>
        <v>2691</v>
      </c>
    </row>
    <row r="231" spans="1:6" x14ac:dyDescent="0.25">
      <c r="B231" s="44" t="s">
        <v>159</v>
      </c>
      <c r="C231" s="6"/>
      <c r="D231" s="6"/>
      <c r="E231" s="21"/>
      <c r="F231" s="42">
        <f>SUM(F230:F230)</f>
        <v>2691</v>
      </c>
    </row>
    <row r="232" spans="1:6" x14ac:dyDescent="0.25">
      <c r="D232" s="51"/>
    </row>
    <row r="233" spans="1:6" x14ac:dyDescent="0.25">
      <c r="A233" s="35" t="s">
        <v>11</v>
      </c>
      <c r="B233" s="68" t="s">
        <v>389</v>
      </c>
      <c r="C233" s="41"/>
      <c r="D233" s="41"/>
      <c r="E233" s="62"/>
      <c r="F233" s="41"/>
    </row>
    <row r="234" spans="1:6" ht="79.2" x14ac:dyDescent="0.25">
      <c r="A234" s="7" t="s">
        <v>26</v>
      </c>
      <c r="B234" s="1" t="s">
        <v>358</v>
      </c>
    </row>
    <row r="235" spans="1:6" x14ac:dyDescent="0.25">
      <c r="A235" s="7" t="s">
        <v>61</v>
      </c>
      <c r="B235" s="1" t="s">
        <v>359</v>
      </c>
      <c r="C235" s="2" t="s">
        <v>10</v>
      </c>
      <c r="D235" s="3">
        <v>35</v>
      </c>
      <c r="E235" s="34">
        <v>4.3499999999999996</v>
      </c>
      <c r="F235" s="3">
        <f t="shared" ref="F235:F244" si="24">D235*$E235</f>
        <v>152.25</v>
      </c>
    </row>
    <row r="236" spans="1:6" x14ac:dyDescent="0.25">
      <c r="A236" s="7" t="s">
        <v>62</v>
      </c>
      <c r="B236" s="1" t="s">
        <v>360</v>
      </c>
      <c r="C236" s="2" t="s">
        <v>10</v>
      </c>
      <c r="D236" s="3">
        <v>320</v>
      </c>
      <c r="E236" s="34">
        <v>3.33</v>
      </c>
      <c r="F236" s="3">
        <f t="shared" si="24"/>
        <v>1065.5999999999999</v>
      </c>
    </row>
    <row r="237" spans="1:6" x14ac:dyDescent="0.25">
      <c r="A237" s="7" t="s">
        <v>63</v>
      </c>
      <c r="B237" s="1" t="s">
        <v>361</v>
      </c>
      <c r="C237" s="2" t="s">
        <v>10</v>
      </c>
      <c r="D237" s="3">
        <v>210</v>
      </c>
      <c r="E237" s="34">
        <v>3.98</v>
      </c>
      <c r="F237" s="3">
        <f t="shared" si="24"/>
        <v>835.8</v>
      </c>
    </row>
    <row r="238" spans="1:6" x14ac:dyDescent="0.25">
      <c r="A238" s="7" t="s">
        <v>64</v>
      </c>
      <c r="B238" s="1" t="s">
        <v>362</v>
      </c>
      <c r="C238" s="2" t="s">
        <v>10</v>
      </c>
      <c r="D238" s="3">
        <v>5</v>
      </c>
      <c r="E238" s="34">
        <v>4</v>
      </c>
      <c r="F238" s="3">
        <f t="shared" si="24"/>
        <v>20</v>
      </c>
    </row>
    <row r="239" spans="1:6" x14ac:dyDescent="0.25">
      <c r="A239" s="7" t="s">
        <v>103</v>
      </c>
      <c r="B239" s="1" t="s">
        <v>365</v>
      </c>
      <c r="C239" s="2" t="s">
        <v>10</v>
      </c>
      <c r="D239" s="3">
        <v>130</v>
      </c>
      <c r="E239" s="34">
        <v>5</v>
      </c>
      <c r="F239" s="3">
        <f t="shared" si="24"/>
        <v>650</v>
      </c>
    </row>
    <row r="240" spans="1:6" x14ac:dyDescent="0.25">
      <c r="A240" s="7" t="s">
        <v>115</v>
      </c>
      <c r="B240" s="1" t="s">
        <v>366</v>
      </c>
      <c r="C240" s="2" t="s">
        <v>10</v>
      </c>
      <c r="D240" s="3">
        <v>36</v>
      </c>
      <c r="E240" s="34">
        <v>7.99</v>
      </c>
      <c r="F240" s="3">
        <f t="shared" si="24"/>
        <v>287.64</v>
      </c>
    </row>
    <row r="241" spans="1:6" x14ac:dyDescent="0.25">
      <c r="A241" s="7" t="s">
        <v>116</v>
      </c>
      <c r="B241" s="1" t="s">
        <v>367</v>
      </c>
      <c r="C241" s="2" t="s">
        <v>10</v>
      </c>
      <c r="D241" s="3">
        <v>130</v>
      </c>
      <c r="E241" s="34">
        <v>11</v>
      </c>
      <c r="F241" s="3">
        <f t="shared" si="24"/>
        <v>1430</v>
      </c>
    </row>
    <row r="242" spans="1:6" x14ac:dyDescent="0.25">
      <c r="A242" s="7" t="s">
        <v>117</v>
      </c>
      <c r="B242" s="1" t="s">
        <v>363</v>
      </c>
      <c r="C242" s="2" t="s">
        <v>10</v>
      </c>
      <c r="D242" s="3">
        <v>34</v>
      </c>
      <c r="E242" s="34">
        <v>20</v>
      </c>
      <c r="F242" s="3">
        <f t="shared" si="24"/>
        <v>680</v>
      </c>
    </row>
    <row r="243" spans="1:6" x14ac:dyDescent="0.25">
      <c r="A243" s="7" t="s">
        <v>118</v>
      </c>
      <c r="B243" s="1" t="s">
        <v>368</v>
      </c>
      <c r="C243" s="2" t="s">
        <v>10</v>
      </c>
      <c r="D243" s="3">
        <v>30</v>
      </c>
      <c r="E243" s="34">
        <v>10</v>
      </c>
      <c r="F243" s="3">
        <f t="shared" si="24"/>
        <v>300</v>
      </c>
    </row>
    <row r="244" spans="1:6" ht="26.4" x14ac:dyDescent="0.25">
      <c r="A244" s="7" t="s">
        <v>119</v>
      </c>
      <c r="B244" s="1" t="s">
        <v>369</v>
      </c>
      <c r="C244" s="2" t="s">
        <v>10</v>
      </c>
      <c r="D244" s="3">
        <v>360</v>
      </c>
      <c r="E244" s="34">
        <v>5</v>
      </c>
      <c r="F244" s="3">
        <f t="shared" si="24"/>
        <v>1800</v>
      </c>
    </row>
    <row r="245" spans="1:6" x14ac:dyDescent="0.25">
      <c r="B245" s="44" t="s">
        <v>390</v>
      </c>
      <c r="C245" s="6"/>
      <c r="D245" s="6"/>
      <c r="E245" s="21"/>
      <c r="F245" s="42">
        <f>SUM(F235:F244)</f>
        <v>7221.2899999999991</v>
      </c>
    </row>
    <row r="246" spans="1:6" x14ac:dyDescent="0.25">
      <c r="D246" s="51"/>
    </row>
    <row r="247" spans="1:6" x14ac:dyDescent="0.25">
      <c r="A247" s="35" t="s">
        <v>12</v>
      </c>
      <c r="B247" s="68" t="s">
        <v>392</v>
      </c>
      <c r="C247" s="41"/>
      <c r="D247" s="41"/>
      <c r="E247" s="62"/>
      <c r="F247" s="41"/>
    </row>
    <row r="248" spans="1:6" ht="382.8" x14ac:dyDescent="0.25">
      <c r="A248" s="32" t="s">
        <v>30</v>
      </c>
      <c r="B248" s="1" t="s">
        <v>578</v>
      </c>
      <c r="C248" s="2" t="s">
        <v>8</v>
      </c>
      <c r="D248" s="51">
        <v>32</v>
      </c>
      <c r="E248" s="34">
        <v>140</v>
      </c>
      <c r="F248" s="3">
        <f t="shared" ref="F248:F266" si="25">D248*$E248</f>
        <v>4480</v>
      </c>
    </row>
    <row r="249" spans="1:6" ht="264" x14ac:dyDescent="0.25">
      <c r="A249" s="32" t="s">
        <v>31</v>
      </c>
      <c r="B249" s="1" t="s">
        <v>371</v>
      </c>
      <c r="D249" s="51"/>
    </row>
    <row r="250" spans="1:6" ht="184.8" x14ac:dyDescent="0.25">
      <c r="B250" s="59" t="s">
        <v>372</v>
      </c>
      <c r="C250" s="2" t="s">
        <v>8</v>
      </c>
      <c r="D250" s="51">
        <v>4</v>
      </c>
      <c r="E250" s="34">
        <v>149</v>
      </c>
      <c r="F250" s="3">
        <f t="shared" ref="F250:F251" si="26">D250*$E250</f>
        <v>596</v>
      </c>
    </row>
    <row r="251" spans="1:6" ht="277.2" x14ac:dyDescent="0.25">
      <c r="A251" s="32" t="s">
        <v>32</v>
      </c>
      <c r="B251" s="1" t="s">
        <v>373</v>
      </c>
      <c r="C251" s="2" t="s">
        <v>8</v>
      </c>
      <c r="D251" s="51">
        <v>16</v>
      </c>
      <c r="E251" s="34">
        <v>96</v>
      </c>
      <c r="F251" s="3">
        <f t="shared" si="26"/>
        <v>1536</v>
      </c>
    </row>
    <row r="252" spans="1:6" ht="303.60000000000002" x14ac:dyDescent="0.25">
      <c r="A252" s="32" t="s">
        <v>33</v>
      </c>
      <c r="B252" s="1" t="s">
        <v>374</v>
      </c>
      <c r="C252" s="2" t="s">
        <v>8</v>
      </c>
      <c r="D252" s="51">
        <v>2</v>
      </c>
      <c r="E252" s="34">
        <v>75</v>
      </c>
      <c r="F252" s="3">
        <f t="shared" si="25"/>
        <v>150</v>
      </c>
    </row>
    <row r="253" spans="1:6" ht="39.6" x14ac:dyDescent="0.25">
      <c r="A253" s="32" t="s">
        <v>53</v>
      </c>
      <c r="B253" s="1" t="s">
        <v>375</v>
      </c>
      <c r="D253" s="51"/>
    </row>
    <row r="254" spans="1:6" x14ac:dyDescent="0.25">
      <c r="A254" s="32" t="s">
        <v>61</v>
      </c>
      <c r="B254" s="59" t="s">
        <v>376</v>
      </c>
      <c r="C254" s="2" t="s">
        <v>8</v>
      </c>
      <c r="D254" s="51">
        <v>4</v>
      </c>
      <c r="E254" s="34">
        <v>18</v>
      </c>
      <c r="F254" s="3">
        <f t="shared" ref="F254:F262" si="27">D254*$E254</f>
        <v>72</v>
      </c>
    </row>
    <row r="255" spans="1:6" x14ac:dyDescent="0.25">
      <c r="A255" s="32" t="s">
        <v>62</v>
      </c>
      <c r="B255" s="1" t="s">
        <v>377</v>
      </c>
      <c r="C255" s="2" t="s">
        <v>8</v>
      </c>
      <c r="D255" s="51">
        <v>2</v>
      </c>
      <c r="E255" s="34">
        <v>25</v>
      </c>
      <c r="F255" s="3">
        <f t="shared" si="27"/>
        <v>50</v>
      </c>
    </row>
    <row r="256" spans="1:6" x14ac:dyDescent="0.25">
      <c r="A256" s="32" t="s">
        <v>63</v>
      </c>
      <c r="B256" s="1" t="s">
        <v>378</v>
      </c>
      <c r="C256" s="2" t="s">
        <v>8</v>
      </c>
      <c r="D256" s="51">
        <v>2</v>
      </c>
      <c r="E256" s="34">
        <v>28</v>
      </c>
      <c r="F256" s="3">
        <f t="shared" si="27"/>
        <v>56</v>
      </c>
    </row>
    <row r="257" spans="1:6" x14ac:dyDescent="0.25">
      <c r="A257" s="32" t="s">
        <v>64</v>
      </c>
      <c r="B257" s="1" t="s">
        <v>379</v>
      </c>
      <c r="C257" s="2" t="s">
        <v>8</v>
      </c>
      <c r="D257" s="51">
        <v>2</v>
      </c>
      <c r="E257" s="34">
        <v>31</v>
      </c>
      <c r="F257" s="3">
        <f t="shared" si="27"/>
        <v>62</v>
      </c>
    </row>
    <row r="258" spans="1:6" x14ac:dyDescent="0.25">
      <c r="A258" s="32" t="s">
        <v>103</v>
      </c>
      <c r="B258" s="1" t="s">
        <v>380</v>
      </c>
      <c r="C258" s="2" t="s">
        <v>8</v>
      </c>
      <c r="D258" s="51">
        <v>2</v>
      </c>
      <c r="E258" s="34">
        <v>32</v>
      </c>
      <c r="F258" s="3">
        <f t="shared" si="27"/>
        <v>64</v>
      </c>
    </row>
    <row r="259" spans="1:6" x14ac:dyDescent="0.25">
      <c r="A259" s="32" t="s">
        <v>115</v>
      </c>
      <c r="B259" s="1" t="s">
        <v>381</v>
      </c>
      <c r="C259" s="2" t="s">
        <v>8</v>
      </c>
      <c r="D259" s="51">
        <v>4</v>
      </c>
      <c r="E259" s="34">
        <v>15</v>
      </c>
      <c r="F259" s="3">
        <f t="shared" si="27"/>
        <v>60</v>
      </c>
    </row>
    <row r="260" spans="1:6" x14ac:dyDescent="0.25">
      <c r="A260" s="32" t="s">
        <v>116</v>
      </c>
      <c r="B260" s="1" t="s">
        <v>382</v>
      </c>
      <c r="C260" s="2" t="s">
        <v>8</v>
      </c>
      <c r="D260" s="51">
        <v>16</v>
      </c>
      <c r="E260" s="34">
        <v>15</v>
      </c>
      <c r="F260" s="3">
        <f t="shared" si="27"/>
        <v>240</v>
      </c>
    </row>
    <row r="261" spans="1:6" x14ac:dyDescent="0.25">
      <c r="A261" s="32" t="s">
        <v>117</v>
      </c>
      <c r="B261" s="1" t="s">
        <v>383</v>
      </c>
      <c r="C261" s="2" t="s">
        <v>8</v>
      </c>
      <c r="D261" s="51">
        <v>2</v>
      </c>
      <c r="E261" s="34">
        <v>65</v>
      </c>
      <c r="F261" s="3">
        <f t="shared" si="27"/>
        <v>130</v>
      </c>
    </row>
    <row r="262" spans="1:6" ht="52.8" x14ac:dyDescent="0.25">
      <c r="A262" s="32" t="s">
        <v>54</v>
      </c>
      <c r="B262" s="1" t="s">
        <v>384</v>
      </c>
      <c r="C262" s="2" t="s">
        <v>10</v>
      </c>
      <c r="D262" s="3">
        <v>70</v>
      </c>
      <c r="E262" s="34">
        <v>25</v>
      </c>
      <c r="F262" s="3">
        <f t="shared" si="27"/>
        <v>1750</v>
      </c>
    </row>
    <row r="263" spans="1:6" ht="39.6" x14ac:dyDescent="0.25">
      <c r="A263" s="32" t="s">
        <v>55</v>
      </c>
      <c r="B263" s="1" t="s">
        <v>385</v>
      </c>
      <c r="D263" s="51"/>
    </row>
    <row r="264" spans="1:6" x14ac:dyDescent="0.25">
      <c r="A264" s="32" t="s">
        <v>61</v>
      </c>
      <c r="B264" s="59" t="s">
        <v>386</v>
      </c>
      <c r="C264" s="2" t="s">
        <v>10</v>
      </c>
      <c r="D264" s="3">
        <v>430</v>
      </c>
      <c r="E264" s="34">
        <v>4</v>
      </c>
      <c r="F264" s="3">
        <f t="shared" ref="F264:F265" si="28">D264*$E264</f>
        <v>1720</v>
      </c>
    </row>
    <row r="265" spans="1:6" ht="26.4" x14ac:dyDescent="0.25">
      <c r="A265" s="32" t="s">
        <v>62</v>
      </c>
      <c r="B265" s="1" t="s">
        <v>387</v>
      </c>
      <c r="C265" s="2" t="s">
        <v>46</v>
      </c>
      <c r="D265" s="51">
        <v>20</v>
      </c>
      <c r="E265" s="34">
        <v>5</v>
      </c>
      <c r="F265" s="3">
        <f t="shared" si="28"/>
        <v>100</v>
      </c>
    </row>
    <row r="266" spans="1:6" ht="26.4" x14ac:dyDescent="0.25">
      <c r="A266" s="32" t="s">
        <v>56</v>
      </c>
      <c r="B266" s="1" t="s">
        <v>388</v>
      </c>
      <c r="C266" s="2" t="s">
        <v>8</v>
      </c>
      <c r="D266" s="51">
        <v>9</v>
      </c>
      <c r="E266" s="34">
        <v>30</v>
      </c>
      <c r="F266" s="3">
        <f t="shared" si="25"/>
        <v>270</v>
      </c>
    </row>
    <row r="267" spans="1:6" x14ac:dyDescent="0.25">
      <c r="B267" s="35" t="s">
        <v>391</v>
      </c>
      <c r="C267" s="6"/>
      <c r="D267" s="6"/>
      <c r="E267" s="21"/>
      <c r="F267" s="42">
        <f>SUM(F248:F266)</f>
        <v>11336</v>
      </c>
    </row>
    <row r="268" spans="1:6" x14ac:dyDescent="0.25">
      <c r="D268" s="51"/>
    </row>
    <row r="269" spans="1:6" x14ac:dyDescent="0.25">
      <c r="A269" s="35" t="s">
        <v>13</v>
      </c>
      <c r="B269" s="68" t="s">
        <v>404</v>
      </c>
      <c r="C269" s="41"/>
      <c r="D269" s="41"/>
      <c r="E269" s="62"/>
      <c r="F269" s="41"/>
    </row>
    <row r="270" spans="1:6" ht="26.4" x14ac:dyDescent="0.25">
      <c r="A270" s="32" t="s">
        <v>39</v>
      </c>
      <c r="B270" s="1" t="s">
        <v>405</v>
      </c>
      <c r="C270" s="2" t="s">
        <v>9</v>
      </c>
      <c r="D270" s="3">
        <v>55</v>
      </c>
      <c r="E270" s="34">
        <v>15</v>
      </c>
      <c r="F270" s="3">
        <f t="shared" ref="F270:F276" si="29">D270*$E270</f>
        <v>825</v>
      </c>
    </row>
    <row r="271" spans="1:6" ht="26.4" x14ac:dyDescent="0.25">
      <c r="A271" s="32" t="s">
        <v>40</v>
      </c>
      <c r="B271" s="1" t="s">
        <v>406</v>
      </c>
      <c r="C271" s="2" t="s">
        <v>8</v>
      </c>
      <c r="D271" s="51">
        <v>6</v>
      </c>
      <c r="E271" s="34">
        <v>65</v>
      </c>
      <c r="F271" s="3">
        <f t="shared" si="29"/>
        <v>390</v>
      </c>
    </row>
    <row r="272" spans="1:6" ht="39.6" x14ac:dyDescent="0.25">
      <c r="A272" s="32" t="s">
        <v>70</v>
      </c>
      <c r="B272" s="59" t="s">
        <v>407</v>
      </c>
      <c r="C272" s="2" t="s">
        <v>10</v>
      </c>
      <c r="D272" s="3">
        <v>110</v>
      </c>
      <c r="E272" s="34">
        <v>15</v>
      </c>
      <c r="F272" s="3">
        <f t="shared" si="29"/>
        <v>1650</v>
      </c>
    </row>
    <row r="273" spans="1:6" ht="26.4" x14ac:dyDescent="0.25">
      <c r="A273" s="32" t="s">
        <v>71</v>
      </c>
      <c r="B273" s="1" t="s">
        <v>408</v>
      </c>
      <c r="C273" s="2" t="s">
        <v>10</v>
      </c>
      <c r="D273" s="3">
        <v>30</v>
      </c>
      <c r="E273" s="34">
        <v>12</v>
      </c>
      <c r="F273" s="3">
        <f t="shared" si="29"/>
        <v>360</v>
      </c>
    </row>
    <row r="274" spans="1:6" ht="26.4" x14ac:dyDescent="0.25">
      <c r="A274" s="32" t="s">
        <v>72</v>
      </c>
      <c r="B274" s="1" t="s">
        <v>409</v>
      </c>
      <c r="C274" s="2" t="s">
        <v>10</v>
      </c>
      <c r="D274" s="3">
        <v>95</v>
      </c>
      <c r="E274" s="34">
        <v>12</v>
      </c>
      <c r="F274" s="3">
        <f t="shared" si="29"/>
        <v>1140</v>
      </c>
    </row>
    <row r="275" spans="1:6" x14ac:dyDescent="0.25">
      <c r="A275" s="32" t="s">
        <v>73</v>
      </c>
      <c r="B275" s="1" t="s">
        <v>410</v>
      </c>
      <c r="C275" s="2" t="s">
        <v>8</v>
      </c>
      <c r="D275" s="51">
        <v>20</v>
      </c>
      <c r="E275" s="34">
        <v>14</v>
      </c>
      <c r="F275" s="3">
        <f t="shared" si="29"/>
        <v>280</v>
      </c>
    </row>
    <row r="276" spans="1:6" x14ac:dyDescent="0.25">
      <c r="A276" s="32" t="s">
        <v>165</v>
      </c>
      <c r="B276" s="1" t="s">
        <v>411</v>
      </c>
      <c r="C276" s="2" t="s">
        <v>8</v>
      </c>
      <c r="D276" s="51">
        <v>6</v>
      </c>
      <c r="E276" s="34">
        <v>25</v>
      </c>
      <c r="F276" s="3">
        <f t="shared" si="29"/>
        <v>150</v>
      </c>
    </row>
    <row r="277" spans="1:6" x14ac:dyDescent="0.25">
      <c r="B277" s="35" t="s">
        <v>552</v>
      </c>
      <c r="C277" s="6"/>
      <c r="D277" s="6"/>
      <c r="E277" s="21"/>
      <c r="F277" s="42">
        <f>SUM(F270:F276)</f>
        <v>4795</v>
      </c>
    </row>
    <row r="278" spans="1:6" x14ac:dyDescent="0.25">
      <c r="D278" s="51"/>
    </row>
    <row r="279" spans="1:6" x14ac:dyDescent="0.25">
      <c r="A279" s="35" t="s">
        <v>14</v>
      </c>
      <c r="B279" s="68" t="s">
        <v>437</v>
      </c>
      <c r="C279" s="41"/>
      <c r="D279" s="41"/>
      <c r="E279" s="62"/>
      <c r="F279" s="41"/>
    </row>
    <row r="280" spans="1:6" ht="105.6" x14ac:dyDescent="0.25">
      <c r="A280" s="32" t="s">
        <v>35</v>
      </c>
      <c r="B280" s="1" t="s">
        <v>438</v>
      </c>
      <c r="C280" s="2" t="s">
        <v>8</v>
      </c>
      <c r="D280" s="51">
        <v>12</v>
      </c>
      <c r="E280" s="34">
        <v>710</v>
      </c>
      <c r="F280" s="69" t="s">
        <v>550</v>
      </c>
    </row>
    <row r="281" spans="1:6" ht="145.19999999999999" x14ac:dyDescent="0.25">
      <c r="A281" s="32" t="s">
        <v>36</v>
      </c>
      <c r="B281" s="1" t="s">
        <v>439</v>
      </c>
      <c r="C281" s="2" t="s">
        <v>8</v>
      </c>
      <c r="D281" s="51">
        <v>1</v>
      </c>
      <c r="E281" s="34">
        <v>2100</v>
      </c>
      <c r="F281" s="3">
        <f t="shared" ref="F281:F296" si="30">D281*$E281</f>
        <v>2100</v>
      </c>
    </row>
    <row r="282" spans="1:6" ht="132" x14ac:dyDescent="0.25">
      <c r="A282" s="32" t="s">
        <v>37</v>
      </c>
      <c r="B282" s="1" t="s">
        <v>440</v>
      </c>
      <c r="C282" s="2" t="s">
        <v>8</v>
      </c>
      <c r="D282" s="51">
        <v>2</v>
      </c>
      <c r="E282" s="34">
        <v>1650</v>
      </c>
      <c r="F282" s="3">
        <f t="shared" si="30"/>
        <v>3300</v>
      </c>
    </row>
    <row r="283" spans="1:6" ht="26.4" x14ac:dyDescent="0.25">
      <c r="A283" s="32" t="s">
        <v>38</v>
      </c>
      <c r="B283" s="1" t="s">
        <v>441</v>
      </c>
      <c r="C283" s="2" t="s">
        <v>8</v>
      </c>
      <c r="D283" s="51">
        <v>1</v>
      </c>
      <c r="E283" s="34">
        <v>250</v>
      </c>
      <c r="F283" s="3">
        <f t="shared" si="30"/>
        <v>250</v>
      </c>
    </row>
    <row r="284" spans="1:6" ht="26.4" x14ac:dyDescent="0.25">
      <c r="A284" s="32" t="s">
        <v>105</v>
      </c>
      <c r="B284" s="1" t="s">
        <v>442</v>
      </c>
      <c r="C284" s="2" t="s">
        <v>8</v>
      </c>
      <c r="D284" s="51">
        <v>2</v>
      </c>
      <c r="E284" s="34">
        <v>240</v>
      </c>
      <c r="F284" s="3">
        <f t="shared" si="30"/>
        <v>480</v>
      </c>
    </row>
    <row r="285" spans="1:6" ht="92.4" x14ac:dyDescent="0.25">
      <c r="A285" s="32" t="s">
        <v>106</v>
      </c>
      <c r="B285" s="1" t="s">
        <v>443</v>
      </c>
      <c r="C285" s="2" t="s">
        <v>8</v>
      </c>
      <c r="D285" s="51">
        <v>2</v>
      </c>
      <c r="E285" s="34">
        <v>155</v>
      </c>
      <c r="F285" s="3">
        <f t="shared" si="30"/>
        <v>310</v>
      </c>
    </row>
    <row r="286" spans="1:6" ht="39.6" x14ac:dyDescent="0.25">
      <c r="A286" s="32" t="s">
        <v>107</v>
      </c>
      <c r="B286" s="1" t="s">
        <v>444</v>
      </c>
      <c r="C286" s="2" t="s">
        <v>8</v>
      </c>
      <c r="D286" s="51">
        <v>2</v>
      </c>
      <c r="E286" s="34">
        <v>125</v>
      </c>
      <c r="F286" s="3">
        <f t="shared" si="30"/>
        <v>250</v>
      </c>
    </row>
    <row r="287" spans="1:6" x14ac:dyDescent="0.25">
      <c r="A287" s="32" t="s">
        <v>108</v>
      </c>
      <c r="B287" s="1" t="s">
        <v>445</v>
      </c>
      <c r="C287" s="2" t="s">
        <v>8</v>
      </c>
      <c r="D287" s="51">
        <v>2</v>
      </c>
      <c r="E287" s="34">
        <v>15</v>
      </c>
      <c r="F287" s="3">
        <f t="shared" si="30"/>
        <v>30</v>
      </c>
    </row>
    <row r="288" spans="1:6" ht="26.4" x14ac:dyDescent="0.25">
      <c r="A288" s="32" t="s">
        <v>109</v>
      </c>
      <c r="B288" s="1" t="s">
        <v>446</v>
      </c>
      <c r="C288" s="2" t="s">
        <v>8</v>
      </c>
      <c r="D288" s="51">
        <v>1</v>
      </c>
      <c r="E288" s="34">
        <v>610</v>
      </c>
      <c r="F288" s="3">
        <f t="shared" si="30"/>
        <v>610</v>
      </c>
    </row>
    <row r="289" spans="1:6" x14ac:dyDescent="0.25">
      <c r="A289" s="32" t="s">
        <v>110</v>
      </c>
      <c r="B289" s="1" t="s">
        <v>447</v>
      </c>
      <c r="C289" s="2" t="s">
        <v>8</v>
      </c>
      <c r="D289" s="51">
        <v>2</v>
      </c>
      <c r="E289" s="34">
        <v>550</v>
      </c>
      <c r="F289" s="3">
        <f t="shared" si="30"/>
        <v>1100</v>
      </c>
    </row>
    <row r="290" spans="1:6" x14ac:dyDescent="0.25">
      <c r="A290" s="32" t="s">
        <v>111</v>
      </c>
      <c r="B290" s="1" t="s">
        <v>450</v>
      </c>
      <c r="C290" s="2" t="s">
        <v>10</v>
      </c>
      <c r="D290" s="3">
        <v>10</v>
      </c>
      <c r="E290" s="34">
        <v>4.2</v>
      </c>
      <c r="F290" s="3">
        <f t="shared" si="30"/>
        <v>42</v>
      </c>
    </row>
    <row r="291" spans="1:6" x14ac:dyDescent="0.25">
      <c r="A291" s="32" t="s">
        <v>112</v>
      </c>
      <c r="B291" s="1" t="s">
        <v>451</v>
      </c>
      <c r="C291" s="2" t="s">
        <v>10</v>
      </c>
      <c r="D291" s="3">
        <v>20</v>
      </c>
      <c r="E291" s="34">
        <v>4.55</v>
      </c>
      <c r="F291" s="3">
        <f t="shared" si="30"/>
        <v>91</v>
      </c>
    </row>
    <row r="292" spans="1:6" x14ac:dyDescent="0.25">
      <c r="A292" s="32" t="s">
        <v>113</v>
      </c>
      <c r="B292" s="1" t="s">
        <v>453</v>
      </c>
      <c r="C292" s="2" t="s">
        <v>10</v>
      </c>
      <c r="D292" s="3">
        <v>20</v>
      </c>
      <c r="E292" s="34">
        <v>14</v>
      </c>
      <c r="F292" s="3">
        <f t="shared" si="30"/>
        <v>280</v>
      </c>
    </row>
    <row r="293" spans="1:6" x14ac:dyDescent="0.25">
      <c r="A293" s="32" t="s">
        <v>553</v>
      </c>
      <c r="B293" s="1" t="s">
        <v>456</v>
      </c>
      <c r="C293" s="2" t="s">
        <v>10</v>
      </c>
      <c r="D293" s="3">
        <v>50</v>
      </c>
      <c r="E293" s="34">
        <v>3.55</v>
      </c>
      <c r="F293" s="3">
        <f t="shared" si="30"/>
        <v>177.5</v>
      </c>
    </row>
    <row r="294" spans="1:6" x14ac:dyDescent="0.25">
      <c r="A294" s="32" t="s">
        <v>554</v>
      </c>
      <c r="B294" s="1" t="s">
        <v>457</v>
      </c>
      <c r="C294" s="2" t="s">
        <v>10</v>
      </c>
      <c r="D294" s="3">
        <v>30</v>
      </c>
      <c r="E294" s="34">
        <v>4.2</v>
      </c>
      <c r="F294" s="3">
        <f t="shared" si="30"/>
        <v>126</v>
      </c>
    </row>
    <row r="295" spans="1:6" x14ac:dyDescent="0.25">
      <c r="A295" s="32" t="s">
        <v>555</v>
      </c>
      <c r="B295" s="1" t="s">
        <v>459</v>
      </c>
      <c r="C295" s="2" t="s">
        <v>10</v>
      </c>
      <c r="D295" s="3">
        <v>10</v>
      </c>
      <c r="E295" s="34">
        <v>4.2</v>
      </c>
      <c r="F295" s="3">
        <f t="shared" si="30"/>
        <v>42</v>
      </c>
    </row>
    <row r="296" spans="1:6" x14ac:dyDescent="0.25">
      <c r="A296" s="32" t="s">
        <v>556</v>
      </c>
      <c r="B296" s="1" t="s">
        <v>460</v>
      </c>
      <c r="C296" s="2" t="s">
        <v>10</v>
      </c>
      <c r="D296" s="3">
        <v>60</v>
      </c>
      <c r="E296" s="34">
        <v>3.55</v>
      </c>
      <c r="F296" s="3">
        <f t="shared" si="30"/>
        <v>213</v>
      </c>
    </row>
    <row r="297" spans="1:6" x14ac:dyDescent="0.25">
      <c r="B297" s="35" t="s">
        <v>557</v>
      </c>
      <c r="C297" s="6"/>
      <c r="D297" s="6"/>
      <c r="E297" s="21"/>
      <c r="F297" s="42">
        <f>SUM(F281:F296)</f>
        <v>9401.5</v>
      </c>
    </row>
    <row r="298" spans="1:6" x14ac:dyDescent="0.25">
      <c r="D298" s="51"/>
    </row>
    <row r="299" spans="1:6" x14ac:dyDescent="0.25">
      <c r="A299" s="35" t="s">
        <v>15</v>
      </c>
      <c r="B299" s="68" t="s">
        <v>462</v>
      </c>
      <c r="C299" s="41"/>
      <c r="D299" s="41"/>
      <c r="E299" s="62"/>
      <c r="F299" s="41"/>
    </row>
    <row r="300" spans="1:6" ht="184.8" x14ac:dyDescent="0.25">
      <c r="A300" s="32" t="s">
        <v>39</v>
      </c>
      <c r="B300" s="1" t="s">
        <v>463</v>
      </c>
      <c r="C300" s="2" t="s">
        <v>46</v>
      </c>
      <c r="D300" s="51">
        <v>1</v>
      </c>
      <c r="E300" s="34">
        <v>980</v>
      </c>
      <c r="F300" s="3">
        <f t="shared" ref="F300:F324" si="31">D300*$E300</f>
        <v>980</v>
      </c>
    </row>
    <row r="301" spans="1:6" x14ac:dyDescent="0.25">
      <c r="A301" s="32" t="s">
        <v>40</v>
      </c>
      <c r="B301" s="1" t="s">
        <v>464</v>
      </c>
      <c r="C301" s="2" t="s">
        <v>46</v>
      </c>
      <c r="D301" s="51">
        <v>1</v>
      </c>
      <c r="E301" s="34">
        <v>55</v>
      </c>
      <c r="F301" s="3">
        <f t="shared" si="31"/>
        <v>55</v>
      </c>
    </row>
    <row r="302" spans="1:6" ht="39.6" x14ac:dyDescent="0.25">
      <c r="A302" s="32" t="s">
        <v>70</v>
      </c>
      <c r="B302" s="1" t="s">
        <v>465</v>
      </c>
      <c r="C302" s="2" t="s">
        <v>8</v>
      </c>
      <c r="D302" s="51">
        <v>2</v>
      </c>
      <c r="E302" s="34">
        <v>55</v>
      </c>
      <c r="F302" s="3">
        <f t="shared" si="31"/>
        <v>110</v>
      </c>
    </row>
    <row r="303" spans="1:6" ht="171.6" x14ac:dyDescent="0.25">
      <c r="A303" s="32" t="s">
        <v>71</v>
      </c>
      <c r="B303" s="1" t="s">
        <v>466</v>
      </c>
      <c r="C303" s="2" t="s">
        <v>8</v>
      </c>
      <c r="D303" s="51">
        <v>1</v>
      </c>
      <c r="E303" s="34">
        <v>1450</v>
      </c>
      <c r="F303" s="3">
        <f t="shared" si="31"/>
        <v>1450</v>
      </c>
    </row>
    <row r="304" spans="1:6" ht="118.8" x14ac:dyDescent="0.25">
      <c r="A304" s="32" t="s">
        <v>72</v>
      </c>
      <c r="B304" s="1" t="s">
        <v>467</v>
      </c>
      <c r="C304" s="2" t="s">
        <v>8</v>
      </c>
      <c r="D304" s="51">
        <v>1</v>
      </c>
      <c r="E304" s="34">
        <v>355</v>
      </c>
      <c r="F304" s="3">
        <f t="shared" si="31"/>
        <v>355</v>
      </c>
    </row>
    <row r="305" spans="1:6" ht="105.6" x14ac:dyDescent="0.25">
      <c r="A305" s="32" t="s">
        <v>73</v>
      </c>
      <c r="B305" s="1" t="s">
        <v>468</v>
      </c>
      <c r="C305" s="2" t="s">
        <v>8</v>
      </c>
      <c r="D305" s="51">
        <v>1</v>
      </c>
      <c r="E305" s="34">
        <v>55</v>
      </c>
      <c r="F305" s="3">
        <f t="shared" si="31"/>
        <v>55</v>
      </c>
    </row>
    <row r="306" spans="1:6" ht="158.4" x14ac:dyDescent="0.25">
      <c r="A306" s="32" t="s">
        <v>165</v>
      </c>
      <c r="B306" s="1" t="s">
        <v>472</v>
      </c>
      <c r="C306" s="2" t="s">
        <v>8</v>
      </c>
      <c r="D306" s="51">
        <v>11</v>
      </c>
      <c r="E306" s="34">
        <v>55</v>
      </c>
      <c r="F306" s="3">
        <f t="shared" si="31"/>
        <v>605</v>
      </c>
    </row>
    <row r="307" spans="1:6" ht="118.8" x14ac:dyDescent="0.25">
      <c r="A307" s="32" t="s">
        <v>74</v>
      </c>
      <c r="B307" s="1" t="s">
        <v>469</v>
      </c>
      <c r="C307" s="2" t="s">
        <v>8</v>
      </c>
      <c r="D307" s="51">
        <v>2</v>
      </c>
      <c r="E307" s="34">
        <v>78</v>
      </c>
      <c r="F307" s="3">
        <f t="shared" si="31"/>
        <v>156</v>
      </c>
    </row>
    <row r="308" spans="1:6" ht="26.4" x14ac:dyDescent="0.25">
      <c r="A308" s="32" t="s">
        <v>166</v>
      </c>
      <c r="B308" s="1" t="s">
        <v>470</v>
      </c>
      <c r="C308" s="2" t="s">
        <v>8</v>
      </c>
      <c r="D308" s="51">
        <v>2</v>
      </c>
      <c r="E308" s="34">
        <v>20</v>
      </c>
      <c r="F308" s="3">
        <f t="shared" si="31"/>
        <v>40</v>
      </c>
    </row>
    <row r="309" spans="1:6" ht="26.4" x14ac:dyDescent="0.25">
      <c r="A309" s="32" t="s">
        <v>167</v>
      </c>
      <c r="B309" s="1" t="s">
        <v>471</v>
      </c>
      <c r="C309" s="2" t="s">
        <v>8</v>
      </c>
      <c r="D309" s="51">
        <v>2</v>
      </c>
      <c r="E309" s="34">
        <v>5</v>
      </c>
      <c r="F309" s="3">
        <f t="shared" si="31"/>
        <v>10</v>
      </c>
    </row>
    <row r="310" spans="1:6" ht="79.2" x14ac:dyDescent="0.25">
      <c r="A310" s="32" t="s">
        <v>250</v>
      </c>
      <c r="B310" s="1" t="s">
        <v>473</v>
      </c>
      <c r="C310" s="2" t="s">
        <v>8</v>
      </c>
      <c r="D310" s="51">
        <v>2</v>
      </c>
      <c r="E310" s="34">
        <v>110</v>
      </c>
      <c r="F310" s="3">
        <f t="shared" si="31"/>
        <v>220</v>
      </c>
    </row>
    <row r="311" spans="1:6" ht="158.4" x14ac:dyDescent="0.25">
      <c r="A311" s="32" t="s">
        <v>253</v>
      </c>
      <c r="B311" s="1" t="s">
        <v>474</v>
      </c>
      <c r="C311" s="2" t="s">
        <v>8</v>
      </c>
      <c r="D311" s="51">
        <v>2</v>
      </c>
      <c r="E311" s="34">
        <v>165</v>
      </c>
      <c r="F311" s="3">
        <f t="shared" si="31"/>
        <v>330</v>
      </c>
    </row>
    <row r="312" spans="1:6" ht="105.6" x14ac:dyDescent="0.25">
      <c r="A312" s="32" t="s">
        <v>260</v>
      </c>
      <c r="B312" s="1" t="s">
        <v>475</v>
      </c>
      <c r="C312" s="2" t="s">
        <v>8</v>
      </c>
      <c r="D312" s="51">
        <v>2</v>
      </c>
      <c r="E312" s="34">
        <v>110</v>
      </c>
      <c r="F312" s="3">
        <f t="shared" si="31"/>
        <v>220</v>
      </c>
    </row>
    <row r="313" spans="1:6" ht="39.6" x14ac:dyDescent="0.25">
      <c r="A313" s="32" t="s">
        <v>558</v>
      </c>
      <c r="B313" s="1" t="s">
        <v>476</v>
      </c>
      <c r="C313" s="2" t="s">
        <v>8</v>
      </c>
      <c r="D313" s="51">
        <v>16</v>
      </c>
      <c r="E313" s="34">
        <v>20</v>
      </c>
      <c r="F313" s="3">
        <f t="shared" si="31"/>
        <v>320</v>
      </c>
    </row>
    <row r="314" spans="1:6" ht="237.6" x14ac:dyDescent="0.25">
      <c r="A314" s="32" t="s">
        <v>559</v>
      </c>
      <c r="B314" s="1" t="s">
        <v>477</v>
      </c>
      <c r="C314" s="2" t="s">
        <v>8</v>
      </c>
      <c r="D314" s="51">
        <v>1</v>
      </c>
      <c r="E314" s="34">
        <v>135</v>
      </c>
      <c r="F314" s="3">
        <f t="shared" si="31"/>
        <v>135</v>
      </c>
    </row>
    <row r="315" spans="1:6" ht="66" x14ac:dyDescent="0.25">
      <c r="A315" s="32" t="s">
        <v>560</v>
      </c>
      <c r="B315" s="1" t="s">
        <v>478</v>
      </c>
      <c r="C315" s="2" t="s">
        <v>10</v>
      </c>
      <c r="D315" s="3">
        <v>145</v>
      </c>
      <c r="E315" s="34">
        <v>3.55</v>
      </c>
      <c r="F315" s="3">
        <f t="shared" si="31"/>
        <v>514.75</v>
      </c>
    </row>
    <row r="316" spans="1:6" ht="118.8" x14ac:dyDescent="0.25">
      <c r="A316" s="32" t="s">
        <v>561</v>
      </c>
      <c r="B316" s="1" t="s">
        <v>479</v>
      </c>
      <c r="C316" s="2" t="s">
        <v>10</v>
      </c>
      <c r="D316" s="3">
        <v>285</v>
      </c>
      <c r="E316" s="34">
        <v>3.55</v>
      </c>
      <c r="F316" s="3">
        <f t="shared" si="31"/>
        <v>1011.75</v>
      </c>
    </row>
    <row r="317" spans="1:6" ht="26.4" x14ac:dyDescent="0.25">
      <c r="A317" s="32" t="s">
        <v>562</v>
      </c>
      <c r="B317" s="1" t="s">
        <v>481</v>
      </c>
      <c r="C317" s="2" t="s">
        <v>10</v>
      </c>
      <c r="D317" s="3">
        <v>275</v>
      </c>
      <c r="E317" s="34">
        <v>4.55</v>
      </c>
      <c r="F317" s="3">
        <f t="shared" si="31"/>
        <v>1251.25</v>
      </c>
    </row>
    <row r="318" spans="1:6" ht="39.6" x14ac:dyDescent="0.25">
      <c r="A318" s="32" t="s">
        <v>563</v>
      </c>
      <c r="B318" s="1" t="s">
        <v>483</v>
      </c>
      <c r="C318" s="2" t="s">
        <v>10</v>
      </c>
      <c r="D318" s="3">
        <v>135</v>
      </c>
      <c r="E318" s="34">
        <v>4</v>
      </c>
      <c r="F318" s="3">
        <f t="shared" si="31"/>
        <v>540</v>
      </c>
    </row>
    <row r="319" spans="1:6" ht="39.6" x14ac:dyDescent="0.25">
      <c r="A319" s="32" t="s">
        <v>564</v>
      </c>
      <c r="B319" s="1" t="s">
        <v>485</v>
      </c>
      <c r="C319" s="2" t="s">
        <v>10</v>
      </c>
      <c r="D319" s="3">
        <v>25</v>
      </c>
      <c r="E319" s="34">
        <v>3.55</v>
      </c>
      <c r="F319" s="3">
        <f t="shared" si="31"/>
        <v>88.75</v>
      </c>
    </row>
    <row r="320" spans="1:6" ht="26.4" x14ac:dyDescent="0.25">
      <c r="A320" s="32" t="s">
        <v>565</v>
      </c>
      <c r="B320" s="1" t="s">
        <v>487</v>
      </c>
      <c r="C320" s="2" t="s">
        <v>46</v>
      </c>
      <c r="D320" s="51">
        <v>1</v>
      </c>
      <c r="E320" s="34">
        <v>255</v>
      </c>
      <c r="F320" s="3">
        <f t="shared" si="31"/>
        <v>255</v>
      </c>
    </row>
    <row r="321" spans="1:6" ht="39.6" x14ac:dyDescent="0.25">
      <c r="A321" s="32" t="s">
        <v>566</v>
      </c>
      <c r="B321" s="1" t="s">
        <v>489</v>
      </c>
      <c r="C321" s="2" t="s">
        <v>46</v>
      </c>
      <c r="D321" s="51">
        <v>1</v>
      </c>
      <c r="E321" s="34">
        <v>250</v>
      </c>
      <c r="F321" s="3">
        <f t="shared" si="31"/>
        <v>250</v>
      </c>
    </row>
    <row r="322" spans="1:6" ht="26.4" x14ac:dyDescent="0.25">
      <c r="A322" s="32" t="s">
        <v>567</v>
      </c>
      <c r="B322" s="1" t="s">
        <v>491</v>
      </c>
      <c r="C322" s="2" t="s">
        <v>46</v>
      </c>
      <c r="D322" s="51">
        <v>1</v>
      </c>
      <c r="E322" s="34">
        <v>450</v>
      </c>
      <c r="F322" s="3">
        <f t="shared" si="31"/>
        <v>450</v>
      </c>
    </row>
    <row r="323" spans="1:6" ht="26.4" x14ac:dyDescent="0.25">
      <c r="A323" s="32" t="s">
        <v>568</v>
      </c>
      <c r="B323" s="1" t="s">
        <v>493</v>
      </c>
      <c r="C323" s="2" t="s">
        <v>46</v>
      </c>
      <c r="D323" s="51">
        <v>1</v>
      </c>
      <c r="E323" s="34">
        <v>125</v>
      </c>
      <c r="F323" s="3">
        <f t="shared" si="31"/>
        <v>125</v>
      </c>
    </row>
    <row r="324" spans="1:6" ht="66" x14ac:dyDescent="0.25">
      <c r="A324" s="32" t="s">
        <v>569</v>
      </c>
      <c r="B324" s="1" t="s">
        <v>495</v>
      </c>
      <c r="C324" s="2" t="s">
        <v>46</v>
      </c>
      <c r="D324" s="51">
        <v>1</v>
      </c>
      <c r="E324" s="34">
        <v>950</v>
      </c>
      <c r="F324" s="3">
        <f t="shared" si="31"/>
        <v>950</v>
      </c>
    </row>
    <row r="325" spans="1:6" x14ac:dyDescent="0.25">
      <c r="B325" s="35" t="s">
        <v>570</v>
      </c>
      <c r="C325" s="6"/>
      <c r="D325" s="6"/>
      <c r="E325" s="21"/>
      <c r="F325" s="42">
        <f>SUM(F300:F324)</f>
        <v>10477.5</v>
      </c>
    </row>
    <row r="326" spans="1:6" x14ac:dyDescent="0.25">
      <c r="D326" s="51"/>
    </row>
    <row r="327" spans="1:6" x14ac:dyDescent="0.25">
      <c r="A327" s="35" t="s">
        <v>16</v>
      </c>
      <c r="B327" s="68" t="s">
        <v>497</v>
      </c>
      <c r="C327" s="41"/>
      <c r="D327" s="41"/>
      <c r="E327" s="62"/>
      <c r="F327" s="41"/>
    </row>
    <row r="328" spans="1:6" ht="52.8" x14ac:dyDescent="0.25">
      <c r="A328" s="32" t="s">
        <v>41</v>
      </c>
      <c r="B328" s="1" t="s">
        <v>498</v>
      </c>
      <c r="C328" s="2" t="s">
        <v>46</v>
      </c>
      <c r="D328" s="51">
        <v>1</v>
      </c>
      <c r="E328" s="34">
        <v>655</v>
      </c>
      <c r="F328" s="3">
        <f t="shared" ref="F328:F329" si="32">D328*$E328</f>
        <v>655</v>
      </c>
    </row>
    <row r="329" spans="1:6" ht="52.8" x14ac:dyDescent="0.25">
      <c r="A329" s="32" t="s">
        <v>262</v>
      </c>
      <c r="B329" s="1" t="s">
        <v>499</v>
      </c>
      <c r="C329" s="2" t="s">
        <v>46</v>
      </c>
      <c r="D329" s="51">
        <v>1</v>
      </c>
      <c r="E329" s="34">
        <v>550</v>
      </c>
      <c r="F329" s="3">
        <f t="shared" si="32"/>
        <v>550</v>
      </c>
    </row>
    <row r="330" spans="1:6" x14ac:dyDescent="0.25">
      <c r="B330" s="44" t="s">
        <v>571</v>
      </c>
      <c r="C330" s="6"/>
      <c r="D330" s="6"/>
      <c r="E330" s="21"/>
      <c r="F330" s="42">
        <f>SUM(F328:F329)</f>
        <v>1205</v>
      </c>
    </row>
    <row r="331" spans="1:6" x14ac:dyDescent="0.25">
      <c r="D331" s="51"/>
    </row>
    <row r="332" spans="1:6" x14ac:dyDescent="0.25">
      <c r="D332" s="51"/>
    </row>
    <row r="333" spans="1:6" x14ac:dyDescent="0.25">
      <c r="A333" s="45" t="s">
        <v>80</v>
      </c>
      <c r="B333" s="23" t="s">
        <v>502</v>
      </c>
    </row>
    <row r="335" spans="1:6" x14ac:dyDescent="0.25">
      <c r="A335" s="45" t="s">
        <v>6</v>
      </c>
      <c r="B335" s="19" t="s">
        <v>158</v>
      </c>
      <c r="C335" s="22"/>
      <c r="D335" s="42"/>
      <c r="E335" s="49"/>
      <c r="F335" s="42">
        <f>SUM(F231)</f>
        <v>2691</v>
      </c>
    </row>
    <row r="336" spans="1:6" x14ac:dyDescent="0.25">
      <c r="A336" s="45" t="s">
        <v>11</v>
      </c>
      <c r="B336" s="23" t="s">
        <v>389</v>
      </c>
      <c r="C336" s="22"/>
      <c r="D336" s="42"/>
      <c r="E336" s="49"/>
      <c r="F336" s="42">
        <f>SUM(F245)</f>
        <v>7221.2899999999991</v>
      </c>
    </row>
    <row r="337" spans="1:6" x14ac:dyDescent="0.25">
      <c r="A337" s="45" t="s">
        <v>12</v>
      </c>
      <c r="B337" s="19" t="s">
        <v>392</v>
      </c>
      <c r="C337" s="22"/>
      <c r="D337" s="42"/>
      <c r="E337" s="49"/>
      <c r="F337" s="42">
        <f>SUM(F267)</f>
        <v>11336</v>
      </c>
    </row>
    <row r="338" spans="1:6" x14ac:dyDescent="0.25">
      <c r="A338" s="45" t="s">
        <v>13</v>
      </c>
      <c r="B338" s="23" t="s">
        <v>404</v>
      </c>
      <c r="C338" s="22"/>
      <c r="D338" s="42"/>
      <c r="E338" s="49"/>
      <c r="F338" s="42">
        <f>SUM(F277)</f>
        <v>4795</v>
      </c>
    </row>
    <row r="339" spans="1:6" x14ac:dyDescent="0.25">
      <c r="A339" s="45" t="s">
        <v>14</v>
      </c>
      <c r="B339" s="23" t="s">
        <v>437</v>
      </c>
      <c r="C339" s="22"/>
      <c r="D339" s="42"/>
      <c r="E339" s="49"/>
      <c r="F339" s="42">
        <f>SUM(F297)</f>
        <v>9401.5</v>
      </c>
    </row>
    <row r="340" spans="1:6" x14ac:dyDescent="0.25">
      <c r="A340" s="45" t="s">
        <v>15</v>
      </c>
      <c r="B340" s="23" t="s">
        <v>462</v>
      </c>
      <c r="C340" s="22"/>
      <c r="D340" s="42"/>
      <c r="E340" s="49"/>
      <c r="F340" s="42">
        <f>SUM(F325)</f>
        <v>10477.5</v>
      </c>
    </row>
    <row r="341" spans="1:6" x14ac:dyDescent="0.25">
      <c r="A341" s="45" t="s">
        <v>16</v>
      </c>
      <c r="B341" s="23" t="s">
        <v>497</v>
      </c>
      <c r="C341" s="22"/>
      <c r="D341" s="42"/>
      <c r="E341" s="49"/>
      <c r="F341" s="42">
        <f>SUM(F330)</f>
        <v>1205</v>
      </c>
    </row>
    <row r="342" spans="1:6" x14ac:dyDescent="0.25">
      <c r="A342" s="45"/>
      <c r="B342" s="19"/>
      <c r="C342" s="22"/>
      <c r="D342" s="42"/>
      <c r="E342" s="49"/>
      <c r="F342" s="42"/>
    </row>
    <row r="343" spans="1:6" x14ac:dyDescent="0.25">
      <c r="A343" s="45"/>
      <c r="B343" s="35" t="s">
        <v>503</v>
      </c>
      <c r="C343" s="22"/>
      <c r="D343" s="42"/>
      <c r="E343" s="49"/>
      <c r="F343" s="42">
        <f>SUM(F335:F341)</f>
        <v>47127.29</v>
      </c>
    </row>
    <row r="344" spans="1:6" x14ac:dyDescent="0.25">
      <c r="D344" s="51"/>
    </row>
    <row r="345" spans="1:6" x14ac:dyDescent="0.25">
      <c r="D345" s="51"/>
    </row>
    <row r="346" spans="1:6" x14ac:dyDescent="0.25">
      <c r="A346" s="45" t="s">
        <v>81</v>
      </c>
      <c r="B346" s="19" t="s">
        <v>504</v>
      </c>
    </row>
    <row r="347" spans="1:6" x14ac:dyDescent="0.25">
      <c r="A347" s="45"/>
      <c r="B347" s="19"/>
    </row>
    <row r="348" spans="1:6" x14ac:dyDescent="0.25">
      <c r="A348" s="44" t="s">
        <v>6</v>
      </c>
      <c r="B348" s="19" t="s">
        <v>168</v>
      </c>
      <c r="C348" s="41"/>
      <c r="D348" s="42"/>
      <c r="E348" s="43"/>
      <c r="F348" s="42"/>
    </row>
    <row r="349" spans="1:6" ht="409.2" x14ac:dyDescent="0.25">
      <c r="A349" s="32" t="s">
        <v>21</v>
      </c>
      <c r="B349" s="1" t="s">
        <v>505</v>
      </c>
      <c r="D349" s="51"/>
    </row>
    <row r="350" spans="1:6" ht="369.6" x14ac:dyDescent="0.25">
      <c r="B350" s="1" t="s">
        <v>579</v>
      </c>
      <c r="C350" s="2" t="s">
        <v>8</v>
      </c>
      <c r="D350" s="51">
        <v>1</v>
      </c>
      <c r="E350" s="34">
        <v>8500</v>
      </c>
      <c r="F350" s="3">
        <f t="shared" ref="F350:F375" si="33">D350*$E350</f>
        <v>8500</v>
      </c>
    </row>
    <row r="351" spans="1:6" ht="92.4" x14ac:dyDescent="0.25">
      <c r="A351" s="32" t="s">
        <v>22</v>
      </c>
      <c r="B351" s="1" t="s">
        <v>507</v>
      </c>
      <c r="D351" s="51"/>
    </row>
    <row r="352" spans="1:6" ht="198" x14ac:dyDescent="0.25">
      <c r="B352" s="1" t="s">
        <v>580</v>
      </c>
      <c r="C352" s="2" t="s">
        <v>8</v>
      </c>
      <c r="D352" s="51">
        <v>3</v>
      </c>
      <c r="E352" s="34">
        <v>1700</v>
      </c>
      <c r="F352" s="3">
        <f t="shared" ref="F352:F355" si="34">D352*$E352</f>
        <v>5100</v>
      </c>
    </row>
    <row r="353" spans="1:6" ht="145.19999999999999" x14ac:dyDescent="0.25">
      <c r="A353" s="32" t="s">
        <v>23</v>
      </c>
      <c r="B353" s="1" t="s">
        <v>730</v>
      </c>
      <c r="C353" s="2" t="s">
        <v>8</v>
      </c>
      <c r="D353" s="51">
        <v>1</v>
      </c>
      <c r="E353" s="34">
        <v>450</v>
      </c>
      <c r="F353" s="3">
        <f t="shared" si="34"/>
        <v>450</v>
      </c>
    </row>
    <row r="354" spans="1:6" ht="145.19999999999999" x14ac:dyDescent="0.25">
      <c r="A354" s="32" t="s">
        <v>24</v>
      </c>
      <c r="B354" s="1" t="s">
        <v>510</v>
      </c>
      <c r="C354" s="2" t="s">
        <v>8</v>
      </c>
      <c r="D354" s="51">
        <v>3</v>
      </c>
      <c r="E354" s="34">
        <v>125</v>
      </c>
      <c r="F354" s="3">
        <f t="shared" si="34"/>
        <v>375</v>
      </c>
    </row>
    <row r="355" spans="1:6" ht="92.4" x14ac:dyDescent="0.25">
      <c r="A355" s="32" t="s">
        <v>25</v>
      </c>
      <c r="B355" s="1" t="s">
        <v>511</v>
      </c>
      <c r="C355" s="2" t="s">
        <v>8</v>
      </c>
      <c r="D355" s="51">
        <v>2</v>
      </c>
      <c r="E355" s="34">
        <v>110</v>
      </c>
      <c r="F355" s="3">
        <f t="shared" si="34"/>
        <v>220</v>
      </c>
    </row>
    <row r="356" spans="1:6" ht="66" x14ac:dyDescent="0.25">
      <c r="A356" s="32" t="s">
        <v>145</v>
      </c>
      <c r="B356" s="1" t="s">
        <v>512</v>
      </c>
      <c r="D356" s="51"/>
    </row>
    <row r="357" spans="1:6" x14ac:dyDescent="0.25">
      <c r="A357" s="32" t="s">
        <v>61</v>
      </c>
      <c r="B357" s="1" t="s">
        <v>513</v>
      </c>
      <c r="C357" s="2" t="s">
        <v>10</v>
      </c>
      <c r="D357" s="3">
        <v>25</v>
      </c>
      <c r="E357" s="34">
        <v>9</v>
      </c>
      <c r="F357" s="3">
        <f t="shared" ref="F357:F361" si="35">D357*$E357</f>
        <v>225</v>
      </c>
    </row>
    <row r="358" spans="1:6" x14ac:dyDescent="0.25">
      <c r="A358" s="32" t="s">
        <v>62</v>
      </c>
      <c r="B358" s="1" t="s">
        <v>581</v>
      </c>
      <c r="C358" s="2" t="s">
        <v>10</v>
      </c>
      <c r="D358" s="3">
        <v>15</v>
      </c>
      <c r="E358" s="34">
        <v>12</v>
      </c>
      <c r="F358" s="3">
        <f t="shared" si="35"/>
        <v>180</v>
      </c>
    </row>
    <row r="359" spans="1:6" x14ac:dyDescent="0.25">
      <c r="A359" s="32" t="s">
        <v>63</v>
      </c>
      <c r="B359" s="1" t="s">
        <v>514</v>
      </c>
      <c r="C359" s="2" t="s">
        <v>10</v>
      </c>
      <c r="D359" s="3">
        <v>18</v>
      </c>
      <c r="E359" s="34">
        <v>16</v>
      </c>
      <c r="F359" s="3">
        <f t="shared" si="35"/>
        <v>288</v>
      </c>
    </row>
    <row r="360" spans="1:6" x14ac:dyDescent="0.25">
      <c r="A360" s="32" t="s">
        <v>64</v>
      </c>
      <c r="B360" s="1" t="s">
        <v>515</v>
      </c>
      <c r="C360" s="2" t="s">
        <v>10</v>
      </c>
      <c r="D360" s="3">
        <v>12</v>
      </c>
      <c r="E360" s="34">
        <v>28</v>
      </c>
      <c r="F360" s="3">
        <f t="shared" si="35"/>
        <v>336</v>
      </c>
    </row>
    <row r="361" spans="1:6" x14ac:dyDescent="0.25">
      <c r="A361" s="32" t="s">
        <v>103</v>
      </c>
      <c r="B361" s="1" t="s">
        <v>582</v>
      </c>
      <c r="C361" s="2" t="s">
        <v>10</v>
      </c>
      <c r="D361" s="3">
        <v>15</v>
      </c>
      <c r="E361" s="34">
        <v>31</v>
      </c>
      <c r="F361" s="3">
        <f t="shared" si="35"/>
        <v>465</v>
      </c>
    </row>
    <row r="362" spans="1:6" ht="66" x14ac:dyDescent="0.25">
      <c r="A362" s="32" t="s">
        <v>146</v>
      </c>
      <c r="B362" s="1" t="s">
        <v>732</v>
      </c>
      <c r="D362" s="51"/>
    </row>
    <row r="363" spans="1:6" x14ac:dyDescent="0.25">
      <c r="A363" s="32" t="s">
        <v>61</v>
      </c>
      <c r="B363" s="1" t="s">
        <v>513</v>
      </c>
      <c r="C363" s="2" t="s">
        <v>10</v>
      </c>
      <c r="D363" s="3">
        <v>25</v>
      </c>
      <c r="E363" s="34">
        <v>1</v>
      </c>
      <c r="F363" s="3">
        <f t="shared" ref="F363:F367" si="36">D363*$E363</f>
        <v>25</v>
      </c>
    </row>
    <row r="364" spans="1:6" x14ac:dyDescent="0.25">
      <c r="A364" s="32" t="s">
        <v>62</v>
      </c>
      <c r="B364" s="1" t="s">
        <v>581</v>
      </c>
      <c r="C364" s="2" t="s">
        <v>10</v>
      </c>
      <c r="D364" s="3">
        <v>15</v>
      </c>
      <c r="E364" s="34">
        <v>1</v>
      </c>
      <c r="F364" s="3">
        <f t="shared" si="36"/>
        <v>15</v>
      </c>
    </row>
    <row r="365" spans="1:6" x14ac:dyDescent="0.25">
      <c r="A365" s="32" t="s">
        <v>63</v>
      </c>
      <c r="B365" s="1" t="s">
        <v>514</v>
      </c>
      <c r="C365" s="2" t="s">
        <v>10</v>
      </c>
      <c r="D365" s="3">
        <v>18</v>
      </c>
      <c r="E365" s="34">
        <v>1</v>
      </c>
      <c r="F365" s="3">
        <f t="shared" si="36"/>
        <v>18</v>
      </c>
    </row>
    <row r="366" spans="1:6" x14ac:dyDescent="0.25">
      <c r="A366" s="32" t="s">
        <v>64</v>
      </c>
      <c r="B366" s="1" t="s">
        <v>515</v>
      </c>
      <c r="C366" s="2" t="s">
        <v>10</v>
      </c>
      <c r="D366" s="3">
        <v>12</v>
      </c>
      <c r="E366" s="34">
        <v>5</v>
      </c>
      <c r="F366" s="3">
        <f t="shared" si="36"/>
        <v>60</v>
      </c>
    </row>
    <row r="367" spans="1:6" x14ac:dyDescent="0.25">
      <c r="A367" s="32" t="s">
        <v>103</v>
      </c>
      <c r="B367" s="1" t="s">
        <v>582</v>
      </c>
      <c r="C367" s="2" t="s">
        <v>10</v>
      </c>
      <c r="D367" s="3">
        <v>15</v>
      </c>
      <c r="E367" s="34">
        <v>6</v>
      </c>
      <c r="F367" s="3">
        <f t="shared" si="36"/>
        <v>90</v>
      </c>
    </row>
    <row r="368" spans="1:6" x14ac:dyDescent="0.25">
      <c r="A368" s="32" t="s">
        <v>147</v>
      </c>
      <c r="B368" s="1" t="s">
        <v>516</v>
      </c>
      <c r="C368" s="2" t="s">
        <v>104</v>
      </c>
      <c r="D368" s="3">
        <v>3</v>
      </c>
      <c r="E368" s="34">
        <v>55</v>
      </c>
      <c r="F368" s="3">
        <f t="shared" si="33"/>
        <v>165</v>
      </c>
    </row>
    <row r="369" spans="1:6" ht="79.2" x14ac:dyDescent="0.25">
      <c r="A369" s="32" t="s">
        <v>148</v>
      </c>
      <c r="B369" s="1" t="s">
        <v>517</v>
      </c>
      <c r="C369" s="2" t="s">
        <v>10</v>
      </c>
      <c r="D369" s="3">
        <v>40</v>
      </c>
      <c r="E369" s="34">
        <v>3.5</v>
      </c>
      <c r="F369" s="3">
        <f t="shared" si="33"/>
        <v>140</v>
      </c>
    </row>
    <row r="370" spans="1:6" ht="66" x14ac:dyDescent="0.25">
      <c r="A370" s="32" t="s">
        <v>149</v>
      </c>
      <c r="B370" s="1" t="s">
        <v>518</v>
      </c>
      <c r="C370" s="2" t="s">
        <v>46</v>
      </c>
      <c r="D370" s="51">
        <v>1</v>
      </c>
      <c r="E370" s="34">
        <v>650</v>
      </c>
      <c r="F370" s="3">
        <f t="shared" si="33"/>
        <v>650</v>
      </c>
    </row>
    <row r="371" spans="1:6" ht="26.4" x14ac:dyDescent="0.25">
      <c r="A371" s="32" t="s">
        <v>150</v>
      </c>
      <c r="B371" s="1" t="s">
        <v>519</v>
      </c>
      <c r="C371" s="2" t="s">
        <v>46</v>
      </c>
      <c r="D371" s="51">
        <v>1</v>
      </c>
      <c r="E371" s="34">
        <v>200</v>
      </c>
      <c r="F371" s="3">
        <f t="shared" si="33"/>
        <v>200</v>
      </c>
    </row>
    <row r="372" spans="1:6" ht="79.2" x14ac:dyDescent="0.25">
      <c r="A372" s="32" t="s">
        <v>151</v>
      </c>
      <c r="B372" s="1" t="s">
        <v>520</v>
      </c>
      <c r="C372" s="2" t="s">
        <v>104</v>
      </c>
      <c r="D372" s="3">
        <v>50</v>
      </c>
      <c r="E372" s="34">
        <v>11</v>
      </c>
      <c r="F372" s="3">
        <f t="shared" si="33"/>
        <v>550</v>
      </c>
    </row>
    <row r="373" spans="1:6" ht="118.8" x14ac:dyDescent="0.25">
      <c r="A373" s="32" t="s">
        <v>152</v>
      </c>
      <c r="B373" s="1" t="s">
        <v>521</v>
      </c>
      <c r="C373" s="2" t="s">
        <v>10</v>
      </c>
      <c r="D373" s="3">
        <v>105</v>
      </c>
      <c r="E373" s="34">
        <v>72</v>
      </c>
      <c r="F373" s="3">
        <f t="shared" si="33"/>
        <v>7560</v>
      </c>
    </row>
    <row r="374" spans="1:6" x14ac:dyDescent="0.25">
      <c r="A374" s="32" t="s">
        <v>153</v>
      </c>
      <c r="B374" s="1" t="s">
        <v>522</v>
      </c>
      <c r="C374" s="2" t="s">
        <v>46</v>
      </c>
      <c r="D374" s="51">
        <v>1</v>
      </c>
      <c r="E374" s="34">
        <v>550</v>
      </c>
      <c r="F374" s="3">
        <f t="shared" si="33"/>
        <v>550</v>
      </c>
    </row>
    <row r="375" spans="1:6" ht="26.4" x14ac:dyDescent="0.25">
      <c r="A375" s="32" t="s">
        <v>154</v>
      </c>
      <c r="B375" s="1" t="s">
        <v>523</v>
      </c>
      <c r="C375" s="2" t="s">
        <v>46</v>
      </c>
      <c r="D375" s="51">
        <v>1</v>
      </c>
      <c r="E375" s="34">
        <v>1000</v>
      </c>
      <c r="F375" s="3">
        <f t="shared" si="33"/>
        <v>1000</v>
      </c>
    </row>
    <row r="376" spans="1:6" x14ac:dyDescent="0.25">
      <c r="B376" s="44" t="s">
        <v>186</v>
      </c>
      <c r="C376" s="6"/>
      <c r="D376" s="6"/>
      <c r="E376" s="21"/>
      <c r="F376" s="42">
        <f>SUM(F350:F375)</f>
        <v>27162</v>
      </c>
    </row>
    <row r="377" spans="1:6" x14ac:dyDescent="0.25">
      <c r="B377" s="44"/>
      <c r="C377" s="6"/>
      <c r="D377" s="6"/>
      <c r="E377" s="21"/>
    </row>
    <row r="378" spans="1:6" x14ac:dyDescent="0.25">
      <c r="A378" s="45" t="s">
        <v>11</v>
      </c>
      <c r="B378" s="61" t="s">
        <v>348</v>
      </c>
      <c r="C378" s="41"/>
      <c r="D378" s="41"/>
      <c r="E378" s="62"/>
      <c r="F378" s="41"/>
    </row>
    <row r="379" spans="1:6" ht="66" x14ac:dyDescent="0.25">
      <c r="A379" s="32" t="s">
        <v>26</v>
      </c>
      <c r="B379" s="1" t="s">
        <v>349</v>
      </c>
      <c r="C379" s="2" t="s">
        <v>46</v>
      </c>
      <c r="D379" s="51">
        <v>1</v>
      </c>
      <c r="E379" s="34">
        <v>150</v>
      </c>
      <c r="F379" s="3">
        <f t="shared" ref="F379:F382" si="37">D379*$E379</f>
        <v>150</v>
      </c>
    </row>
    <row r="380" spans="1:6" ht="52.8" x14ac:dyDescent="0.25">
      <c r="A380" s="32" t="s">
        <v>27</v>
      </c>
      <c r="B380" s="1" t="s">
        <v>524</v>
      </c>
      <c r="C380" s="2" t="s">
        <v>46</v>
      </c>
      <c r="D380" s="51">
        <v>1</v>
      </c>
      <c r="E380" s="34">
        <v>250</v>
      </c>
      <c r="F380" s="3">
        <f t="shared" si="37"/>
        <v>250</v>
      </c>
    </row>
    <row r="381" spans="1:6" ht="52.8" x14ac:dyDescent="0.25">
      <c r="A381" s="32" t="s">
        <v>28</v>
      </c>
      <c r="B381" s="1" t="s">
        <v>525</v>
      </c>
      <c r="C381" s="2" t="s">
        <v>46</v>
      </c>
      <c r="D381" s="51">
        <v>1</v>
      </c>
      <c r="E381" s="34">
        <v>80</v>
      </c>
      <c r="F381" s="3">
        <f t="shared" si="37"/>
        <v>80</v>
      </c>
    </row>
    <row r="382" spans="1:6" ht="52.8" x14ac:dyDescent="0.25">
      <c r="A382" s="32" t="s">
        <v>29</v>
      </c>
      <c r="B382" s="1" t="s">
        <v>526</v>
      </c>
      <c r="C382" s="2" t="s">
        <v>46</v>
      </c>
      <c r="D382" s="51">
        <v>1</v>
      </c>
      <c r="E382" s="34">
        <v>90</v>
      </c>
      <c r="F382" s="3">
        <f t="shared" si="37"/>
        <v>90</v>
      </c>
    </row>
    <row r="383" spans="1:6" x14ac:dyDescent="0.25">
      <c r="B383" s="44" t="s">
        <v>527</v>
      </c>
      <c r="C383" s="6"/>
      <c r="D383" s="6"/>
      <c r="E383" s="21"/>
      <c r="F383" s="42">
        <f>SUM(F379:F382)</f>
        <v>570</v>
      </c>
    </row>
    <row r="384" spans="1:6" x14ac:dyDescent="0.25">
      <c r="B384" s="44"/>
      <c r="C384" s="6"/>
      <c r="D384" s="6"/>
      <c r="E384" s="21"/>
    </row>
    <row r="385" spans="1:6" x14ac:dyDescent="0.25">
      <c r="B385" s="44"/>
      <c r="C385" s="6"/>
      <c r="D385" s="6"/>
      <c r="E385" s="21"/>
    </row>
    <row r="386" spans="1:6" x14ac:dyDescent="0.25">
      <c r="B386" s="44"/>
      <c r="C386" s="6"/>
      <c r="D386" s="6"/>
      <c r="E386" s="21"/>
    </row>
    <row r="387" spans="1:6" x14ac:dyDescent="0.25">
      <c r="B387" s="44"/>
      <c r="C387" s="6"/>
      <c r="D387" s="6"/>
      <c r="E387" s="21"/>
    </row>
    <row r="388" spans="1:6" x14ac:dyDescent="0.25">
      <c r="A388" s="45" t="s">
        <v>81</v>
      </c>
      <c r="B388" s="23" t="s">
        <v>528</v>
      </c>
    </row>
    <row r="390" spans="1:6" x14ac:dyDescent="0.25">
      <c r="A390" s="45" t="s">
        <v>6</v>
      </c>
      <c r="B390" s="19" t="s">
        <v>168</v>
      </c>
      <c r="C390" s="22"/>
      <c r="D390" s="42"/>
      <c r="E390" s="49"/>
      <c r="F390" s="42">
        <f>SUM(F376)</f>
        <v>27162</v>
      </c>
    </row>
    <row r="391" spans="1:6" x14ac:dyDescent="0.25">
      <c r="A391" s="45" t="s">
        <v>11</v>
      </c>
      <c r="B391" s="70" t="s">
        <v>348</v>
      </c>
      <c r="C391" s="22"/>
      <c r="D391" s="42"/>
      <c r="E391" s="47"/>
      <c r="F391" s="42">
        <f>SUM(F383)</f>
        <v>570</v>
      </c>
    </row>
    <row r="392" spans="1:6" x14ac:dyDescent="0.25">
      <c r="A392" s="45"/>
      <c r="B392" s="19"/>
      <c r="C392" s="22"/>
      <c r="D392" s="42"/>
      <c r="E392" s="47"/>
      <c r="F392" s="42"/>
    </row>
    <row r="393" spans="1:6" x14ac:dyDescent="0.25">
      <c r="A393" s="45"/>
      <c r="B393" s="35" t="s">
        <v>529</v>
      </c>
      <c r="C393" s="22"/>
      <c r="D393" s="42"/>
      <c r="E393" s="49"/>
      <c r="F393" s="42">
        <f>SUM(F390:F391)</f>
        <v>27732</v>
      </c>
    </row>
    <row r="398" spans="1:6" x14ac:dyDescent="0.25">
      <c r="A398" s="45"/>
      <c r="B398" s="23" t="s">
        <v>585</v>
      </c>
    </row>
    <row r="400" spans="1:6" x14ac:dyDescent="0.25">
      <c r="A400" s="45" t="s">
        <v>20</v>
      </c>
      <c r="B400" s="19" t="s">
        <v>187</v>
      </c>
      <c r="C400" s="22"/>
      <c r="D400" s="42"/>
      <c r="E400" s="49"/>
      <c r="F400" s="42">
        <f>SUM(F174)</f>
        <v>396504.5</v>
      </c>
    </row>
    <row r="401" spans="1:6" x14ac:dyDescent="0.25">
      <c r="A401" s="45" t="s">
        <v>45</v>
      </c>
      <c r="B401" s="23" t="s">
        <v>296</v>
      </c>
      <c r="C401" s="22"/>
      <c r="D401" s="42"/>
      <c r="E401" s="49"/>
      <c r="F401" s="42">
        <f>SUM(F223)</f>
        <v>12600</v>
      </c>
    </row>
    <row r="402" spans="1:6" x14ac:dyDescent="0.25">
      <c r="A402" s="45" t="s">
        <v>80</v>
      </c>
      <c r="B402" s="19" t="s">
        <v>501</v>
      </c>
      <c r="C402" s="22"/>
      <c r="D402" s="42"/>
      <c r="E402" s="49"/>
      <c r="F402" s="42">
        <f>SUM(F343)</f>
        <v>47127.29</v>
      </c>
    </row>
    <row r="403" spans="1:6" x14ac:dyDescent="0.25">
      <c r="A403" s="45" t="s">
        <v>81</v>
      </c>
      <c r="B403" s="19" t="s">
        <v>504</v>
      </c>
      <c r="C403" s="22"/>
      <c r="D403" s="42"/>
      <c r="E403" s="49"/>
      <c r="F403" s="42">
        <f>SUM(F393)</f>
        <v>27732</v>
      </c>
    </row>
    <row r="404" spans="1:6" x14ac:dyDescent="0.25">
      <c r="A404" s="45"/>
      <c r="B404" s="19"/>
      <c r="C404" s="22"/>
      <c r="D404" s="42"/>
      <c r="E404" s="49"/>
      <c r="F404" s="42"/>
    </row>
    <row r="405" spans="1:6" x14ac:dyDescent="0.25">
      <c r="A405" s="45"/>
      <c r="B405" s="44" t="s">
        <v>685</v>
      </c>
      <c r="C405" s="22"/>
      <c r="D405" s="42"/>
      <c r="E405" s="49"/>
      <c r="F405" s="42">
        <f>SUM(F400:F403)</f>
        <v>483963.79</v>
      </c>
    </row>
    <row r="695" ht="390" customHeight="1" x14ac:dyDescent="0.25"/>
  </sheetData>
  <sheetProtection algorithmName="SHA-512" hashValue="MOM5BSu4c1HXWhUv/51cbhWuzpZWGITOsYoErvX/JKvViJucjl1fqGnVN5MTH2G+P/V/L28b5TP8K7WngqRX7A==" saltValue="CBs341OFSSy78+vjtRiYDQ==" spinCount="100000" sheet="1" selectLockedCells="1"/>
  <printOptions horizontalCentered="1" gridLines="1"/>
  <pageMargins left="0.70866141732283472" right="0.70866141732283472" top="0.74803149606299213" bottom="0.74803149606299213" header="0.31496062992125984" footer="0.31496062992125984"/>
  <pageSetup paperSize="9" scale="90" orientation="portrait" r:id="rId1"/>
  <headerFooter>
    <oddHeader>&amp;L&amp;"Arial,Uobičajeno"&amp;10Ministarstvo unutarnjih poslova RH&amp;R&amp;"Arial,Uobičajeno"&amp;10Logistički centar civilne zaštite u Jastrebarskom</oddHeader>
    <oddFooter>&amp;L&amp;"Arial,Uobičajeno"&amp;10Troškovnik radova na uređenju skladišta br. 5&amp;R&amp;"Arial,Uobičajeno"&amp;10stranica &amp;P od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408"/>
  <sheetViews>
    <sheetView showZeros="0" zoomScaleNormal="100" workbookViewId="0">
      <selection activeCell="E7" sqref="E7"/>
    </sheetView>
  </sheetViews>
  <sheetFormatPr defaultRowHeight="13.2" x14ac:dyDescent="0.25"/>
  <cols>
    <col min="1" max="1" width="6.109375" style="32" customWidth="1"/>
    <col min="2" max="2" width="50.6640625" style="1" customWidth="1"/>
    <col min="3" max="3" width="5.6640625" style="2" customWidth="1"/>
    <col min="4" max="4" width="9.6640625" style="3" customWidth="1"/>
    <col min="5" max="5" width="10.88671875" style="34" customWidth="1"/>
    <col min="6" max="6" width="13.6640625" style="3" customWidth="1"/>
    <col min="7" max="213" width="9.109375" style="6"/>
    <col min="214" max="214" width="7.44140625" style="6" customWidth="1"/>
    <col min="215" max="215" width="51.88671875" style="6" customWidth="1"/>
    <col min="216" max="216" width="7.44140625" style="6" customWidth="1"/>
    <col min="217" max="217" width="11.33203125" style="6" customWidth="1"/>
    <col min="218" max="218" width="12.5546875" style="6" customWidth="1"/>
    <col min="219" max="219" width="16.44140625" style="6" customWidth="1"/>
    <col min="220" max="469" width="9.109375" style="6"/>
    <col min="470" max="470" width="7.44140625" style="6" customWidth="1"/>
    <col min="471" max="471" width="51.88671875" style="6" customWidth="1"/>
    <col min="472" max="472" width="7.44140625" style="6" customWidth="1"/>
    <col min="473" max="473" width="11.33203125" style="6" customWidth="1"/>
    <col min="474" max="474" width="12.5546875" style="6" customWidth="1"/>
    <col min="475" max="475" width="16.44140625" style="6" customWidth="1"/>
    <col min="476" max="725" width="9.109375" style="6"/>
    <col min="726" max="726" width="7.44140625" style="6" customWidth="1"/>
    <col min="727" max="727" width="51.88671875" style="6" customWidth="1"/>
    <col min="728" max="728" width="7.44140625" style="6" customWidth="1"/>
    <col min="729" max="729" width="11.33203125" style="6" customWidth="1"/>
    <col min="730" max="730" width="12.5546875" style="6" customWidth="1"/>
    <col min="731" max="731" width="16.44140625" style="6" customWidth="1"/>
    <col min="732" max="981" width="9.109375" style="6"/>
    <col min="982" max="982" width="7.44140625" style="6" customWidth="1"/>
    <col min="983" max="983" width="51.88671875" style="6" customWidth="1"/>
    <col min="984" max="984" width="7.44140625" style="6" customWidth="1"/>
    <col min="985" max="985" width="11.33203125" style="6" customWidth="1"/>
    <col min="986" max="986" width="12.5546875" style="6" customWidth="1"/>
    <col min="987" max="987" width="16.44140625" style="6" customWidth="1"/>
    <col min="988" max="1237" width="9.109375" style="6"/>
    <col min="1238" max="1238" width="7.44140625" style="6" customWidth="1"/>
    <col min="1239" max="1239" width="51.88671875" style="6" customWidth="1"/>
    <col min="1240" max="1240" width="7.44140625" style="6" customWidth="1"/>
    <col min="1241" max="1241" width="11.33203125" style="6" customWidth="1"/>
    <col min="1242" max="1242" width="12.5546875" style="6" customWidth="1"/>
    <col min="1243" max="1243" width="16.44140625" style="6" customWidth="1"/>
    <col min="1244" max="1493" width="9.109375" style="6"/>
    <col min="1494" max="1494" width="7.44140625" style="6" customWidth="1"/>
    <col min="1495" max="1495" width="51.88671875" style="6" customWidth="1"/>
    <col min="1496" max="1496" width="7.44140625" style="6" customWidth="1"/>
    <col min="1497" max="1497" width="11.33203125" style="6" customWidth="1"/>
    <col min="1498" max="1498" width="12.5546875" style="6" customWidth="1"/>
    <col min="1499" max="1499" width="16.44140625" style="6" customWidth="1"/>
    <col min="1500" max="1749" width="9.109375" style="6"/>
    <col min="1750" max="1750" width="7.44140625" style="6" customWidth="1"/>
    <col min="1751" max="1751" width="51.88671875" style="6" customWidth="1"/>
    <col min="1752" max="1752" width="7.44140625" style="6" customWidth="1"/>
    <col min="1753" max="1753" width="11.33203125" style="6" customWidth="1"/>
    <col min="1754" max="1754" width="12.5546875" style="6" customWidth="1"/>
    <col min="1755" max="1755" width="16.44140625" style="6" customWidth="1"/>
    <col min="1756" max="2005" width="9.109375" style="6"/>
    <col min="2006" max="2006" width="7.44140625" style="6" customWidth="1"/>
    <col min="2007" max="2007" width="51.88671875" style="6" customWidth="1"/>
    <col min="2008" max="2008" width="7.44140625" style="6" customWidth="1"/>
    <col min="2009" max="2009" width="11.33203125" style="6" customWidth="1"/>
    <col min="2010" max="2010" width="12.5546875" style="6" customWidth="1"/>
    <col min="2011" max="2011" width="16.44140625" style="6" customWidth="1"/>
    <col min="2012" max="2261" width="9.109375" style="6"/>
    <col min="2262" max="2262" width="7.44140625" style="6" customWidth="1"/>
    <col min="2263" max="2263" width="51.88671875" style="6" customWidth="1"/>
    <col min="2264" max="2264" width="7.44140625" style="6" customWidth="1"/>
    <col min="2265" max="2265" width="11.33203125" style="6" customWidth="1"/>
    <col min="2266" max="2266" width="12.5546875" style="6" customWidth="1"/>
    <col min="2267" max="2267" width="16.44140625" style="6" customWidth="1"/>
    <col min="2268" max="2517" width="9.109375" style="6"/>
    <col min="2518" max="2518" width="7.44140625" style="6" customWidth="1"/>
    <col min="2519" max="2519" width="51.88671875" style="6" customWidth="1"/>
    <col min="2520" max="2520" width="7.44140625" style="6" customWidth="1"/>
    <col min="2521" max="2521" width="11.33203125" style="6" customWidth="1"/>
    <col min="2522" max="2522" width="12.5546875" style="6" customWidth="1"/>
    <col min="2523" max="2523" width="16.44140625" style="6" customWidth="1"/>
    <col min="2524" max="2773" width="9.109375" style="6"/>
    <col min="2774" max="2774" width="7.44140625" style="6" customWidth="1"/>
    <col min="2775" max="2775" width="51.88671875" style="6" customWidth="1"/>
    <col min="2776" max="2776" width="7.44140625" style="6" customWidth="1"/>
    <col min="2777" max="2777" width="11.33203125" style="6" customWidth="1"/>
    <col min="2778" max="2778" width="12.5546875" style="6" customWidth="1"/>
    <col min="2779" max="2779" width="16.44140625" style="6" customWidth="1"/>
    <col min="2780" max="3029" width="9.109375" style="6"/>
    <col min="3030" max="3030" width="7.44140625" style="6" customWidth="1"/>
    <col min="3031" max="3031" width="51.88671875" style="6" customWidth="1"/>
    <col min="3032" max="3032" width="7.44140625" style="6" customWidth="1"/>
    <col min="3033" max="3033" width="11.33203125" style="6" customWidth="1"/>
    <col min="3034" max="3034" width="12.5546875" style="6" customWidth="1"/>
    <col min="3035" max="3035" width="16.44140625" style="6" customWidth="1"/>
    <col min="3036" max="3285" width="9.109375" style="6"/>
    <col min="3286" max="3286" width="7.44140625" style="6" customWidth="1"/>
    <col min="3287" max="3287" width="51.88671875" style="6" customWidth="1"/>
    <col min="3288" max="3288" width="7.44140625" style="6" customWidth="1"/>
    <col min="3289" max="3289" width="11.33203125" style="6" customWidth="1"/>
    <col min="3290" max="3290" width="12.5546875" style="6" customWidth="1"/>
    <col min="3291" max="3291" width="16.44140625" style="6" customWidth="1"/>
    <col min="3292" max="3541" width="9.109375" style="6"/>
    <col min="3542" max="3542" width="7.44140625" style="6" customWidth="1"/>
    <col min="3543" max="3543" width="51.88671875" style="6" customWidth="1"/>
    <col min="3544" max="3544" width="7.44140625" style="6" customWidth="1"/>
    <col min="3545" max="3545" width="11.33203125" style="6" customWidth="1"/>
    <col min="3546" max="3546" width="12.5546875" style="6" customWidth="1"/>
    <col min="3547" max="3547" width="16.44140625" style="6" customWidth="1"/>
    <col min="3548" max="3797" width="9.109375" style="6"/>
    <col min="3798" max="3798" width="7.44140625" style="6" customWidth="1"/>
    <col min="3799" max="3799" width="51.88671875" style="6" customWidth="1"/>
    <col min="3800" max="3800" width="7.44140625" style="6" customWidth="1"/>
    <col min="3801" max="3801" width="11.33203125" style="6" customWidth="1"/>
    <col min="3802" max="3802" width="12.5546875" style="6" customWidth="1"/>
    <col min="3803" max="3803" width="16.44140625" style="6" customWidth="1"/>
    <col min="3804" max="4053" width="9.109375" style="6"/>
    <col min="4054" max="4054" width="7.44140625" style="6" customWidth="1"/>
    <col min="4055" max="4055" width="51.88671875" style="6" customWidth="1"/>
    <col min="4056" max="4056" width="7.44140625" style="6" customWidth="1"/>
    <col min="4057" max="4057" width="11.33203125" style="6" customWidth="1"/>
    <col min="4058" max="4058" width="12.5546875" style="6" customWidth="1"/>
    <col min="4059" max="4059" width="16.44140625" style="6" customWidth="1"/>
    <col min="4060" max="4309" width="9.109375" style="6"/>
    <col min="4310" max="4310" width="7.44140625" style="6" customWidth="1"/>
    <col min="4311" max="4311" width="51.88671875" style="6" customWidth="1"/>
    <col min="4312" max="4312" width="7.44140625" style="6" customWidth="1"/>
    <col min="4313" max="4313" width="11.33203125" style="6" customWidth="1"/>
    <col min="4314" max="4314" width="12.5546875" style="6" customWidth="1"/>
    <col min="4315" max="4315" width="16.44140625" style="6" customWidth="1"/>
    <col min="4316" max="4565" width="9.109375" style="6"/>
    <col min="4566" max="4566" width="7.44140625" style="6" customWidth="1"/>
    <col min="4567" max="4567" width="51.88671875" style="6" customWidth="1"/>
    <col min="4568" max="4568" width="7.44140625" style="6" customWidth="1"/>
    <col min="4569" max="4569" width="11.33203125" style="6" customWidth="1"/>
    <col min="4570" max="4570" width="12.5546875" style="6" customWidth="1"/>
    <col min="4571" max="4571" width="16.44140625" style="6" customWidth="1"/>
    <col min="4572" max="4821" width="9.109375" style="6"/>
    <col min="4822" max="4822" width="7.44140625" style="6" customWidth="1"/>
    <col min="4823" max="4823" width="51.88671875" style="6" customWidth="1"/>
    <col min="4824" max="4824" width="7.44140625" style="6" customWidth="1"/>
    <col min="4825" max="4825" width="11.33203125" style="6" customWidth="1"/>
    <col min="4826" max="4826" width="12.5546875" style="6" customWidth="1"/>
    <col min="4827" max="4827" width="16.44140625" style="6" customWidth="1"/>
    <col min="4828" max="5077" width="9.109375" style="6"/>
    <col min="5078" max="5078" width="7.44140625" style="6" customWidth="1"/>
    <col min="5079" max="5079" width="51.88671875" style="6" customWidth="1"/>
    <col min="5080" max="5080" width="7.44140625" style="6" customWidth="1"/>
    <col min="5081" max="5081" width="11.33203125" style="6" customWidth="1"/>
    <col min="5082" max="5082" width="12.5546875" style="6" customWidth="1"/>
    <col min="5083" max="5083" width="16.44140625" style="6" customWidth="1"/>
    <col min="5084" max="5333" width="9.109375" style="6"/>
    <col min="5334" max="5334" width="7.44140625" style="6" customWidth="1"/>
    <col min="5335" max="5335" width="51.88671875" style="6" customWidth="1"/>
    <col min="5336" max="5336" width="7.44140625" style="6" customWidth="1"/>
    <col min="5337" max="5337" width="11.33203125" style="6" customWidth="1"/>
    <col min="5338" max="5338" width="12.5546875" style="6" customWidth="1"/>
    <col min="5339" max="5339" width="16.44140625" style="6" customWidth="1"/>
    <col min="5340" max="5589" width="9.109375" style="6"/>
    <col min="5590" max="5590" width="7.44140625" style="6" customWidth="1"/>
    <col min="5591" max="5591" width="51.88671875" style="6" customWidth="1"/>
    <col min="5592" max="5592" width="7.44140625" style="6" customWidth="1"/>
    <col min="5593" max="5593" width="11.33203125" style="6" customWidth="1"/>
    <col min="5594" max="5594" width="12.5546875" style="6" customWidth="1"/>
    <col min="5595" max="5595" width="16.44140625" style="6" customWidth="1"/>
    <col min="5596" max="5845" width="9.109375" style="6"/>
    <col min="5846" max="5846" width="7.44140625" style="6" customWidth="1"/>
    <col min="5847" max="5847" width="51.88671875" style="6" customWidth="1"/>
    <col min="5848" max="5848" width="7.44140625" style="6" customWidth="1"/>
    <col min="5849" max="5849" width="11.33203125" style="6" customWidth="1"/>
    <col min="5850" max="5850" width="12.5546875" style="6" customWidth="1"/>
    <col min="5851" max="5851" width="16.44140625" style="6" customWidth="1"/>
    <col min="5852" max="6101" width="9.109375" style="6"/>
    <col min="6102" max="6102" width="7.44140625" style="6" customWidth="1"/>
    <col min="6103" max="6103" width="51.88671875" style="6" customWidth="1"/>
    <col min="6104" max="6104" width="7.44140625" style="6" customWidth="1"/>
    <col min="6105" max="6105" width="11.33203125" style="6" customWidth="1"/>
    <col min="6106" max="6106" width="12.5546875" style="6" customWidth="1"/>
    <col min="6107" max="6107" width="16.44140625" style="6" customWidth="1"/>
    <col min="6108" max="6357" width="9.109375" style="6"/>
    <col min="6358" max="6358" width="7.44140625" style="6" customWidth="1"/>
    <col min="6359" max="6359" width="51.88671875" style="6" customWidth="1"/>
    <col min="6360" max="6360" width="7.44140625" style="6" customWidth="1"/>
    <col min="6361" max="6361" width="11.33203125" style="6" customWidth="1"/>
    <col min="6362" max="6362" width="12.5546875" style="6" customWidth="1"/>
    <col min="6363" max="6363" width="16.44140625" style="6" customWidth="1"/>
    <col min="6364" max="6613" width="9.109375" style="6"/>
    <col min="6614" max="6614" width="7.44140625" style="6" customWidth="1"/>
    <col min="6615" max="6615" width="51.88671875" style="6" customWidth="1"/>
    <col min="6616" max="6616" width="7.44140625" style="6" customWidth="1"/>
    <col min="6617" max="6617" width="11.33203125" style="6" customWidth="1"/>
    <col min="6618" max="6618" width="12.5546875" style="6" customWidth="1"/>
    <col min="6619" max="6619" width="16.44140625" style="6" customWidth="1"/>
    <col min="6620" max="6869" width="9.109375" style="6"/>
    <col min="6870" max="6870" width="7.44140625" style="6" customWidth="1"/>
    <col min="6871" max="6871" width="51.88671875" style="6" customWidth="1"/>
    <col min="6872" max="6872" width="7.44140625" style="6" customWidth="1"/>
    <col min="6873" max="6873" width="11.33203125" style="6" customWidth="1"/>
    <col min="6874" max="6874" width="12.5546875" style="6" customWidth="1"/>
    <col min="6875" max="6875" width="16.44140625" style="6" customWidth="1"/>
    <col min="6876" max="7125" width="9.109375" style="6"/>
    <col min="7126" max="7126" width="7.44140625" style="6" customWidth="1"/>
    <col min="7127" max="7127" width="51.88671875" style="6" customWidth="1"/>
    <col min="7128" max="7128" width="7.44140625" style="6" customWidth="1"/>
    <col min="7129" max="7129" width="11.33203125" style="6" customWidth="1"/>
    <col min="7130" max="7130" width="12.5546875" style="6" customWidth="1"/>
    <col min="7131" max="7131" width="16.44140625" style="6" customWidth="1"/>
    <col min="7132" max="7381" width="9.109375" style="6"/>
    <col min="7382" max="7382" width="7.44140625" style="6" customWidth="1"/>
    <col min="7383" max="7383" width="51.88671875" style="6" customWidth="1"/>
    <col min="7384" max="7384" width="7.44140625" style="6" customWidth="1"/>
    <col min="7385" max="7385" width="11.33203125" style="6" customWidth="1"/>
    <col min="7386" max="7386" width="12.5546875" style="6" customWidth="1"/>
    <col min="7387" max="7387" width="16.44140625" style="6" customWidth="1"/>
    <col min="7388" max="7637" width="9.109375" style="6"/>
    <col min="7638" max="7638" width="7.44140625" style="6" customWidth="1"/>
    <col min="7639" max="7639" width="51.88671875" style="6" customWidth="1"/>
    <col min="7640" max="7640" width="7.44140625" style="6" customWidth="1"/>
    <col min="7641" max="7641" width="11.33203125" style="6" customWidth="1"/>
    <col min="7642" max="7642" width="12.5546875" style="6" customWidth="1"/>
    <col min="7643" max="7643" width="16.44140625" style="6" customWidth="1"/>
    <col min="7644" max="7893" width="9.109375" style="6"/>
    <col min="7894" max="7894" width="7.44140625" style="6" customWidth="1"/>
    <col min="7895" max="7895" width="51.88671875" style="6" customWidth="1"/>
    <col min="7896" max="7896" width="7.44140625" style="6" customWidth="1"/>
    <col min="7897" max="7897" width="11.33203125" style="6" customWidth="1"/>
    <col min="7898" max="7898" width="12.5546875" style="6" customWidth="1"/>
    <col min="7899" max="7899" width="16.44140625" style="6" customWidth="1"/>
    <col min="7900" max="8149" width="9.109375" style="6"/>
    <col min="8150" max="8150" width="7.44140625" style="6" customWidth="1"/>
    <col min="8151" max="8151" width="51.88671875" style="6" customWidth="1"/>
    <col min="8152" max="8152" width="7.44140625" style="6" customWidth="1"/>
    <col min="8153" max="8153" width="11.33203125" style="6" customWidth="1"/>
    <col min="8154" max="8154" width="12.5546875" style="6" customWidth="1"/>
    <col min="8155" max="8155" width="16.44140625" style="6" customWidth="1"/>
    <col min="8156" max="8405" width="9.109375" style="6"/>
    <col min="8406" max="8406" width="7.44140625" style="6" customWidth="1"/>
    <col min="8407" max="8407" width="51.88671875" style="6" customWidth="1"/>
    <col min="8408" max="8408" width="7.44140625" style="6" customWidth="1"/>
    <col min="8409" max="8409" width="11.33203125" style="6" customWidth="1"/>
    <col min="8410" max="8410" width="12.5546875" style="6" customWidth="1"/>
    <col min="8411" max="8411" width="16.44140625" style="6" customWidth="1"/>
    <col min="8412" max="8661" width="9.109375" style="6"/>
    <col min="8662" max="8662" width="7.44140625" style="6" customWidth="1"/>
    <col min="8663" max="8663" width="51.88671875" style="6" customWidth="1"/>
    <col min="8664" max="8664" width="7.44140625" style="6" customWidth="1"/>
    <col min="8665" max="8665" width="11.33203125" style="6" customWidth="1"/>
    <col min="8666" max="8666" width="12.5546875" style="6" customWidth="1"/>
    <col min="8667" max="8667" width="16.44140625" style="6" customWidth="1"/>
    <col min="8668" max="8917" width="9.109375" style="6"/>
    <col min="8918" max="8918" width="7.44140625" style="6" customWidth="1"/>
    <col min="8919" max="8919" width="51.88671875" style="6" customWidth="1"/>
    <col min="8920" max="8920" width="7.44140625" style="6" customWidth="1"/>
    <col min="8921" max="8921" width="11.33203125" style="6" customWidth="1"/>
    <col min="8922" max="8922" width="12.5546875" style="6" customWidth="1"/>
    <col min="8923" max="8923" width="16.44140625" style="6" customWidth="1"/>
    <col min="8924" max="9173" width="9.109375" style="6"/>
    <col min="9174" max="9174" width="7.44140625" style="6" customWidth="1"/>
    <col min="9175" max="9175" width="51.88671875" style="6" customWidth="1"/>
    <col min="9176" max="9176" width="7.44140625" style="6" customWidth="1"/>
    <col min="9177" max="9177" width="11.33203125" style="6" customWidth="1"/>
    <col min="9178" max="9178" width="12.5546875" style="6" customWidth="1"/>
    <col min="9179" max="9179" width="16.44140625" style="6" customWidth="1"/>
    <col min="9180" max="9429" width="9.109375" style="6"/>
    <col min="9430" max="9430" width="7.44140625" style="6" customWidth="1"/>
    <col min="9431" max="9431" width="51.88671875" style="6" customWidth="1"/>
    <col min="9432" max="9432" width="7.44140625" style="6" customWidth="1"/>
    <col min="9433" max="9433" width="11.33203125" style="6" customWidth="1"/>
    <col min="9434" max="9434" width="12.5546875" style="6" customWidth="1"/>
    <col min="9435" max="9435" width="16.44140625" style="6" customWidth="1"/>
    <col min="9436" max="9685" width="9.109375" style="6"/>
    <col min="9686" max="9686" width="7.44140625" style="6" customWidth="1"/>
    <col min="9687" max="9687" width="51.88671875" style="6" customWidth="1"/>
    <col min="9688" max="9688" width="7.44140625" style="6" customWidth="1"/>
    <col min="9689" max="9689" width="11.33203125" style="6" customWidth="1"/>
    <col min="9690" max="9690" width="12.5546875" style="6" customWidth="1"/>
    <col min="9691" max="9691" width="16.44140625" style="6" customWidth="1"/>
    <col min="9692" max="9941" width="9.109375" style="6"/>
    <col min="9942" max="9942" width="7.44140625" style="6" customWidth="1"/>
    <col min="9943" max="9943" width="51.88671875" style="6" customWidth="1"/>
    <col min="9944" max="9944" width="7.44140625" style="6" customWidth="1"/>
    <col min="9945" max="9945" width="11.33203125" style="6" customWidth="1"/>
    <col min="9946" max="9946" width="12.5546875" style="6" customWidth="1"/>
    <col min="9947" max="9947" width="16.44140625" style="6" customWidth="1"/>
    <col min="9948" max="10197" width="9.109375" style="6"/>
    <col min="10198" max="10198" width="7.44140625" style="6" customWidth="1"/>
    <col min="10199" max="10199" width="51.88671875" style="6" customWidth="1"/>
    <col min="10200" max="10200" width="7.44140625" style="6" customWidth="1"/>
    <col min="10201" max="10201" width="11.33203125" style="6" customWidth="1"/>
    <col min="10202" max="10202" width="12.5546875" style="6" customWidth="1"/>
    <col min="10203" max="10203" width="16.44140625" style="6" customWidth="1"/>
    <col min="10204" max="10453" width="9.109375" style="6"/>
    <col min="10454" max="10454" width="7.44140625" style="6" customWidth="1"/>
    <col min="10455" max="10455" width="51.88671875" style="6" customWidth="1"/>
    <col min="10456" max="10456" width="7.44140625" style="6" customWidth="1"/>
    <col min="10457" max="10457" width="11.33203125" style="6" customWidth="1"/>
    <col min="10458" max="10458" width="12.5546875" style="6" customWidth="1"/>
    <col min="10459" max="10459" width="16.44140625" style="6" customWidth="1"/>
    <col min="10460" max="10709" width="9.109375" style="6"/>
    <col min="10710" max="10710" width="7.44140625" style="6" customWidth="1"/>
    <col min="10711" max="10711" width="51.88671875" style="6" customWidth="1"/>
    <col min="10712" max="10712" width="7.44140625" style="6" customWidth="1"/>
    <col min="10713" max="10713" width="11.33203125" style="6" customWidth="1"/>
    <col min="10714" max="10714" width="12.5546875" style="6" customWidth="1"/>
    <col min="10715" max="10715" width="16.44140625" style="6" customWidth="1"/>
    <col min="10716" max="10965" width="9.109375" style="6"/>
    <col min="10966" max="10966" width="7.44140625" style="6" customWidth="1"/>
    <col min="10967" max="10967" width="51.88671875" style="6" customWidth="1"/>
    <col min="10968" max="10968" width="7.44140625" style="6" customWidth="1"/>
    <col min="10969" max="10969" width="11.33203125" style="6" customWidth="1"/>
    <col min="10970" max="10970" width="12.5546875" style="6" customWidth="1"/>
    <col min="10971" max="10971" width="16.44140625" style="6" customWidth="1"/>
    <col min="10972" max="11221" width="9.109375" style="6"/>
    <col min="11222" max="11222" width="7.44140625" style="6" customWidth="1"/>
    <col min="11223" max="11223" width="51.88671875" style="6" customWidth="1"/>
    <col min="11224" max="11224" width="7.44140625" style="6" customWidth="1"/>
    <col min="11225" max="11225" width="11.33203125" style="6" customWidth="1"/>
    <col min="11226" max="11226" width="12.5546875" style="6" customWidth="1"/>
    <col min="11227" max="11227" width="16.44140625" style="6" customWidth="1"/>
    <col min="11228" max="11477" width="9.109375" style="6"/>
    <col min="11478" max="11478" width="7.44140625" style="6" customWidth="1"/>
    <col min="11479" max="11479" width="51.88671875" style="6" customWidth="1"/>
    <col min="11480" max="11480" width="7.44140625" style="6" customWidth="1"/>
    <col min="11481" max="11481" width="11.33203125" style="6" customWidth="1"/>
    <col min="11482" max="11482" width="12.5546875" style="6" customWidth="1"/>
    <col min="11483" max="11483" width="16.44140625" style="6" customWidth="1"/>
    <col min="11484" max="11733" width="9.109375" style="6"/>
    <col min="11734" max="11734" width="7.44140625" style="6" customWidth="1"/>
    <col min="11735" max="11735" width="51.88671875" style="6" customWidth="1"/>
    <col min="11736" max="11736" width="7.44140625" style="6" customWidth="1"/>
    <col min="11737" max="11737" width="11.33203125" style="6" customWidth="1"/>
    <col min="11738" max="11738" width="12.5546875" style="6" customWidth="1"/>
    <col min="11739" max="11739" width="16.44140625" style="6" customWidth="1"/>
    <col min="11740" max="11989" width="9.109375" style="6"/>
    <col min="11990" max="11990" width="7.44140625" style="6" customWidth="1"/>
    <col min="11991" max="11991" width="51.88671875" style="6" customWidth="1"/>
    <col min="11992" max="11992" width="7.44140625" style="6" customWidth="1"/>
    <col min="11993" max="11993" width="11.33203125" style="6" customWidth="1"/>
    <col min="11994" max="11994" width="12.5546875" style="6" customWidth="1"/>
    <col min="11995" max="11995" width="16.44140625" style="6" customWidth="1"/>
    <col min="11996" max="12245" width="9.109375" style="6"/>
    <col min="12246" max="12246" width="7.44140625" style="6" customWidth="1"/>
    <col min="12247" max="12247" width="51.88671875" style="6" customWidth="1"/>
    <col min="12248" max="12248" width="7.44140625" style="6" customWidth="1"/>
    <col min="12249" max="12249" width="11.33203125" style="6" customWidth="1"/>
    <col min="12250" max="12250" width="12.5546875" style="6" customWidth="1"/>
    <col min="12251" max="12251" width="16.44140625" style="6" customWidth="1"/>
    <col min="12252" max="12501" width="9.109375" style="6"/>
    <col min="12502" max="12502" width="7.44140625" style="6" customWidth="1"/>
    <col min="12503" max="12503" width="51.88671875" style="6" customWidth="1"/>
    <col min="12504" max="12504" width="7.44140625" style="6" customWidth="1"/>
    <col min="12505" max="12505" width="11.33203125" style="6" customWidth="1"/>
    <col min="12506" max="12506" width="12.5546875" style="6" customWidth="1"/>
    <col min="12507" max="12507" width="16.44140625" style="6" customWidth="1"/>
    <col min="12508" max="12757" width="9.109375" style="6"/>
    <col min="12758" max="12758" width="7.44140625" style="6" customWidth="1"/>
    <col min="12759" max="12759" width="51.88671875" style="6" customWidth="1"/>
    <col min="12760" max="12760" width="7.44140625" style="6" customWidth="1"/>
    <col min="12761" max="12761" width="11.33203125" style="6" customWidth="1"/>
    <col min="12762" max="12762" width="12.5546875" style="6" customWidth="1"/>
    <col min="12763" max="12763" width="16.44140625" style="6" customWidth="1"/>
    <col min="12764" max="13013" width="9.109375" style="6"/>
    <col min="13014" max="13014" width="7.44140625" style="6" customWidth="1"/>
    <col min="13015" max="13015" width="51.88671875" style="6" customWidth="1"/>
    <col min="13016" max="13016" width="7.44140625" style="6" customWidth="1"/>
    <col min="13017" max="13017" width="11.33203125" style="6" customWidth="1"/>
    <col min="13018" max="13018" width="12.5546875" style="6" customWidth="1"/>
    <col min="13019" max="13019" width="16.44140625" style="6" customWidth="1"/>
    <col min="13020" max="13269" width="9.109375" style="6"/>
    <col min="13270" max="13270" width="7.44140625" style="6" customWidth="1"/>
    <col min="13271" max="13271" width="51.88671875" style="6" customWidth="1"/>
    <col min="13272" max="13272" width="7.44140625" style="6" customWidth="1"/>
    <col min="13273" max="13273" width="11.33203125" style="6" customWidth="1"/>
    <col min="13274" max="13274" width="12.5546875" style="6" customWidth="1"/>
    <col min="13275" max="13275" width="16.44140625" style="6" customWidth="1"/>
    <col min="13276" max="13525" width="9.109375" style="6"/>
    <col min="13526" max="13526" width="7.44140625" style="6" customWidth="1"/>
    <col min="13527" max="13527" width="51.88671875" style="6" customWidth="1"/>
    <col min="13528" max="13528" width="7.44140625" style="6" customWidth="1"/>
    <col min="13529" max="13529" width="11.33203125" style="6" customWidth="1"/>
    <col min="13530" max="13530" width="12.5546875" style="6" customWidth="1"/>
    <col min="13531" max="13531" width="16.44140625" style="6" customWidth="1"/>
    <col min="13532" max="13781" width="9.109375" style="6"/>
    <col min="13782" max="13782" width="7.44140625" style="6" customWidth="1"/>
    <col min="13783" max="13783" width="51.88671875" style="6" customWidth="1"/>
    <col min="13784" max="13784" width="7.44140625" style="6" customWidth="1"/>
    <col min="13785" max="13785" width="11.33203125" style="6" customWidth="1"/>
    <col min="13786" max="13786" width="12.5546875" style="6" customWidth="1"/>
    <col min="13787" max="13787" width="16.44140625" style="6" customWidth="1"/>
    <col min="13788" max="14037" width="9.109375" style="6"/>
    <col min="14038" max="14038" width="7.44140625" style="6" customWidth="1"/>
    <col min="14039" max="14039" width="51.88671875" style="6" customWidth="1"/>
    <col min="14040" max="14040" width="7.44140625" style="6" customWidth="1"/>
    <col min="14041" max="14041" width="11.33203125" style="6" customWidth="1"/>
    <col min="14042" max="14042" width="12.5546875" style="6" customWidth="1"/>
    <col min="14043" max="14043" width="16.44140625" style="6" customWidth="1"/>
    <col min="14044" max="14293" width="9.109375" style="6"/>
    <col min="14294" max="14294" width="7.44140625" style="6" customWidth="1"/>
    <col min="14295" max="14295" width="51.88671875" style="6" customWidth="1"/>
    <col min="14296" max="14296" width="7.44140625" style="6" customWidth="1"/>
    <col min="14297" max="14297" width="11.33203125" style="6" customWidth="1"/>
    <col min="14298" max="14298" width="12.5546875" style="6" customWidth="1"/>
    <col min="14299" max="14299" width="16.44140625" style="6" customWidth="1"/>
    <col min="14300" max="14549" width="9.109375" style="6"/>
    <col min="14550" max="14550" width="7.44140625" style="6" customWidth="1"/>
    <col min="14551" max="14551" width="51.88671875" style="6" customWidth="1"/>
    <col min="14552" max="14552" width="7.44140625" style="6" customWidth="1"/>
    <col min="14553" max="14553" width="11.33203125" style="6" customWidth="1"/>
    <col min="14554" max="14554" width="12.5546875" style="6" customWidth="1"/>
    <col min="14555" max="14555" width="16.44140625" style="6" customWidth="1"/>
    <col min="14556" max="14805" width="9.109375" style="6"/>
    <col min="14806" max="14806" width="7.44140625" style="6" customWidth="1"/>
    <col min="14807" max="14807" width="51.88671875" style="6" customWidth="1"/>
    <col min="14808" max="14808" width="7.44140625" style="6" customWidth="1"/>
    <col min="14809" max="14809" width="11.33203125" style="6" customWidth="1"/>
    <col min="14810" max="14810" width="12.5546875" style="6" customWidth="1"/>
    <col min="14811" max="14811" width="16.44140625" style="6" customWidth="1"/>
    <col min="14812" max="15061" width="9.109375" style="6"/>
    <col min="15062" max="15062" width="7.44140625" style="6" customWidth="1"/>
    <col min="15063" max="15063" width="51.88671875" style="6" customWidth="1"/>
    <col min="15064" max="15064" width="7.44140625" style="6" customWidth="1"/>
    <col min="15065" max="15065" width="11.33203125" style="6" customWidth="1"/>
    <col min="15066" max="15066" width="12.5546875" style="6" customWidth="1"/>
    <col min="15067" max="15067" width="16.44140625" style="6" customWidth="1"/>
    <col min="15068" max="15317" width="9.109375" style="6"/>
    <col min="15318" max="15318" width="7.44140625" style="6" customWidth="1"/>
    <col min="15319" max="15319" width="51.88671875" style="6" customWidth="1"/>
    <col min="15320" max="15320" width="7.44140625" style="6" customWidth="1"/>
    <col min="15321" max="15321" width="11.33203125" style="6" customWidth="1"/>
    <col min="15322" max="15322" width="12.5546875" style="6" customWidth="1"/>
    <col min="15323" max="15323" width="16.44140625" style="6" customWidth="1"/>
    <col min="15324" max="15573" width="9.109375" style="6"/>
    <col min="15574" max="15574" width="7.44140625" style="6" customWidth="1"/>
    <col min="15575" max="15575" width="51.88671875" style="6" customWidth="1"/>
    <col min="15576" max="15576" width="7.44140625" style="6" customWidth="1"/>
    <col min="15577" max="15577" width="11.33203125" style="6" customWidth="1"/>
    <col min="15578" max="15578" width="12.5546875" style="6" customWidth="1"/>
    <col min="15579" max="15579" width="16.44140625" style="6" customWidth="1"/>
    <col min="15580" max="15829" width="9.109375" style="6"/>
    <col min="15830" max="15830" width="7.44140625" style="6" customWidth="1"/>
    <col min="15831" max="15831" width="51.88671875" style="6" customWidth="1"/>
    <col min="15832" max="15832" width="7.44140625" style="6" customWidth="1"/>
    <col min="15833" max="15833" width="11.33203125" style="6" customWidth="1"/>
    <col min="15834" max="15834" width="12.5546875" style="6" customWidth="1"/>
    <col min="15835" max="15835" width="16.44140625" style="6" customWidth="1"/>
    <col min="15836" max="16085" width="9.109375" style="6"/>
    <col min="16086" max="16086" width="7.44140625" style="6" customWidth="1"/>
    <col min="16087" max="16087" width="51.88671875" style="6" customWidth="1"/>
    <col min="16088" max="16088" width="7.44140625" style="6" customWidth="1"/>
    <col min="16089" max="16089" width="11.33203125" style="6" customWidth="1"/>
    <col min="16090" max="16090" width="12.5546875" style="6" customWidth="1"/>
    <col min="16091" max="16091" width="16.44140625" style="6" customWidth="1"/>
    <col min="16092" max="16384" width="9.109375" style="6"/>
  </cols>
  <sheetData>
    <row r="1" spans="1:6" s="37" customFormat="1" ht="22.8" x14ac:dyDescent="0.3">
      <c r="A1" s="52" t="s">
        <v>1</v>
      </c>
      <c r="B1" s="53" t="s">
        <v>2</v>
      </c>
      <c r="C1" s="54" t="s">
        <v>100</v>
      </c>
      <c r="D1" s="55" t="s">
        <v>3</v>
      </c>
      <c r="E1" s="56" t="s">
        <v>95</v>
      </c>
      <c r="F1" s="55" t="s">
        <v>96</v>
      </c>
    </row>
    <row r="2" spans="1:6" x14ac:dyDescent="0.25">
      <c r="A2" s="50"/>
      <c r="C2" s="38"/>
      <c r="D2" s="39"/>
      <c r="E2" s="40"/>
      <c r="F2" s="39"/>
    </row>
    <row r="3" spans="1:6" x14ac:dyDescent="0.25">
      <c r="A3" s="45" t="s">
        <v>20</v>
      </c>
      <c r="B3" s="19" t="s">
        <v>97</v>
      </c>
    </row>
    <row r="4" spans="1:6" x14ac:dyDescent="0.25">
      <c r="A4" s="45"/>
      <c r="B4" s="19"/>
    </row>
    <row r="5" spans="1:6" x14ac:dyDescent="0.25">
      <c r="A5" s="44" t="s">
        <v>6</v>
      </c>
      <c r="B5" s="19" t="s">
        <v>82</v>
      </c>
      <c r="C5" s="41"/>
      <c r="D5" s="42"/>
      <c r="E5" s="43"/>
      <c r="F5" s="42"/>
    </row>
    <row r="6" spans="1:6" ht="66" x14ac:dyDescent="0.25">
      <c r="A6" s="32" t="s">
        <v>21</v>
      </c>
      <c r="B6" s="59" t="s">
        <v>101</v>
      </c>
      <c r="C6" s="2" t="s">
        <v>46</v>
      </c>
      <c r="D6" s="51">
        <v>1</v>
      </c>
      <c r="E6" s="34">
        <v>5000</v>
      </c>
      <c r="F6" s="3">
        <f t="shared" ref="F6:F7" si="0">D6*$E6</f>
        <v>5000</v>
      </c>
    </row>
    <row r="7" spans="1:6" ht="66" x14ac:dyDescent="0.25">
      <c r="A7" s="32" t="s">
        <v>22</v>
      </c>
      <c r="B7" s="59" t="s">
        <v>194</v>
      </c>
      <c r="C7" s="2" t="s">
        <v>46</v>
      </c>
      <c r="D7" s="51">
        <v>1</v>
      </c>
      <c r="E7" s="34">
        <v>500</v>
      </c>
      <c r="F7" s="3">
        <f t="shared" si="0"/>
        <v>500</v>
      </c>
    </row>
    <row r="8" spans="1:6" x14ac:dyDescent="0.25">
      <c r="B8" s="44" t="s">
        <v>195</v>
      </c>
      <c r="C8" s="6"/>
      <c r="D8" s="6"/>
      <c r="E8" s="21"/>
      <c r="F8" s="42">
        <f>SUM(F6:F7)</f>
        <v>5500</v>
      </c>
    </row>
    <row r="9" spans="1:6" x14ac:dyDescent="0.25">
      <c r="B9" s="59"/>
    </row>
    <row r="10" spans="1:6" x14ac:dyDescent="0.25">
      <c r="A10" s="45" t="s">
        <v>11</v>
      </c>
      <c r="B10" s="60" t="s">
        <v>196</v>
      </c>
    </row>
    <row r="11" spans="1:6" ht="171.6" x14ac:dyDescent="0.25">
      <c r="A11" s="32" t="s">
        <v>26</v>
      </c>
      <c r="B11" s="59" t="s">
        <v>197</v>
      </c>
      <c r="C11" s="2" t="s">
        <v>9</v>
      </c>
      <c r="D11" s="3">
        <v>50</v>
      </c>
      <c r="E11" s="34">
        <v>50</v>
      </c>
      <c r="F11" s="3">
        <f t="shared" ref="F11:F12" si="1">D11*$E11</f>
        <v>2500</v>
      </c>
    </row>
    <row r="12" spans="1:6" ht="79.2" x14ac:dyDescent="0.25">
      <c r="A12" s="32" t="s">
        <v>27</v>
      </c>
      <c r="B12" s="59" t="s">
        <v>198</v>
      </c>
      <c r="C12" s="2" t="s">
        <v>8</v>
      </c>
      <c r="D12" s="51">
        <v>14</v>
      </c>
      <c r="E12" s="34">
        <v>30</v>
      </c>
      <c r="F12" s="3">
        <f t="shared" si="1"/>
        <v>420</v>
      </c>
    </row>
    <row r="13" spans="1:6" ht="39.6" x14ac:dyDescent="0.25">
      <c r="A13" s="32" t="s">
        <v>28</v>
      </c>
      <c r="B13" s="59" t="s">
        <v>199</v>
      </c>
      <c r="D13" s="51"/>
    </row>
    <row r="14" spans="1:6" x14ac:dyDescent="0.25">
      <c r="A14" s="32" t="s">
        <v>61</v>
      </c>
      <c r="B14" s="59" t="s">
        <v>200</v>
      </c>
      <c r="C14" s="2" t="s">
        <v>10</v>
      </c>
      <c r="D14" s="3">
        <v>200</v>
      </c>
      <c r="E14" s="34">
        <v>1</v>
      </c>
      <c r="F14" s="3">
        <f t="shared" ref="F14:F27" si="2">D14*$E14</f>
        <v>200</v>
      </c>
    </row>
    <row r="15" spans="1:6" x14ac:dyDescent="0.25">
      <c r="A15" s="32" t="s">
        <v>62</v>
      </c>
      <c r="B15" s="59" t="s">
        <v>201</v>
      </c>
      <c r="C15" s="2" t="s">
        <v>8</v>
      </c>
      <c r="D15" s="51">
        <v>20</v>
      </c>
      <c r="E15" s="34">
        <v>10</v>
      </c>
      <c r="F15" s="3">
        <f t="shared" si="2"/>
        <v>200</v>
      </c>
    </row>
    <row r="16" spans="1:6" x14ac:dyDescent="0.25">
      <c r="A16" s="32" t="s">
        <v>63</v>
      </c>
      <c r="B16" s="59" t="s">
        <v>202</v>
      </c>
      <c r="C16" s="2" t="s">
        <v>8</v>
      </c>
      <c r="D16" s="51">
        <v>2</v>
      </c>
      <c r="E16" s="34">
        <v>50</v>
      </c>
      <c r="F16" s="3">
        <f t="shared" si="2"/>
        <v>100</v>
      </c>
    </row>
    <row r="17" spans="1:6" ht="118.8" x14ac:dyDescent="0.25">
      <c r="A17" s="32" t="s">
        <v>29</v>
      </c>
      <c r="B17" s="59" t="s">
        <v>203</v>
      </c>
      <c r="C17" s="2" t="s">
        <v>8</v>
      </c>
      <c r="D17" s="51">
        <v>12</v>
      </c>
      <c r="E17" s="34">
        <v>50</v>
      </c>
      <c r="F17" s="3">
        <f t="shared" si="2"/>
        <v>600</v>
      </c>
    </row>
    <row r="18" spans="1:6" ht="118.8" x14ac:dyDescent="0.25">
      <c r="A18" s="32" t="s">
        <v>52</v>
      </c>
      <c r="B18" s="59" t="s">
        <v>204</v>
      </c>
      <c r="C18" s="2" t="s">
        <v>8</v>
      </c>
      <c r="D18" s="51">
        <v>20</v>
      </c>
      <c r="E18" s="34">
        <v>100</v>
      </c>
      <c r="F18" s="3">
        <f t="shared" si="2"/>
        <v>2000</v>
      </c>
    </row>
    <row r="19" spans="1:6" ht="92.4" x14ac:dyDescent="0.25">
      <c r="A19" s="32" t="s">
        <v>76</v>
      </c>
      <c r="B19" s="59" t="s">
        <v>205</v>
      </c>
      <c r="C19" s="2" t="s">
        <v>8</v>
      </c>
      <c r="D19" s="51">
        <v>1</v>
      </c>
      <c r="E19" s="34">
        <v>100</v>
      </c>
      <c r="F19" s="3">
        <f t="shared" si="2"/>
        <v>100</v>
      </c>
    </row>
    <row r="20" spans="1:6" ht="118.8" x14ac:dyDescent="0.25">
      <c r="A20" s="32" t="s">
        <v>83</v>
      </c>
      <c r="B20" s="1" t="s">
        <v>206</v>
      </c>
      <c r="C20" s="2" t="s">
        <v>10</v>
      </c>
      <c r="D20" s="3">
        <v>100</v>
      </c>
      <c r="E20" s="34">
        <v>2</v>
      </c>
      <c r="F20" s="3">
        <f t="shared" si="2"/>
        <v>200</v>
      </c>
    </row>
    <row r="21" spans="1:6" ht="158.4" x14ac:dyDescent="0.25">
      <c r="A21" s="32" t="s">
        <v>84</v>
      </c>
      <c r="B21" s="59" t="s">
        <v>207</v>
      </c>
      <c r="C21" s="2" t="s">
        <v>10</v>
      </c>
      <c r="D21" s="3">
        <v>150</v>
      </c>
      <c r="E21" s="34">
        <v>5</v>
      </c>
      <c r="F21" s="3">
        <f t="shared" si="2"/>
        <v>750</v>
      </c>
    </row>
    <row r="22" spans="1:6" ht="92.4" x14ac:dyDescent="0.25">
      <c r="A22" s="32" t="s">
        <v>86</v>
      </c>
      <c r="B22" s="59" t="s">
        <v>208</v>
      </c>
      <c r="C22" s="2" t="s">
        <v>7</v>
      </c>
      <c r="D22" s="3">
        <v>650</v>
      </c>
      <c r="E22" s="34">
        <v>22</v>
      </c>
      <c r="F22" s="3">
        <f t="shared" si="2"/>
        <v>14300</v>
      </c>
    </row>
    <row r="23" spans="1:6" ht="92.4" x14ac:dyDescent="0.25">
      <c r="A23" s="32" t="s">
        <v>87</v>
      </c>
      <c r="B23" s="59" t="s">
        <v>209</v>
      </c>
      <c r="C23" s="2" t="s">
        <v>104</v>
      </c>
      <c r="D23" s="3">
        <v>100</v>
      </c>
      <c r="E23" s="34">
        <v>3</v>
      </c>
      <c r="F23" s="3">
        <f t="shared" si="2"/>
        <v>300</v>
      </c>
    </row>
    <row r="24" spans="1:6" ht="171.6" x14ac:dyDescent="0.25">
      <c r="A24" s="32" t="s">
        <v>88</v>
      </c>
      <c r="B24" s="59" t="s">
        <v>210</v>
      </c>
      <c r="C24" s="2" t="s">
        <v>9</v>
      </c>
      <c r="D24" s="3">
        <v>14</v>
      </c>
      <c r="E24" s="34">
        <v>400</v>
      </c>
      <c r="F24" s="3">
        <f t="shared" si="2"/>
        <v>5600</v>
      </c>
    </row>
    <row r="25" spans="1:6" ht="237.6" x14ac:dyDescent="0.25">
      <c r="A25" s="32" t="s">
        <v>89</v>
      </c>
      <c r="B25" s="59" t="s">
        <v>211</v>
      </c>
      <c r="C25" s="2" t="s">
        <v>9</v>
      </c>
      <c r="D25" s="3">
        <v>29</v>
      </c>
      <c r="E25" s="34">
        <v>15</v>
      </c>
      <c r="F25" s="3">
        <f t="shared" si="2"/>
        <v>435</v>
      </c>
    </row>
    <row r="26" spans="1:6" ht="79.2" x14ac:dyDescent="0.25">
      <c r="A26" s="32" t="s">
        <v>90</v>
      </c>
      <c r="B26" s="59" t="s">
        <v>212</v>
      </c>
      <c r="C26" s="2" t="s">
        <v>7</v>
      </c>
      <c r="D26" s="3">
        <v>150</v>
      </c>
      <c r="E26" s="34">
        <v>5</v>
      </c>
      <c r="F26" s="3">
        <f t="shared" si="2"/>
        <v>750</v>
      </c>
    </row>
    <row r="27" spans="1:6" ht="52.8" x14ac:dyDescent="0.25">
      <c r="A27" s="32" t="s">
        <v>157</v>
      </c>
      <c r="B27" s="59" t="s">
        <v>213</v>
      </c>
      <c r="C27" s="2" t="s">
        <v>7</v>
      </c>
      <c r="D27" s="3">
        <v>550</v>
      </c>
      <c r="E27" s="34">
        <v>10</v>
      </c>
      <c r="F27" s="3">
        <f t="shared" si="2"/>
        <v>5500</v>
      </c>
    </row>
    <row r="28" spans="1:6" x14ac:dyDescent="0.25">
      <c r="B28" s="44" t="s">
        <v>214</v>
      </c>
      <c r="C28" s="6"/>
      <c r="D28" s="6"/>
      <c r="E28" s="21"/>
      <c r="F28" s="42">
        <f>SUM(F11:F27)</f>
        <v>33955</v>
      </c>
    </row>
    <row r="29" spans="1:6" x14ac:dyDescent="0.25">
      <c r="B29" s="44"/>
      <c r="C29" s="6"/>
      <c r="D29" s="6"/>
      <c r="E29" s="21"/>
    </row>
    <row r="30" spans="1:6" x14ac:dyDescent="0.25">
      <c r="A30" s="45" t="s">
        <v>12</v>
      </c>
      <c r="B30" s="61" t="s">
        <v>65</v>
      </c>
      <c r="C30" s="41"/>
      <c r="D30" s="41"/>
      <c r="E30" s="62"/>
      <c r="F30" s="41"/>
    </row>
    <row r="31" spans="1:6" ht="184.8" x14ac:dyDescent="0.25">
      <c r="A31" s="32" t="s">
        <v>30</v>
      </c>
      <c r="B31" s="1" t="s">
        <v>215</v>
      </c>
    </row>
    <row r="32" spans="1:6" x14ac:dyDescent="0.25">
      <c r="A32" s="32" t="s">
        <v>61</v>
      </c>
      <c r="B32" s="1" t="s">
        <v>734</v>
      </c>
      <c r="C32" s="2" t="s">
        <v>9</v>
      </c>
      <c r="D32" s="3">
        <v>24</v>
      </c>
      <c r="E32" s="34">
        <v>20</v>
      </c>
      <c r="F32" s="3">
        <f t="shared" ref="F32:F33" si="3">D32*$E32</f>
        <v>480</v>
      </c>
    </row>
    <row r="33" spans="1:6" x14ac:dyDescent="0.25">
      <c r="A33" s="32" t="s">
        <v>62</v>
      </c>
      <c r="B33" s="1" t="s">
        <v>735</v>
      </c>
      <c r="C33" s="2" t="s">
        <v>9</v>
      </c>
      <c r="D33" s="3">
        <v>24</v>
      </c>
      <c r="E33" s="34">
        <v>80</v>
      </c>
      <c r="F33" s="3">
        <f t="shared" si="3"/>
        <v>1920</v>
      </c>
    </row>
    <row r="34" spans="1:6" ht="198" x14ac:dyDescent="0.25">
      <c r="A34" s="32" t="s">
        <v>31</v>
      </c>
      <c r="B34" s="1" t="s">
        <v>216</v>
      </c>
    </row>
    <row r="35" spans="1:6" x14ac:dyDescent="0.25">
      <c r="A35" s="32" t="s">
        <v>61</v>
      </c>
      <c r="B35" s="1" t="s">
        <v>734</v>
      </c>
      <c r="C35" s="2" t="s">
        <v>9</v>
      </c>
      <c r="D35" s="3">
        <v>11</v>
      </c>
      <c r="E35" s="34">
        <v>20</v>
      </c>
      <c r="F35" s="3">
        <f t="shared" ref="F35:F36" si="4">D35*$E35</f>
        <v>220</v>
      </c>
    </row>
    <row r="36" spans="1:6" x14ac:dyDescent="0.25">
      <c r="A36" s="32" t="s">
        <v>62</v>
      </c>
      <c r="B36" s="1" t="s">
        <v>735</v>
      </c>
      <c r="C36" s="2" t="s">
        <v>9</v>
      </c>
      <c r="D36" s="3">
        <v>3</v>
      </c>
      <c r="E36" s="34">
        <v>80</v>
      </c>
      <c r="F36" s="3">
        <f t="shared" si="4"/>
        <v>240</v>
      </c>
    </row>
    <row r="37" spans="1:6" ht="26.4" x14ac:dyDescent="0.25">
      <c r="A37" s="32" t="s">
        <v>32</v>
      </c>
      <c r="B37" s="1" t="s">
        <v>217</v>
      </c>
    </row>
    <row r="38" spans="1:6" x14ac:dyDescent="0.25">
      <c r="A38" s="32" t="s">
        <v>61</v>
      </c>
      <c r="B38" s="1" t="s">
        <v>736</v>
      </c>
      <c r="C38" s="2" t="s">
        <v>7</v>
      </c>
      <c r="D38" s="3">
        <v>65</v>
      </c>
      <c r="E38" s="34">
        <v>5</v>
      </c>
      <c r="F38" s="3">
        <f t="shared" ref="F38:F39" si="5">D38*$E38</f>
        <v>325</v>
      </c>
    </row>
    <row r="39" spans="1:6" x14ac:dyDescent="0.25">
      <c r="A39" s="32" t="s">
        <v>62</v>
      </c>
      <c r="B39" s="1" t="s">
        <v>737</v>
      </c>
      <c r="C39" s="2" t="s">
        <v>7</v>
      </c>
      <c r="D39" s="3">
        <v>65</v>
      </c>
      <c r="E39" s="34">
        <v>5</v>
      </c>
      <c r="F39" s="3">
        <f t="shared" si="5"/>
        <v>325</v>
      </c>
    </row>
    <row r="40" spans="1:6" ht="132" x14ac:dyDescent="0.25">
      <c r="A40" s="32" t="s">
        <v>33</v>
      </c>
      <c r="B40" s="1" t="s">
        <v>218</v>
      </c>
      <c r="C40" s="2" t="s">
        <v>9</v>
      </c>
      <c r="D40" s="3">
        <v>30</v>
      </c>
      <c r="E40" s="34">
        <v>60</v>
      </c>
      <c r="F40" s="3">
        <f t="shared" ref="F40:F42" si="6">D40*$E40</f>
        <v>1800</v>
      </c>
    </row>
    <row r="41" spans="1:6" ht="79.2" x14ac:dyDescent="0.25">
      <c r="A41" s="32" t="s">
        <v>53</v>
      </c>
      <c r="B41" s="1" t="s">
        <v>219</v>
      </c>
      <c r="C41" s="2" t="s">
        <v>7</v>
      </c>
      <c r="D41" s="3">
        <v>20</v>
      </c>
      <c r="E41" s="34">
        <v>20</v>
      </c>
      <c r="F41" s="3">
        <f t="shared" si="6"/>
        <v>400</v>
      </c>
    </row>
    <row r="42" spans="1:6" ht="79.2" x14ac:dyDescent="0.25">
      <c r="A42" s="32" t="s">
        <v>54</v>
      </c>
      <c r="B42" s="1" t="s">
        <v>220</v>
      </c>
      <c r="C42" s="2" t="s">
        <v>46</v>
      </c>
      <c r="D42" s="51">
        <v>1</v>
      </c>
      <c r="E42" s="34">
        <v>300</v>
      </c>
      <c r="F42" s="3">
        <f t="shared" si="6"/>
        <v>300</v>
      </c>
    </row>
    <row r="43" spans="1:6" x14ac:dyDescent="0.25">
      <c r="B43" s="44" t="s">
        <v>221</v>
      </c>
      <c r="C43" s="6"/>
      <c r="D43" s="6"/>
      <c r="E43" s="21"/>
      <c r="F43" s="42">
        <f>SUM(F32:F42)</f>
        <v>6010</v>
      </c>
    </row>
    <row r="44" spans="1:6" x14ac:dyDescent="0.25">
      <c r="B44" s="44"/>
      <c r="C44" s="6"/>
      <c r="D44" s="6"/>
      <c r="E44" s="21"/>
    </row>
    <row r="45" spans="1:6" x14ac:dyDescent="0.25">
      <c r="A45" s="45" t="s">
        <v>13</v>
      </c>
      <c r="B45" s="61" t="s">
        <v>222</v>
      </c>
      <c r="C45" s="41"/>
      <c r="D45" s="41"/>
      <c r="E45" s="62"/>
      <c r="F45" s="41"/>
    </row>
    <row r="46" spans="1:6" ht="158.4" x14ac:dyDescent="0.25">
      <c r="A46" s="32" t="s">
        <v>34</v>
      </c>
      <c r="B46" s="1" t="s">
        <v>225</v>
      </c>
      <c r="D46" s="51"/>
    </row>
    <row r="47" spans="1:6" x14ac:dyDescent="0.25">
      <c r="A47" s="32" t="s">
        <v>61</v>
      </c>
      <c r="B47" s="1" t="s">
        <v>114</v>
      </c>
      <c r="C47" s="2" t="s">
        <v>9</v>
      </c>
      <c r="D47" s="3">
        <v>55</v>
      </c>
      <c r="E47" s="34">
        <v>190</v>
      </c>
      <c r="F47" s="3">
        <f>D47*$E47</f>
        <v>10450</v>
      </c>
    </row>
    <row r="48" spans="1:6" x14ac:dyDescent="0.25">
      <c r="A48" s="32" t="s">
        <v>62</v>
      </c>
      <c r="B48" s="1" t="s">
        <v>102</v>
      </c>
      <c r="C48" s="2" t="s">
        <v>7</v>
      </c>
      <c r="D48" s="3">
        <v>105</v>
      </c>
      <c r="E48" s="34">
        <v>30</v>
      </c>
      <c r="F48" s="3">
        <f>D48*$E48</f>
        <v>3150</v>
      </c>
    </row>
    <row r="49" spans="1:6" x14ac:dyDescent="0.25">
      <c r="A49" s="32" t="s">
        <v>63</v>
      </c>
      <c r="B49" s="1" t="s">
        <v>223</v>
      </c>
      <c r="C49" s="2" t="s">
        <v>104</v>
      </c>
      <c r="D49" s="3">
        <v>4500</v>
      </c>
      <c r="E49" s="34">
        <v>1.5</v>
      </c>
      <c r="F49" s="3">
        <f>D49*$E49</f>
        <v>6750</v>
      </c>
    </row>
    <row r="50" spans="1:6" ht="158.4" x14ac:dyDescent="0.25">
      <c r="A50" s="32" t="s">
        <v>43</v>
      </c>
      <c r="B50" s="1" t="s">
        <v>224</v>
      </c>
      <c r="D50" s="51"/>
    </row>
    <row r="51" spans="1:6" x14ac:dyDescent="0.25">
      <c r="A51" s="32" t="s">
        <v>61</v>
      </c>
      <c r="B51" s="1" t="s">
        <v>114</v>
      </c>
      <c r="C51" s="2" t="s">
        <v>9</v>
      </c>
      <c r="D51" s="3">
        <v>15</v>
      </c>
      <c r="E51" s="34">
        <v>190</v>
      </c>
      <c r="F51" s="3">
        <f>D51*$E51</f>
        <v>2850</v>
      </c>
    </row>
    <row r="52" spans="1:6" x14ac:dyDescent="0.25">
      <c r="A52" s="32" t="s">
        <v>62</v>
      </c>
      <c r="B52" s="1" t="s">
        <v>102</v>
      </c>
      <c r="C52" s="2" t="s">
        <v>7</v>
      </c>
      <c r="D52" s="3">
        <v>80</v>
      </c>
      <c r="E52" s="34">
        <v>30</v>
      </c>
      <c r="F52" s="3">
        <f>D52*$E52</f>
        <v>2400</v>
      </c>
    </row>
    <row r="53" spans="1:6" x14ac:dyDescent="0.25">
      <c r="A53" s="32" t="s">
        <v>63</v>
      </c>
      <c r="B53" s="1" t="s">
        <v>223</v>
      </c>
      <c r="C53" s="2" t="s">
        <v>104</v>
      </c>
      <c r="D53" s="3">
        <v>1500</v>
      </c>
      <c r="E53" s="34">
        <v>1.5</v>
      </c>
      <c r="F53" s="3">
        <f>D53*$E53</f>
        <v>2250</v>
      </c>
    </row>
    <row r="54" spans="1:6" ht="198" x14ac:dyDescent="0.25">
      <c r="A54" s="32" t="s">
        <v>44</v>
      </c>
      <c r="B54" s="1" t="s">
        <v>226</v>
      </c>
    </row>
    <row r="55" spans="1:6" x14ac:dyDescent="0.25">
      <c r="A55" s="32" t="s">
        <v>61</v>
      </c>
      <c r="B55" s="1" t="s">
        <v>114</v>
      </c>
      <c r="C55" s="2" t="s">
        <v>9</v>
      </c>
      <c r="D55" s="3">
        <v>10</v>
      </c>
      <c r="E55" s="34">
        <v>250</v>
      </c>
      <c r="F55" s="3">
        <f>D55*$E55</f>
        <v>2500</v>
      </c>
    </row>
    <row r="56" spans="1:6" x14ac:dyDescent="0.25">
      <c r="A56" s="32" t="s">
        <v>62</v>
      </c>
      <c r="B56" s="1" t="s">
        <v>102</v>
      </c>
      <c r="C56" s="2" t="s">
        <v>7</v>
      </c>
      <c r="D56" s="3">
        <v>30</v>
      </c>
      <c r="E56" s="34">
        <v>50</v>
      </c>
      <c r="F56" s="3">
        <f>D56*$E56</f>
        <v>1500</v>
      </c>
    </row>
    <row r="57" spans="1:6" x14ac:dyDescent="0.25">
      <c r="A57" s="32" t="s">
        <v>63</v>
      </c>
      <c r="B57" s="1" t="s">
        <v>223</v>
      </c>
      <c r="C57" s="2" t="s">
        <v>104</v>
      </c>
      <c r="D57" s="3">
        <v>1000</v>
      </c>
      <c r="E57" s="34">
        <v>1.5</v>
      </c>
      <c r="F57" s="3">
        <f>D57*$E57</f>
        <v>1500</v>
      </c>
    </row>
    <row r="58" spans="1:6" ht="132" x14ac:dyDescent="0.25">
      <c r="A58" s="32" t="s">
        <v>69</v>
      </c>
      <c r="B58" s="1" t="s">
        <v>227</v>
      </c>
    </row>
    <row r="59" spans="1:6" x14ac:dyDescent="0.25">
      <c r="A59" s="32" t="s">
        <v>61</v>
      </c>
      <c r="B59" s="1" t="s">
        <v>114</v>
      </c>
      <c r="C59" s="2" t="s">
        <v>9</v>
      </c>
      <c r="D59" s="3">
        <v>8</v>
      </c>
      <c r="E59" s="34">
        <v>250</v>
      </c>
      <c r="F59" s="3">
        <f>D59*$E59</f>
        <v>2000</v>
      </c>
    </row>
    <row r="60" spans="1:6" x14ac:dyDescent="0.25">
      <c r="A60" s="32" t="s">
        <v>62</v>
      </c>
      <c r="B60" s="1" t="s">
        <v>102</v>
      </c>
      <c r="C60" s="2" t="s">
        <v>7</v>
      </c>
      <c r="D60" s="3">
        <v>25</v>
      </c>
      <c r="E60" s="34">
        <v>50</v>
      </c>
      <c r="F60" s="3">
        <f>D60*$E60</f>
        <v>1250</v>
      </c>
    </row>
    <row r="61" spans="1:6" x14ac:dyDescent="0.25">
      <c r="A61" s="32" t="s">
        <v>63</v>
      </c>
      <c r="B61" s="1" t="s">
        <v>223</v>
      </c>
      <c r="C61" s="2" t="s">
        <v>104</v>
      </c>
      <c r="D61" s="3">
        <v>800</v>
      </c>
      <c r="E61" s="34">
        <v>1.6</v>
      </c>
      <c r="F61" s="3">
        <f>D61*$E61</f>
        <v>1280</v>
      </c>
    </row>
    <row r="62" spans="1:6" ht="145.19999999999999" x14ac:dyDescent="0.25">
      <c r="A62" s="32" t="s">
        <v>78</v>
      </c>
      <c r="B62" s="1" t="s">
        <v>228</v>
      </c>
    </row>
    <row r="63" spans="1:6" x14ac:dyDescent="0.25">
      <c r="A63" s="32" t="s">
        <v>61</v>
      </c>
      <c r="B63" s="1" t="s">
        <v>114</v>
      </c>
      <c r="C63" s="2" t="s">
        <v>9</v>
      </c>
      <c r="D63" s="3">
        <v>7</v>
      </c>
      <c r="E63" s="34">
        <v>250</v>
      </c>
      <c r="F63" s="3">
        <f>D63*$E63</f>
        <v>1750</v>
      </c>
    </row>
    <row r="64" spans="1:6" x14ac:dyDescent="0.25">
      <c r="A64" s="32" t="s">
        <v>62</v>
      </c>
      <c r="B64" s="1" t="s">
        <v>102</v>
      </c>
      <c r="C64" s="2" t="s">
        <v>7</v>
      </c>
      <c r="D64" s="3">
        <v>15</v>
      </c>
      <c r="E64" s="34">
        <v>50</v>
      </c>
      <c r="F64" s="3">
        <f>D64*$E64</f>
        <v>750</v>
      </c>
    </row>
    <row r="65" spans="1:6" x14ac:dyDescent="0.25">
      <c r="A65" s="32" t="s">
        <v>63</v>
      </c>
      <c r="B65" s="1" t="s">
        <v>223</v>
      </c>
      <c r="C65" s="2" t="s">
        <v>104</v>
      </c>
      <c r="D65" s="3">
        <v>700</v>
      </c>
      <c r="E65" s="34">
        <v>1.6</v>
      </c>
      <c r="F65" s="3">
        <f>D65*$E65</f>
        <v>1120</v>
      </c>
    </row>
    <row r="66" spans="1:6" ht="118.8" x14ac:dyDescent="0.25">
      <c r="A66" s="32" t="s">
        <v>79</v>
      </c>
      <c r="B66" s="1" t="s">
        <v>229</v>
      </c>
    </row>
    <row r="67" spans="1:6" x14ac:dyDescent="0.25">
      <c r="A67" s="32" t="s">
        <v>61</v>
      </c>
      <c r="B67" s="1" t="s">
        <v>114</v>
      </c>
      <c r="C67" s="2" t="s">
        <v>9</v>
      </c>
      <c r="D67" s="3">
        <v>3</v>
      </c>
      <c r="E67" s="34">
        <v>500</v>
      </c>
      <c r="F67" s="3">
        <f>D67*$E67</f>
        <v>1500</v>
      </c>
    </row>
    <row r="68" spans="1:6" x14ac:dyDescent="0.25">
      <c r="A68" s="32" t="s">
        <v>62</v>
      </c>
      <c r="B68" s="1" t="s">
        <v>102</v>
      </c>
      <c r="C68" s="2" t="s">
        <v>7</v>
      </c>
      <c r="D68" s="3">
        <v>10</v>
      </c>
      <c r="E68" s="34">
        <v>100</v>
      </c>
      <c r="F68" s="3">
        <f>D68*$E68</f>
        <v>1000</v>
      </c>
    </row>
    <row r="69" spans="1:6" ht="145.19999999999999" x14ac:dyDescent="0.25">
      <c r="A69" s="32" t="s">
        <v>85</v>
      </c>
      <c r="B69" s="1" t="s">
        <v>230</v>
      </c>
    </row>
    <row r="70" spans="1:6" x14ac:dyDescent="0.25">
      <c r="A70" s="32" t="s">
        <v>61</v>
      </c>
      <c r="B70" s="1" t="s">
        <v>231</v>
      </c>
      <c r="C70" s="2" t="s">
        <v>9</v>
      </c>
      <c r="D70" s="3">
        <v>4.7</v>
      </c>
      <c r="E70" s="34">
        <v>190</v>
      </c>
      <c r="F70" s="3">
        <f>D70*$E70</f>
        <v>893</v>
      </c>
    </row>
    <row r="71" spans="1:6" x14ac:dyDescent="0.25">
      <c r="A71" s="32" t="s">
        <v>62</v>
      </c>
      <c r="B71" s="1" t="s">
        <v>232</v>
      </c>
      <c r="C71" s="2" t="s">
        <v>7</v>
      </c>
      <c r="D71" s="3">
        <v>14.5</v>
      </c>
      <c r="E71" s="34">
        <v>50</v>
      </c>
      <c r="F71" s="3">
        <f>D71*$E71</f>
        <v>725</v>
      </c>
    </row>
    <row r="72" spans="1:6" x14ac:dyDescent="0.25">
      <c r="A72" s="32" t="s">
        <v>63</v>
      </c>
      <c r="B72" s="1" t="s">
        <v>233</v>
      </c>
      <c r="C72" s="2" t="s">
        <v>104</v>
      </c>
      <c r="D72" s="3">
        <v>450</v>
      </c>
      <c r="E72" s="34">
        <v>1.5</v>
      </c>
      <c r="F72" s="3">
        <f>D72*$E72</f>
        <v>675</v>
      </c>
    </row>
    <row r="73" spans="1:6" x14ac:dyDescent="0.25">
      <c r="A73" s="7"/>
      <c r="B73" s="44" t="s">
        <v>234</v>
      </c>
      <c r="C73" s="6"/>
      <c r="D73" s="6"/>
      <c r="E73" s="21"/>
      <c r="F73" s="42">
        <f>SUM(F47:F72)</f>
        <v>46293</v>
      </c>
    </row>
    <row r="75" spans="1:6" x14ac:dyDescent="0.25">
      <c r="A75" s="35" t="s">
        <v>14</v>
      </c>
      <c r="B75" s="61" t="s">
        <v>235</v>
      </c>
      <c r="C75" s="63"/>
      <c r="D75" s="63"/>
      <c r="E75" s="64"/>
      <c r="F75" s="63"/>
    </row>
    <row r="76" spans="1:6" ht="356.4" x14ac:dyDescent="0.25">
      <c r="A76" s="32" t="s">
        <v>35</v>
      </c>
      <c r="B76" s="1" t="s">
        <v>236</v>
      </c>
    </row>
    <row r="77" spans="1:6" x14ac:dyDescent="0.25">
      <c r="A77" s="32" t="s">
        <v>61</v>
      </c>
      <c r="B77" s="1" t="s">
        <v>237</v>
      </c>
      <c r="C77" s="2" t="s">
        <v>7</v>
      </c>
      <c r="D77" s="3">
        <v>330</v>
      </c>
      <c r="E77" s="34">
        <v>55</v>
      </c>
      <c r="F77" s="3">
        <f>D77*$E77</f>
        <v>18150</v>
      </c>
    </row>
    <row r="78" spans="1:6" x14ac:dyDescent="0.25">
      <c r="A78" s="32" t="s">
        <v>62</v>
      </c>
      <c r="B78" s="1" t="s">
        <v>238</v>
      </c>
      <c r="C78" s="2" t="s">
        <v>7</v>
      </c>
      <c r="D78" s="3">
        <v>80</v>
      </c>
      <c r="E78" s="34">
        <v>55</v>
      </c>
      <c r="F78" s="3">
        <f>D78*$E78</f>
        <v>4400</v>
      </c>
    </row>
    <row r="79" spans="1:6" x14ac:dyDescent="0.25">
      <c r="A79" s="32" t="s">
        <v>63</v>
      </c>
      <c r="B79" s="1" t="s">
        <v>239</v>
      </c>
      <c r="C79" s="2" t="s">
        <v>7</v>
      </c>
      <c r="D79" s="3">
        <v>40</v>
      </c>
      <c r="E79" s="34">
        <v>55</v>
      </c>
      <c r="F79" s="3">
        <f>D79*$E79</f>
        <v>2200</v>
      </c>
    </row>
    <row r="80" spans="1:6" ht="92.4" x14ac:dyDescent="0.25">
      <c r="A80" s="32" t="s">
        <v>36</v>
      </c>
      <c r="B80" s="1" t="s">
        <v>738</v>
      </c>
      <c r="C80" s="2" t="s">
        <v>104</v>
      </c>
      <c r="D80" s="3">
        <v>130</v>
      </c>
      <c r="E80" s="34">
        <v>8</v>
      </c>
      <c r="F80" s="3">
        <f>D80*$E80</f>
        <v>1040</v>
      </c>
    </row>
    <row r="81" spans="1:6" ht="184.8" x14ac:dyDescent="0.25">
      <c r="A81" s="32" t="s">
        <v>37</v>
      </c>
      <c r="B81" s="1" t="s">
        <v>739</v>
      </c>
      <c r="C81" s="2" t="s">
        <v>10</v>
      </c>
      <c r="D81" s="3">
        <v>20</v>
      </c>
      <c r="E81" s="34">
        <v>230</v>
      </c>
      <c r="F81" s="3">
        <f>D81*$E81</f>
        <v>4600</v>
      </c>
    </row>
    <row r="82" spans="1:6" x14ac:dyDescent="0.25">
      <c r="B82" s="44" t="s">
        <v>240</v>
      </c>
      <c r="C82" s="6"/>
      <c r="D82" s="6"/>
      <c r="E82" s="21"/>
      <c r="F82" s="42">
        <f>SUM(F77:F81)</f>
        <v>30390</v>
      </c>
    </row>
    <row r="84" spans="1:6" x14ac:dyDescent="0.25">
      <c r="A84" s="45" t="s">
        <v>15</v>
      </c>
      <c r="B84" s="61" t="s">
        <v>241</v>
      </c>
      <c r="C84" s="41"/>
      <c r="D84" s="41"/>
      <c r="E84" s="62"/>
      <c r="F84" s="41"/>
    </row>
    <row r="85" spans="1:6" ht="198" x14ac:dyDescent="0.25">
      <c r="A85" s="32" t="s">
        <v>39</v>
      </c>
      <c r="B85" s="59" t="s">
        <v>242</v>
      </c>
      <c r="C85" s="2" t="s">
        <v>9</v>
      </c>
      <c r="D85" s="3">
        <v>90</v>
      </c>
      <c r="E85" s="34">
        <v>250</v>
      </c>
      <c r="F85" s="3">
        <f t="shared" ref="F85:F101" si="7">D85*$E85</f>
        <v>22500</v>
      </c>
    </row>
    <row r="86" spans="1:6" ht="237.6" x14ac:dyDescent="0.25">
      <c r="A86" s="32" t="s">
        <v>40</v>
      </c>
      <c r="B86" s="1" t="s">
        <v>243</v>
      </c>
      <c r="C86" s="2" t="s">
        <v>7</v>
      </c>
      <c r="D86" s="3">
        <v>530</v>
      </c>
      <c r="E86" s="34">
        <v>17</v>
      </c>
      <c r="F86" s="3">
        <f t="shared" si="7"/>
        <v>9010</v>
      </c>
    </row>
    <row r="87" spans="1:6" ht="92.4" x14ac:dyDescent="0.25">
      <c r="A87" s="32" t="s">
        <v>70</v>
      </c>
      <c r="B87" s="1" t="s">
        <v>244</v>
      </c>
      <c r="C87" s="2" t="s">
        <v>7</v>
      </c>
      <c r="D87" s="3">
        <v>20</v>
      </c>
      <c r="E87" s="34">
        <v>30</v>
      </c>
      <c r="F87" s="3">
        <f t="shared" si="7"/>
        <v>600</v>
      </c>
    </row>
    <row r="88" spans="1:6" ht="79.2" x14ac:dyDescent="0.25">
      <c r="A88" s="32" t="s">
        <v>71</v>
      </c>
      <c r="B88" s="1" t="s">
        <v>245</v>
      </c>
      <c r="C88" s="2" t="s">
        <v>7</v>
      </c>
      <c r="D88" s="3">
        <v>20</v>
      </c>
      <c r="E88" s="34">
        <v>30</v>
      </c>
      <c r="F88" s="3">
        <f t="shared" si="7"/>
        <v>600</v>
      </c>
    </row>
    <row r="89" spans="1:6" ht="92.4" x14ac:dyDescent="0.25">
      <c r="A89" s="32" t="s">
        <v>72</v>
      </c>
      <c r="B89" s="1" t="s">
        <v>246</v>
      </c>
      <c r="C89" s="2" t="s">
        <v>10</v>
      </c>
      <c r="D89" s="3">
        <v>70</v>
      </c>
      <c r="E89" s="34">
        <v>10</v>
      </c>
      <c r="F89" s="3">
        <f t="shared" si="7"/>
        <v>700</v>
      </c>
    </row>
    <row r="90" spans="1:6" ht="224.4" x14ac:dyDescent="0.25">
      <c r="A90" s="32" t="s">
        <v>73</v>
      </c>
      <c r="B90" s="1" t="s">
        <v>259</v>
      </c>
    </row>
    <row r="91" spans="1:6" ht="277.2" x14ac:dyDescent="0.25">
      <c r="B91" s="1" t="s">
        <v>258</v>
      </c>
      <c r="C91" s="2" t="s">
        <v>10</v>
      </c>
      <c r="D91" s="3">
        <v>72</v>
      </c>
      <c r="E91" s="34">
        <v>2</v>
      </c>
      <c r="F91" s="3">
        <f t="shared" ref="F91" si="8">D91*$E91</f>
        <v>144</v>
      </c>
    </row>
    <row r="92" spans="1:6" ht="92.4" x14ac:dyDescent="0.25">
      <c r="A92" s="32" t="s">
        <v>165</v>
      </c>
      <c r="B92" s="1" t="s">
        <v>247</v>
      </c>
      <c r="C92" s="2" t="s">
        <v>7</v>
      </c>
      <c r="D92" s="3">
        <v>70</v>
      </c>
      <c r="E92" s="34">
        <v>30</v>
      </c>
      <c r="F92" s="3">
        <f t="shared" si="7"/>
        <v>2100</v>
      </c>
    </row>
    <row r="93" spans="1:6" ht="211.2" x14ac:dyDescent="0.25">
      <c r="A93" s="32" t="s">
        <v>74</v>
      </c>
      <c r="B93" s="1" t="s">
        <v>740</v>
      </c>
    </row>
    <row r="94" spans="1:6" x14ac:dyDescent="0.25">
      <c r="A94" s="32" t="s">
        <v>61</v>
      </c>
      <c r="B94" s="1" t="s">
        <v>741</v>
      </c>
      <c r="C94" s="2" t="s">
        <v>8</v>
      </c>
      <c r="D94" s="51">
        <v>2</v>
      </c>
      <c r="E94" s="34">
        <v>120</v>
      </c>
      <c r="F94" s="3">
        <f t="shared" ref="F94" si="9">D94*$E94</f>
        <v>240</v>
      </c>
    </row>
    <row r="95" spans="1:6" ht="145.19999999999999" x14ac:dyDescent="0.25">
      <c r="A95" s="32" t="s">
        <v>166</v>
      </c>
      <c r="B95" s="1" t="s">
        <v>248</v>
      </c>
      <c r="C95" s="2" t="s">
        <v>7</v>
      </c>
      <c r="D95" s="3">
        <v>85</v>
      </c>
      <c r="E95" s="34">
        <v>20</v>
      </c>
      <c r="F95" s="3">
        <f t="shared" si="7"/>
        <v>1700</v>
      </c>
    </row>
    <row r="96" spans="1:6" ht="105.6" x14ac:dyDescent="0.25">
      <c r="A96" s="32" t="s">
        <v>167</v>
      </c>
      <c r="B96" s="59" t="s">
        <v>249</v>
      </c>
      <c r="C96" s="2" t="s">
        <v>7</v>
      </c>
      <c r="D96" s="3">
        <v>530</v>
      </c>
      <c r="E96" s="34">
        <v>10</v>
      </c>
      <c r="F96" s="3">
        <f t="shared" si="7"/>
        <v>5300</v>
      </c>
    </row>
    <row r="97" spans="1:6" ht="145.19999999999999" x14ac:dyDescent="0.25">
      <c r="A97" s="32" t="s">
        <v>250</v>
      </c>
      <c r="B97" s="59" t="s">
        <v>251</v>
      </c>
      <c r="C97" s="2" t="s">
        <v>7</v>
      </c>
      <c r="D97" s="3">
        <v>500</v>
      </c>
      <c r="E97" s="34">
        <v>12</v>
      </c>
      <c r="F97" s="3">
        <f t="shared" si="7"/>
        <v>6000</v>
      </c>
    </row>
    <row r="98" spans="1:6" ht="145.19999999999999" x14ac:dyDescent="0.25">
      <c r="A98" s="32" t="s">
        <v>253</v>
      </c>
      <c r="B98" s="59" t="s">
        <v>252</v>
      </c>
      <c r="C98" s="2" t="s">
        <v>7</v>
      </c>
      <c r="D98" s="3">
        <v>420</v>
      </c>
      <c r="E98" s="34">
        <v>8</v>
      </c>
      <c r="F98" s="3">
        <f t="shared" si="7"/>
        <v>3360</v>
      </c>
    </row>
    <row r="99" spans="1:6" ht="66" x14ac:dyDescent="0.25">
      <c r="A99" s="32" t="s">
        <v>260</v>
      </c>
      <c r="B99" s="59" t="s">
        <v>255</v>
      </c>
    </row>
    <row r="100" spans="1:6" x14ac:dyDescent="0.25">
      <c r="A100" s="32" t="s">
        <v>61</v>
      </c>
      <c r="B100" s="59" t="s">
        <v>256</v>
      </c>
      <c r="C100" s="2" t="s">
        <v>7</v>
      </c>
      <c r="D100" s="3">
        <v>420</v>
      </c>
      <c r="E100" s="34">
        <v>26</v>
      </c>
      <c r="F100" s="3">
        <f t="shared" ref="F100" si="10">D100*$E100</f>
        <v>10920</v>
      </c>
    </row>
    <row r="101" spans="1:6" x14ac:dyDescent="0.25">
      <c r="A101" s="32" t="s">
        <v>62</v>
      </c>
      <c r="B101" s="59" t="s">
        <v>257</v>
      </c>
      <c r="C101" s="2" t="s">
        <v>7</v>
      </c>
      <c r="D101" s="3">
        <v>100</v>
      </c>
      <c r="E101" s="34">
        <v>35</v>
      </c>
      <c r="F101" s="3">
        <f t="shared" si="7"/>
        <v>3500</v>
      </c>
    </row>
    <row r="102" spans="1:6" x14ac:dyDescent="0.25">
      <c r="B102" s="44" t="s">
        <v>254</v>
      </c>
      <c r="C102" s="6"/>
      <c r="D102" s="6"/>
      <c r="E102" s="21"/>
      <c r="F102" s="42">
        <f>SUM(F85:F101)</f>
        <v>66674</v>
      </c>
    </row>
    <row r="104" spans="1:6" x14ac:dyDescent="0.25">
      <c r="A104" s="45" t="s">
        <v>16</v>
      </c>
      <c r="B104" s="61" t="s">
        <v>261</v>
      </c>
      <c r="C104" s="41"/>
      <c r="D104" s="41"/>
      <c r="E104" s="62"/>
      <c r="F104" s="41"/>
    </row>
    <row r="105" spans="1:6" ht="198" x14ac:dyDescent="0.25">
      <c r="A105" s="32" t="s">
        <v>41</v>
      </c>
      <c r="B105" s="59" t="s">
        <v>723</v>
      </c>
      <c r="C105" s="2" t="s">
        <v>7</v>
      </c>
      <c r="D105" s="3">
        <v>672</v>
      </c>
      <c r="E105" s="34">
        <v>70</v>
      </c>
      <c r="F105" s="3">
        <f t="shared" ref="F105:F109" si="11">D105*$E105</f>
        <v>47040</v>
      </c>
    </row>
    <row r="106" spans="1:6" ht="158.4" x14ac:dyDescent="0.25">
      <c r="A106" s="32" t="s">
        <v>262</v>
      </c>
      <c r="B106" s="59" t="s">
        <v>263</v>
      </c>
      <c r="C106" s="2" t="s">
        <v>10</v>
      </c>
      <c r="D106" s="3">
        <v>110</v>
      </c>
      <c r="E106" s="34">
        <v>40</v>
      </c>
      <c r="F106" s="3">
        <f t="shared" si="11"/>
        <v>4400</v>
      </c>
    </row>
    <row r="107" spans="1:6" ht="79.2" x14ac:dyDescent="0.25">
      <c r="A107" s="32" t="s">
        <v>264</v>
      </c>
      <c r="B107" s="59" t="s">
        <v>265</v>
      </c>
      <c r="C107" s="2" t="s">
        <v>10</v>
      </c>
      <c r="D107" s="3">
        <v>36.5</v>
      </c>
      <c r="E107" s="34">
        <v>40</v>
      </c>
      <c r="F107" s="3">
        <f t="shared" si="11"/>
        <v>1460</v>
      </c>
    </row>
    <row r="108" spans="1:6" ht="66" x14ac:dyDescent="0.25">
      <c r="A108" s="32" t="s">
        <v>266</v>
      </c>
      <c r="B108" s="59" t="s">
        <v>267</v>
      </c>
      <c r="C108" s="2" t="s">
        <v>10</v>
      </c>
      <c r="D108" s="3">
        <v>141</v>
      </c>
      <c r="E108" s="34">
        <v>60</v>
      </c>
      <c r="F108" s="3">
        <f t="shared" si="11"/>
        <v>8460</v>
      </c>
    </row>
    <row r="109" spans="1:6" ht="105.6" x14ac:dyDescent="0.25">
      <c r="A109" s="32" t="s">
        <v>268</v>
      </c>
      <c r="B109" s="59" t="s">
        <v>269</v>
      </c>
      <c r="C109" s="2" t="s">
        <v>7</v>
      </c>
      <c r="D109" s="3">
        <v>48</v>
      </c>
      <c r="E109" s="34">
        <v>45</v>
      </c>
      <c r="F109" s="3">
        <f t="shared" si="11"/>
        <v>2160</v>
      </c>
    </row>
    <row r="110" spans="1:6" x14ac:dyDescent="0.25">
      <c r="B110" s="44" t="s">
        <v>272</v>
      </c>
      <c r="C110" s="6"/>
      <c r="D110" s="6"/>
      <c r="E110" s="21"/>
      <c r="F110" s="42">
        <f>SUM(F105:F109)</f>
        <v>63520</v>
      </c>
    </row>
    <row r="112" spans="1:6" x14ac:dyDescent="0.25">
      <c r="A112" s="45" t="s">
        <v>17</v>
      </c>
      <c r="B112" s="61" t="s">
        <v>60</v>
      </c>
      <c r="C112" s="41"/>
      <c r="D112" s="41"/>
      <c r="E112" s="62"/>
      <c r="F112" s="41"/>
    </row>
    <row r="113" spans="1:6" ht="250.8" x14ac:dyDescent="0.25">
      <c r="A113" s="32" t="s">
        <v>42</v>
      </c>
      <c r="B113" s="59" t="s">
        <v>733</v>
      </c>
    </row>
    <row r="114" spans="1:6" ht="39.6" x14ac:dyDescent="0.25">
      <c r="A114" s="32" t="s">
        <v>61</v>
      </c>
      <c r="B114" s="59" t="s">
        <v>716</v>
      </c>
      <c r="C114" s="2" t="s">
        <v>8</v>
      </c>
      <c r="D114" s="51">
        <v>2</v>
      </c>
      <c r="E114" s="34">
        <v>600</v>
      </c>
      <c r="F114" s="3">
        <f t="shared" ref="F114:F122" si="12">D114*$E114</f>
        <v>1200</v>
      </c>
    </row>
    <row r="115" spans="1:6" ht="39.6" x14ac:dyDescent="0.25">
      <c r="A115" s="32" t="s">
        <v>62</v>
      </c>
      <c r="B115" s="59" t="s">
        <v>717</v>
      </c>
      <c r="C115" s="2" t="s">
        <v>8</v>
      </c>
      <c r="D115" s="51">
        <v>2</v>
      </c>
      <c r="E115" s="34">
        <v>600</v>
      </c>
      <c r="F115" s="3">
        <f t="shared" si="12"/>
        <v>1200</v>
      </c>
    </row>
    <row r="116" spans="1:6" ht="39.6" x14ac:dyDescent="0.25">
      <c r="A116" s="32" t="s">
        <v>63</v>
      </c>
      <c r="B116" s="59" t="s">
        <v>718</v>
      </c>
      <c r="C116" s="2" t="s">
        <v>8</v>
      </c>
      <c r="D116" s="51">
        <v>2</v>
      </c>
      <c r="E116" s="34">
        <v>1100</v>
      </c>
      <c r="F116" s="3">
        <f t="shared" si="12"/>
        <v>2200</v>
      </c>
    </row>
    <row r="117" spans="1:6" ht="39.6" x14ac:dyDescent="0.25">
      <c r="A117" s="32" t="s">
        <v>64</v>
      </c>
      <c r="B117" s="59" t="s">
        <v>719</v>
      </c>
      <c r="C117" s="2" t="s">
        <v>8</v>
      </c>
      <c r="D117" s="51">
        <v>2</v>
      </c>
      <c r="E117" s="34">
        <v>1100</v>
      </c>
      <c r="F117" s="3">
        <f t="shared" si="12"/>
        <v>2200</v>
      </c>
    </row>
    <row r="118" spans="1:6" ht="277.2" x14ac:dyDescent="0.25">
      <c r="A118" s="32" t="s">
        <v>57</v>
      </c>
      <c r="B118" s="59" t="s">
        <v>694</v>
      </c>
      <c r="D118" s="51"/>
    </row>
    <row r="119" spans="1:6" ht="26.4" x14ac:dyDescent="0.25">
      <c r="A119" s="32" t="s">
        <v>61</v>
      </c>
      <c r="B119" s="59" t="s">
        <v>720</v>
      </c>
      <c r="C119" s="2" t="s">
        <v>8</v>
      </c>
      <c r="D119" s="51">
        <v>4</v>
      </c>
      <c r="E119" s="34">
        <v>1200</v>
      </c>
      <c r="F119" s="3">
        <f t="shared" ref="F119" si="13">D119*$E119</f>
        <v>4800</v>
      </c>
    </row>
    <row r="120" spans="1:6" ht="132" x14ac:dyDescent="0.25">
      <c r="A120" s="32" t="s">
        <v>58</v>
      </c>
      <c r="B120" s="59" t="s">
        <v>695</v>
      </c>
      <c r="C120" s="2" t="s">
        <v>8</v>
      </c>
      <c r="D120" s="51">
        <v>2</v>
      </c>
      <c r="E120" s="34">
        <v>1400</v>
      </c>
      <c r="F120" s="3">
        <f t="shared" si="12"/>
        <v>2800</v>
      </c>
    </row>
    <row r="121" spans="1:6" ht="132" x14ac:dyDescent="0.25">
      <c r="A121" s="32" t="s">
        <v>120</v>
      </c>
      <c r="B121" s="59" t="s">
        <v>721</v>
      </c>
      <c r="C121" s="2" t="s">
        <v>8</v>
      </c>
      <c r="D121" s="51">
        <v>2</v>
      </c>
      <c r="E121" s="34">
        <v>4000</v>
      </c>
      <c r="F121" s="3">
        <f t="shared" si="12"/>
        <v>8000</v>
      </c>
    </row>
    <row r="122" spans="1:6" ht="118.8" x14ac:dyDescent="0.25">
      <c r="A122" s="32" t="s">
        <v>121</v>
      </c>
      <c r="B122" s="59" t="s">
        <v>697</v>
      </c>
      <c r="C122" s="2" t="s">
        <v>10</v>
      </c>
      <c r="D122" s="3">
        <v>23</v>
      </c>
      <c r="E122" s="34">
        <v>30</v>
      </c>
      <c r="F122" s="3">
        <f t="shared" si="12"/>
        <v>690</v>
      </c>
    </row>
    <row r="123" spans="1:6" x14ac:dyDescent="0.25">
      <c r="B123" s="44" t="s">
        <v>273</v>
      </c>
      <c r="C123" s="6"/>
      <c r="D123" s="6"/>
      <c r="E123" s="21"/>
      <c r="F123" s="42">
        <f>SUM(F114:F122)</f>
        <v>23090</v>
      </c>
    </row>
    <row r="125" spans="1:6" x14ac:dyDescent="0.25">
      <c r="A125" s="45" t="s">
        <v>18</v>
      </c>
      <c r="B125" s="61" t="s">
        <v>143</v>
      </c>
      <c r="C125" s="41"/>
      <c r="D125" s="41"/>
      <c r="E125" s="62"/>
      <c r="F125" s="41"/>
    </row>
    <row r="126" spans="1:6" ht="52.8" x14ac:dyDescent="0.25">
      <c r="A126" s="32" t="s">
        <v>47</v>
      </c>
      <c r="B126" s="59" t="s">
        <v>274</v>
      </c>
      <c r="C126" s="2" t="s">
        <v>7</v>
      </c>
      <c r="D126" s="3">
        <v>145</v>
      </c>
      <c r="E126" s="34">
        <v>3</v>
      </c>
      <c r="F126" s="3">
        <f t="shared" ref="F126:F132" si="14">D126*$E126</f>
        <v>435</v>
      </c>
    </row>
    <row r="127" spans="1:6" ht="39.6" x14ac:dyDescent="0.25">
      <c r="A127" s="32" t="s">
        <v>48</v>
      </c>
      <c r="B127" s="1" t="s">
        <v>275</v>
      </c>
      <c r="C127" s="2" t="s">
        <v>7</v>
      </c>
      <c r="D127" s="3">
        <v>145</v>
      </c>
      <c r="E127" s="34">
        <v>3</v>
      </c>
      <c r="F127" s="3">
        <f t="shared" si="14"/>
        <v>435</v>
      </c>
    </row>
    <row r="128" spans="1:6" ht="66" x14ac:dyDescent="0.25">
      <c r="A128" s="32" t="s">
        <v>49</v>
      </c>
      <c r="B128" s="1" t="s">
        <v>276</v>
      </c>
      <c r="C128" s="2" t="s">
        <v>7</v>
      </c>
      <c r="D128" s="3">
        <v>30</v>
      </c>
      <c r="E128" s="34">
        <v>10</v>
      </c>
      <c r="F128" s="3">
        <f t="shared" si="14"/>
        <v>300</v>
      </c>
    </row>
    <row r="129" spans="1:6" ht="39.6" x14ac:dyDescent="0.25">
      <c r="A129" s="32" t="s">
        <v>50</v>
      </c>
      <c r="B129" s="1" t="s">
        <v>277</v>
      </c>
      <c r="C129" s="2" t="s">
        <v>7</v>
      </c>
      <c r="D129" s="3">
        <v>390</v>
      </c>
      <c r="E129" s="34">
        <v>3</v>
      </c>
      <c r="F129" s="3">
        <f t="shared" si="14"/>
        <v>1170</v>
      </c>
    </row>
    <row r="130" spans="1:6" ht="39.6" x14ac:dyDescent="0.25">
      <c r="A130" s="32" t="s">
        <v>127</v>
      </c>
      <c r="B130" s="1" t="s">
        <v>278</v>
      </c>
      <c r="C130" s="2" t="s">
        <v>7</v>
      </c>
      <c r="D130" s="3">
        <v>325</v>
      </c>
      <c r="E130" s="34">
        <v>15</v>
      </c>
      <c r="F130" s="3">
        <f t="shared" si="14"/>
        <v>4875</v>
      </c>
    </row>
    <row r="131" spans="1:6" ht="145.19999999999999" x14ac:dyDescent="0.25">
      <c r="A131" s="32" t="s">
        <v>128</v>
      </c>
      <c r="B131" s="1" t="s">
        <v>279</v>
      </c>
      <c r="C131" s="2" t="s">
        <v>7</v>
      </c>
      <c r="D131" s="3">
        <v>35</v>
      </c>
      <c r="E131" s="34">
        <v>70</v>
      </c>
      <c r="F131" s="3">
        <f t="shared" si="14"/>
        <v>2450</v>
      </c>
    </row>
    <row r="132" spans="1:6" ht="303.60000000000002" x14ac:dyDescent="0.25">
      <c r="A132" s="32" t="s">
        <v>129</v>
      </c>
      <c r="B132" s="59" t="s">
        <v>280</v>
      </c>
      <c r="C132" s="2" t="s">
        <v>7</v>
      </c>
      <c r="D132" s="3">
        <v>450</v>
      </c>
      <c r="E132" s="34">
        <v>55</v>
      </c>
      <c r="F132" s="3">
        <f t="shared" si="14"/>
        <v>24750</v>
      </c>
    </row>
    <row r="133" spans="1:6" x14ac:dyDescent="0.25">
      <c r="B133" s="44" t="s">
        <v>281</v>
      </c>
      <c r="C133" s="6"/>
      <c r="D133" s="6"/>
      <c r="E133" s="21"/>
      <c r="F133" s="42">
        <f>SUM(F126:F132)</f>
        <v>34415</v>
      </c>
    </row>
    <row r="135" spans="1:6" x14ac:dyDescent="0.25">
      <c r="A135" s="45" t="s">
        <v>19</v>
      </c>
      <c r="B135" s="61" t="s">
        <v>282</v>
      </c>
      <c r="C135" s="41"/>
      <c r="D135" s="41"/>
      <c r="E135" s="62"/>
      <c r="F135" s="41"/>
    </row>
    <row r="136" spans="1:6" ht="409.6" x14ac:dyDescent="0.25">
      <c r="A136" s="32" t="s">
        <v>51</v>
      </c>
      <c r="B136" s="59" t="s">
        <v>742</v>
      </c>
    </row>
    <row r="137" spans="1:6" x14ac:dyDescent="0.25">
      <c r="A137" s="32" t="s">
        <v>61</v>
      </c>
      <c r="B137" s="1" t="s">
        <v>283</v>
      </c>
      <c r="C137" s="2" t="s">
        <v>7</v>
      </c>
      <c r="D137" s="3">
        <v>654</v>
      </c>
      <c r="E137" s="34">
        <v>55</v>
      </c>
      <c r="F137" s="3">
        <f t="shared" ref="F137:F140" si="15">D137*$E137</f>
        <v>35970</v>
      </c>
    </row>
    <row r="138" spans="1:6" ht="26.4" x14ac:dyDescent="0.25">
      <c r="A138" s="32" t="s">
        <v>62</v>
      </c>
      <c r="B138" s="1" t="s">
        <v>743</v>
      </c>
      <c r="C138" s="2" t="s">
        <v>10</v>
      </c>
      <c r="D138" s="3">
        <v>120</v>
      </c>
      <c r="E138" s="34">
        <v>18</v>
      </c>
      <c r="F138" s="3">
        <f t="shared" si="15"/>
        <v>2160</v>
      </c>
    </row>
    <row r="139" spans="1:6" ht="79.2" x14ac:dyDescent="0.25">
      <c r="A139" s="32" t="s">
        <v>140</v>
      </c>
      <c r="B139" s="1" t="s">
        <v>284</v>
      </c>
      <c r="C139" s="2" t="s">
        <v>7</v>
      </c>
      <c r="D139" s="3">
        <v>654</v>
      </c>
      <c r="E139" s="34">
        <v>20</v>
      </c>
      <c r="F139" s="3">
        <f t="shared" si="15"/>
        <v>13080</v>
      </c>
    </row>
    <row r="140" spans="1:6" ht="66" x14ac:dyDescent="0.25">
      <c r="A140" s="32" t="s">
        <v>747</v>
      </c>
      <c r="B140" s="1" t="s">
        <v>748</v>
      </c>
      <c r="C140" s="2" t="s">
        <v>10</v>
      </c>
      <c r="D140" s="3">
        <v>225</v>
      </c>
      <c r="E140" s="34">
        <v>9.5</v>
      </c>
      <c r="F140" s="3">
        <f t="shared" si="15"/>
        <v>2137.5</v>
      </c>
    </row>
    <row r="141" spans="1:6" x14ac:dyDescent="0.25">
      <c r="B141" s="44" t="s">
        <v>285</v>
      </c>
      <c r="C141" s="6"/>
      <c r="D141" s="6"/>
      <c r="E141" s="21"/>
      <c r="F141" s="42">
        <f>SUM(F137:F140)</f>
        <v>53347.5</v>
      </c>
    </row>
    <row r="143" spans="1:6" x14ac:dyDescent="0.25">
      <c r="A143" s="45" t="s">
        <v>66</v>
      </c>
      <c r="B143" s="61" t="s">
        <v>286</v>
      </c>
      <c r="C143" s="41"/>
      <c r="D143" s="41"/>
      <c r="E143" s="62"/>
      <c r="F143" s="41"/>
    </row>
    <row r="144" spans="1:6" x14ac:dyDescent="0.25">
      <c r="A144" s="32" t="s">
        <v>67</v>
      </c>
      <c r="B144" s="59" t="s">
        <v>287</v>
      </c>
      <c r="C144" s="2" t="s">
        <v>7</v>
      </c>
      <c r="D144" s="3">
        <v>525</v>
      </c>
      <c r="E144" s="34">
        <v>3</v>
      </c>
      <c r="F144" s="3">
        <f t="shared" ref="F144" si="16">D144*$E144</f>
        <v>1575</v>
      </c>
    </row>
    <row r="145" spans="1:6" ht="52.8" x14ac:dyDescent="0.25">
      <c r="A145" s="32" t="s">
        <v>68</v>
      </c>
      <c r="B145" s="1" t="s">
        <v>292</v>
      </c>
      <c r="D145" s="51"/>
    </row>
    <row r="146" spans="1:6" x14ac:dyDescent="0.25">
      <c r="A146" s="32" t="s">
        <v>61</v>
      </c>
      <c r="B146" s="1" t="s">
        <v>288</v>
      </c>
      <c r="C146" s="2" t="s">
        <v>9</v>
      </c>
      <c r="D146" s="3">
        <v>40</v>
      </c>
      <c r="E146" s="34">
        <v>30</v>
      </c>
      <c r="F146" s="3">
        <f t="shared" ref="F146:F149" si="17">D146*$E146</f>
        <v>1200</v>
      </c>
    </row>
    <row r="147" spans="1:6" x14ac:dyDescent="0.25">
      <c r="A147" s="32" t="s">
        <v>62</v>
      </c>
      <c r="B147" s="1" t="s">
        <v>289</v>
      </c>
      <c r="C147" s="2" t="s">
        <v>10</v>
      </c>
      <c r="D147" s="3">
        <v>75</v>
      </c>
      <c r="E147" s="34">
        <v>25</v>
      </c>
      <c r="F147" s="3">
        <f t="shared" si="17"/>
        <v>1875</v>
      </c>
    </row>
    <row r="148" spans="1:6" x14ac:dyDescent="0.25">
      <c r="A148" s="32" t="s">
        <v>63</v>
      </c>
      <c r="B148" s="1" t="s">
        <v>290</v>
      </c>
      <c r="C148" s="2" t="s">
        <v>9</v>
      </c>
      <c r="D148" s="3">
        <v>15</v>
      </c>
      <c r="E148" s="34">
        <v>20</v>
      </c>
      <c r="F148" s="3">
        <f t="shared" si="17"/>
        <v>300</v>
      </c>
    </row>
    <row r="149" spans="1:6" x14ac:dyDescent="0.25">
      <c r="A149" s="32" t="s">
        <v>64</v>
      </c>
      <c r="B149" s="1" t="s">
        <v>291</v>
      </c>
      <c r="C149" s="2" t="s">
        <v>9</v>
      </c>
      <c r="D149" s="3">
        <v>25</v>
      </c>
      <c r="E149" s="34">
        <v>20</v>
      </c>
      <c r="F149" s="3">
        <f t="shared" si="17"/>
        <v>500</v>
      </c>
    </row>
    <row r="150" spans="1:6" ht="66" x14ac:dyDescent="0.25">
      <c r="A150" s="32" t="s">
        <v>75</v>
      </c>
      <c r="B150" s="1" t="s">
        <v>293</v>
      </c>
      <c r="D150" s="51"/>
    </row>
    <row r="151" spans="1:6" x14ac:dyDescent="0.25">
      <c r="A151" s="32" t="s">
        <v>61</v>
      </c>
      <c r="B151" s="1" t="s">
        <v>288</v>
      </c>
      <c r="C151" s="2" t="s">
        <v>9</v>
      </c>
      <c r="D151" s="3">
        <v>40</v>
      </c>
      <c r="E151" s="34">
        <v>30</v>
      </c>
      <c r="F151" s="3">
        <f t="shared" ref="F151:F157" si="18">D151*$E151</f>
        <v>1200</v>
      </c>
    </row>
    <row r="152" spans="1:6" x14ac:dyDescent="0.25">
      <c r="A152" s="32" t="s">
        <v>62</v>
      </c>
      <c r="B152" s="1" t="s">
        <v>289</v>
      </c>
      <c r="C152" s="2" t="s">
        <v>10</v>
      </c>
      <c r="D152" s="3">
        <v>75</v>
      </c>
      <c r="E152" s="34">
        <v>25</v>
      </c>
      <c r="F152" s="3">
        <f t="shared" si="18"/>
        <v>1875</v>
      </c>
    </row>
    <row r="153" spans="1:6" x14ac:dyDescent="0.25">
      <c r="A153" s="32" t="s">
        <v>63</v>
      </c>
      <c r="B153" s="1" t="s">
        <v>290</v>
      </c>
      <c r="C153" s="2" t="s">
        <v>9</v>
      </c>
      <c r="D153" s="3">
        <v>15</v>
      </c>
      <c r="E153" s="34">
        <v>20</v>
      </c>
      <c r="F153" s="3">
        <f t="shared" si="18"/>
        <v>300</v>
      </c>
    </row>
    <row r="154" spans="1:6" x14ac:dyDescent="0.25">
      <c r="A154" s="32" t="s">
        <v>64</v>
      </c>
      <c r="B154" s="1" t="s">
        <v>291</v>
      </c>
      <c r="C154" s="2" t="s">
        <v>9</v>
      </c>
      <c r="D154" s="3">
        <v>25</v>
      </c>
      <c r="E154" s="34">
        <v>20</v>
      </c>
      <c r="F154" s="3">
        <f t="shared" si="18"/>
        <v>500</v>
      </c>
    </row>
    <row r="155" spans="1:6" ht="224.4" x14ac:dyDescent="0.25">
      <c r="A155" s="32" t="s">
        <v>77</v>
      </c>
      <c r="B155" s="1" t="s">
        <v>688</v>
      </c>
      <c r="C155" s="2" t="s">
        <v>7</v>
      </c>
      <c r="D155" s="3">
        <v>550</v>
      </c>
      <c r="E155" s="34">
        <v>18</v>
      </c>
      <c r="F155" s="3">
        <f t="shared" si="18"/>
        <v>9900</v>
      </c>
    </row>
    <row r="156" spans="1:6" ht="264" x14ac:dyDescent="0.25">
      <c r="A156" s="32" t="s">
        <v>141</v>
      </c>
      <c r="B156" s="1" t="s">
        <v>689</v>
      </c>
      <c r="C156" s="2" t="s">
        <v>7</v>
      </c>
      <c r="D156" s="3">
        <v>550</v>
      </c>
      <c r="E156" s="34">
        <v>15</v>
      </c>
      <c r="F156" s="3">
        <f t="shared" si="18"/>
        <v>8250</v>
      </c>
    </row>
    <row r="157" spans="1:6" ht="132" x14ac:dyDescent="0.25">
      <c r="A157" s="32" t="s">
        <v>142</v>
      </c>
      <c r="B157" s="59" t="s">
        <v>294</v>
      </c>
      <c r="C157" s="2" t="s">
        <v>10</v>
      </c>
      <c r="D157" s="3">
        <v>38</v>
      </c>
      <c r="E157" s="34">
        <v>40</v>
      </c>
      <c r="F157" s="3">
        <f t="shared" si="18"/>
        <v>1520</v>
      </c>
    </row>
    <row r="158" spans="1:6" x14ac:dyDescent="0.25">
      <c r="B158" s="44" t="s">
        <v>295</v>
      </c>
      <c r="C158" s="6"/>
      <c r="D158" s="6"/>
      <c r="E158" s="21"/>
      <c r="F158" s="42">
        <f>SUM(F144:F157)</f>
        <v>28995</v>
      </c>
    </row>
    <row r="162" spans="1:6" x14ac:dyDescent="0.25">
      <c r="A162" s="45" t="s">
        <v>20</v>
      </c>
      <c r="B162" s="23" t="s">
        <v>98</v>
      </c>
    </row>
    <row r="164" spans="1:6" x14ac:dyDescent="0.25">
      <c r="A164" s="45" t="s">
        <v>6</v>
      </c>
      <c r="B164" s="19" t="s">
        <v>82</v>
      </c>
      <c r="C164" s="22"/>
      <c r="D164" s="42"/>
      <c r="E164" s="49"/>
      <c r="F164" s="42">
        <f>SUM(F8)</f>
        <v>5500</v>
      </c>
    </row>
    <row r="165" spans="1:6" x14ac:dyDescent="0.25">
      <c r="A165" s="45" t="s">
        <v>11</v>
      </c>
      <c r="B165" s="19" t="s">
        <v>196</v>
      </c>
      <c r="C165" s="22"/>
      <c r="D165" s="42"/>
      <c r="E165" s="49"/>
      <c r="F165" s="42">
        <f>SUM(F28)</f>
        <v>33955</v>
      </c>
    </row>
    <row r="166" spans="1:6" x14ac:dyDescent="0.25">
      <c r="A166" s="45" t="s">
        <v>12</v>
      </c>
      <c r="B166" s="19" t="s">
        <v>65</v>
      </c>
      <c r="C166" s="22"/>
      <c r="D166" s="42"/>
      <c r="E166" s="49"/>
      <c r="F166" s="42">
        <f>SUM(F43)</f>
        <v>6010</v>
      </c>
    </row>
    <row r="167" spans="1:6" x14ac:dyDescent="0.25">
      <c r="A167" s="45" t="s">
        <v>13</v>
      </c>
      <c r="B167" s="19" t="s">
        <v>222</v>
      </c>
      <c r="C167" s="22"/>
      <c r="D167" s="42"/>
      <c r="E167" s="49"/>
      <c r="F167" s="42">
        <f>SUM(F73)</f>
        <v>46293</v>
      </c>
    </row>
    <row r="168" spans="1:6" x14ac:dyDescent="0.25">
      <c r="A168" s="45" t="s">
        <v>14</v>
      </c>
      <c r="B168" s="19" t="s">
        <v>235</v>
      </c>
      <c r="C168" s="22"/>
      <c r="D168" s="42"/>
      <c r="E168" s="49"/>
      <c r="F168" s="42">
        <f>SUM(F82)</f>
        <v>30390</v>
      </c>
    </row>
    <row r="169" spans="1:6" x14ac:dyDescent="0.25">
      <c r="A169" s="45" t="s">
        <v>15</v>
      </c>
      <c r="B169" s="19" t="s">
        <v>241</v>
      </c>
      <c r="C169" s="22"/>
      <c r="D169" s="42"/>
      <c r="E169" s="49"/>
      <c r="F169" s="42">
        <f>SUM(F102)</f>
        <v>66674</v>
      </c>
    </row>
    <row r="170" spans="1:6" x14ac:dyDescent="0.25">
      <c r="A170" s="45" t="s">
        <v>16</v>
      </c>
      <c r="B170" s="19" t="s">
        <v>261</v>
      </c>
      <c r="C170" s="22"/>
      <c r="D170" s="42"/>
      <c r="E170" s="47"/>
      <c r="F170" s="48">
        <f>SUM(F110)</f>
        <v>63520</v>
      </c>
    </row>
    <row r="171" spans="1:6" x14ac:dyDescent="0.25">
      <c r="A171" s="45" t="s">
        <v>17</v>
      </c>
      <c r="B171" s="19" t="s">
        <v>60</v>
      </c>
      <c r="C171" s="22"/>
      <c r="D171" s="42"/>
      <c r="E171" s="47"/>
      <c r="F171" s="48">
        <f>SUM(F123)</f>
        <v>23090</v>
      </c>
    </row>
    <row r="172" spans="1:6" x14ac:dyDescent="0.25">
      <c r="A172" s="45" t="s">
        <v>18</v>
      </c>
      <c r="B172" s="19" t="s">
        <v>143</v>
      </c>
      <c r="C172" s="22"/>
      <c r="D172" s="42"/>
      <c r="E172" s="47"/>
      <c r="F172" s="48">
        <f>SUM(F133)</f>
        <v>34415</v>
      </c>
    </row>
    <row r="173" spans="1:6" x14ac:dyDescent="0.25">
      <c r="A173" s="45" t="s">
        <v>19</v>
      </c>
      <c r="B173" s="19" t="s">
        <v>282</v>
      </c>
      <c r="C173" s="22"/>
      <c r="D173" s="42"/>
      <c r="E173" s="47"/>
      <c r="F173" s="48">
        <f>SUM(F141)</f>
        <v>53347.5</v>
      </c>
    </row>
    <row r="174" spans="1:6" x14ac:dyDescent="0.25">
      <c r="A174" s="45" t="s">
        <v>66</v>
      </c>
      <c r="B174" s="19" t="s">
        <v>286</v>
      </c>
      <c r="C174" s="22"/>
      <c r="D174" s="42"/>
      <c r="E174" s="47"/>
      <c r="F174" s="48">
        <f>SUM(F158)</f>
        <v>28995</v>
      </c>
    </row>
    <row r="175" spans="1:6" x14ac:dyDescent="0.25">
      <c r="A175" s="45"/>
      <c r="B175" s="19"/>
      <c r="C175" s="22"/>
      <c r="D175" s="42"/>
      <c r="E175" s="47"/>
      <c r="F175" s="42"/>
    </row>
    <row r="176" spans="1:6" x14ac:dyDescent="0.25">
      <c r="A176" s="45"/>
      <c r="B176" s="35" t="s">
        <v>99</v>
      </c>
      <c r="C176" s="22"/>
      <c r="D176" s="42"/>
      <c r="E176" s="49"/>
      <c r="F176" s="42">
        <f>SUM(F164:F174)</f>
        <v>392189.5</v>
      </c>
    </row>
    <row r="177" spans="1:6" x14ac:dyDescent="0.25">
      <c r="B177" s="50"/>
      <c r="E177" s="46"/>
    </row>
    <row r="178" spans="1:6" x14ac:dyDescent="0.25">
      <c r="B178" s="50"/>
      <c r="E178" s="46"/>
    </row>
    <row r="179" spans="1:6" x14ac:dyDescent="0.25">
      <c r="A179" s="45" t="s">
        <v>45</v>
      </c>
      <c r="B179" s="23" t="s">
        <v>296</v>
      </c>
    </row>
    <row r="180" spans="1:6" x14ac:dyDescent="0.25">
      <c r="A180" s="45"/>
      <c r="B180" s="19"/>
    </row>
    <row r="181" spans="1:6" x14ac:dyDescent="0.25">
      <c r="A181" s="45" t="s">
        <v>6</v>
      </c>
      <c r="B181" s="61" t="s">
        <v>144</v>
      </c>
      <c r="C181" s="41"/>
      <c r="D181" s="41"/>
      <c r="E181" s="62"/>
      <c r="F181" s="41"/>
    </row>
    <row r="182" spans="1:6" x14ac:dyDescent="0.25">
      <c r="A182" s="66"/>
      <c r="B182" s="59" t="s">
        <v>326</v>
      </c>
      <c r="D182" s="51"/>
    </row>
    <row r="183" spans="1:6" ht="52.8" x14ac:dyDescent="0.25">
      <c r="A183" s="66" t="s">
        <v>21</v>
      </c>
      <c r="B183" s="59" t="s">
        <v>726</v>
      </c>
      <c r="C183" s="2" t="s">
        <v>8</v>
      </c>
      <c r="D183" s="51">
        <v>1</v>
      </c>
      <c r="E183" s="34">
        <v>250</v>
      </c>
      <c r="F183" s="3">
        <f t="shared" ref="F183" si="19">D183*$E183</f>
        <v>250</v>
      </c>
    </row>
    <row r="184" spans="1:6" ht="52.8" x14ac:dyDescent="0.25">
      <c r="A184" s="66" t="s">
        <v>22</v>
      </c>
      <c r="B184" s="67" t="s">
        <v>328</v>
      </c>
      <c r="D184" s="51"/>
    </row>
    <row r="185" spans="1:6" x14ac:dyDescent="0.25">
      <c r="A185" s="66" t="s">
        <v>61</v>
      </c>
      <c r="B185" s="67" t="s">
        <v>329</v>
      </c>
      <c r="C185" s="2" t="s">
        <v>10</v>
      </c>
      <c r="D185" s="3">
        <v>22</v>
      </c>
      <c r="E185" s="34">
        <v>36</v>
      </c>
      <c r="F185" s="3">
        <f>D185*$E185</f>
        <v>792</v>
      </c>
    </row>
    <row r="186" spans="1:6" x14ac:dyDescent="0.25">
      <c r="A186" s="66" t="s">
        <v>62</v>
      </c>
      <c r="B186" s="67" t="s">
        <v>330</v>
      </c>
      <c r="C186" s="2" t="s">
        <v>10</v>
      </c>
      <c r="D186" s="3">
        <v>63</v>
      </c>
      <c r="E186" s="34">
        <v>50</v>
      </c>
      <c r="F186" s="3">
        <f>D186*$E186</f>
        <v>3150</v>
      </c>
    </row>
    <row r="187" spans="1:6" ht="105.6" x14ac:dyDescent="0.25">
      <c r="A187" s="66" t="s">
        <v>23</v>
      </c>
      <c r="B187" s="67" t="s">
        <v>331</v>
      </c>
      <c r="C187" s="2" t="s">
        <v>8</v>
      </c>
      <c r="D187" s="51">
        <v>4</v>
      </c>
      <c r="E187" s="34">
        <v>350</v>
      </c>
      <c r="F187" s="3">
        <f t="shared" ref="F187" si="20">D187*$E187</f>
        <v>1400</v>
      </c>
    </row>
    <row r="188" spans="1:6" ht="132" x14ac:dyDescent="0.25">
      <c r="A188" s="66" t="s">
        <v>24</v>
      </c>
      <c r="B188" s="67" t="s">
        <v>728</v>
      </c>
    </row>
    <row r="189" spans="1:6" x14ac:dyDescent="0.25">
      <c r="A189" s="66" t="s">
        <v>61</v>
      </c>
      <c r="B189" s="67" t="s">
        <v>329</v>
      </c>
      <c r="C189" s="2" t="s">
        <v>10</v>
      </c>
      <c r="D189" s="3">
        <v>22</v>
      </c>
      <c r="E189" s="34">
        <v>8</v>
      </c>
      <c r="F189" s="3">
        <f>D189*$E189</f>
        <v>176</v>
      </c>
    </row>
    <row r="190" spans="1:6" x14ac:dyDescent="0.25">
      <c r="A190" s="66" t="s">
        <v>62</v>
      </c>
      <c r="B190" s="67" t="s">
        <v>330</v>
      </c>
      <c r="C190" s="2" t="s">
        <v>10</v>
      </c>
      <c r="D190" s="3">
        <v>63</v>
      </c>
      <c r="E190" s="34">
        <v>10</v>
      </c>
      <c r="F190" s="3">
        <f>D190*$E190</f>
        <v>630</v>
      </c>
    </row>
    <row r="191" spans="1:6" x14ac:dyDescent="0.25">
      <c r="A191" s="66" t="s">
        <v>25</v>
      </c>
      <c r="B191" s="59" t="s">
        <v>332</v>
      </c>
      <c r="C191" s="2" t="s">
        <v>46</v>
      </c>
      <c r="D191" s="51">
        <v>1</v>
      </c>
      <c r="E191" s="34">
        <v>256</v>
      </c>
      <c r="F191" s="3">
        <f t="shared" ref="F191:F195" si="21">D191*$E191</f>
        <v>256</v>
      </c>
    </row>
    <row r="192" spans="1:6" ht="26.4" x14ac:dyDescent="0.25">
      <c r="A192" s="66" t="s">
        <v>145</v>
      </c>
      <c r="B192" s="59" t="s">
        <v>320</v>
      </c>
      <c r="C192" s="2" t="s">
        <v>46</v>
      </c>
      <c r="D192" s="51">
        <v>4</v>
      </c>
      <c r="E192" s="34">
        <v>80</v>
      </c>
      <c r="F192" s="3">
        <f t="shared" si="21"/>
        <v>320</v>
      </c>
    </row>
    <row r="193" spans="1:6" ht="26.4" x14ac:dyDescent="0.25">
      <c r="A193" s="66" t="s">
        <v>146</v>
      </c>
      <c r="B193" s="59" t="s">
        <v>333</v>
      </c>
      <c r="C193" s="2" t="s">
        <v>46</v>
      </c>
      <c r="D193" s="51">
        <v>1</v>
      </c>
      <c r="E193" s="34">
        <v>200</v>
      </c>
      <c r="F193" s="3">
        <f t="shared" si="21"/>
        <v>200</v>
      </c>
    </row>
    <row r="194" spans="1:6" x14ac:dyDescent="0.25">
      <c r="A194" s="66" t="s">
        <v>147</v>
      </c>
      <c r="B194" s="59" t="s">
        <v>334</v>
      </c>
      <c r="C194" s="2" t="s">
        <v>46</v>
      </c>
      <c r="D194" s="51">
        <v>1</v>
      </c>
      <c r="E194" s="34">
        <v>150</v>
      </c>
      <c r="F194" s="3">
        <f t="shared" si="21"/>
        <v>150</v>
      </c>
    </row>
    <row r="195" spans="1:6" ht="39.6" x14ac:dyDescent="0.25">
      <c r="A195" s="32" t="s">
        <v>148</v>
      </c>
      <c r="B195" s="59" t="s">
        <v>725</v>
      </c>
      <c r="C195" s="2" t="s">
        <v>46</v>
      </c>
      <c r="D195" s="51">
        <v>1</v>
      </c>
      <c r="E195" s="34">
        <v>250</v>
      </c>
      <c r="F195" s="3">
        <f t="shared" si="21"/>
        <v>250</v>
      </c>
    </row>
    <row r="196" spans="1:6" x14ac:dyDescent="0.25">
      <c r="A196" s="7"/>
      <c r="B196" s="44" t="s">
        <v>156</v>
      </c>
      <c r="C196" s="6"/>
      <c r="D196" s="6"/>
      <c r="E196" s="21"/>
      <c r="F196" s="42">
        <f>SUM(F183:F195)</f>
        <v>7574</v>
      </c>
    </row>
    <row r="198" spans="1:6" x14ac:dyDescent="0.25">
      <c r="A198" s="45" t="s">
        <v>11</v>
      </c>
      <c r="B198" s="61" t="s">
        <v>336</v>
      </c>
      <c r="C198" s="41"/>
      <c r="D198" s="41"/>
      <c r="E198" s="62"/>
      <c r="F198" s="41"/>
    </row>
    <row r="199" spans="1:6" x14ac:dyDescent="0.25">
      <c r="A199" s="45"/>
      <c r="B199" s="65" t="s">
        <v>338</v>
      </c>
      <c r="C199" s="41"/>
      <c r="D199" s="41"/>
      <c r="E199" s="62"/>
      <c r="F199" s="41"/>
    </row>
    <row r="200" spans="1:6" x14ac:dyDescent="0.25">
      <c r="A200" s="32" t="s">
        <v>26</v>
      </c>
      <c r="B200" s="1" t="s">
        <v>337</v>
      </c>
      <c r="C200" s="2" t="s">
        <v>10</v>
      </c>
      <c r="D200" s="3">
        <v>36.5</v>
      </c>
      <c r="E200" s="34">
        <v>20</v>
      </c>
      <c r="F200" s="3">
        <f>D200*$E200</f>
        <v>730</v>
      </c>
    </row>
    <row r="201" spans="1:6" ht="79.2" x14ac:dyDescent="0.25">
      <c r="A201" s="66" t="s">
        <v>27</v>
      </c>
      <c r="B201" s="67" t="s">
        <v>339</v>
      </c>
      <c r="C201" s="2" t="s">
        <v>10</v>
      </c>
      <c r="D201" s="3">
        <v>36.5</v>
      </c>
      <c r="E201" s="34">
        <v>60</v>
      </c>
      <c r="F201" s="3">
        <f>D201*$E201</f>
        <v>2190</v>
      </c>
    </row>
    <row r="202" spans="1:6" x14ac:dyDescent="0.25">
      <c r="A202" s="66"/>
      <c r="B202" s="67" t="s">
        <v>340</v>
      </c>
    </row>
    <row r="203" spans="1:6" ht="52.8" x14ac:dyDescent="0.25">
      <c r="A203" s="66" t="s">
        <v>28</v>
      </c>
      <c r="B203" s="67" t="s">
        <v>729</v>
      </c>
      <c r="C203" s="2" t="s">
        <v>8</v>
      </c>
      <c r="D203" s="51">
        <v>2</v>
      </c>
      <c r="E203" s="34">
        <v>100</v>
      </c>
      <c r="F203" s="3">
        <f>D203*$E203</f>
        <v>200</v>
      </c>
    </row>
    <row r="204" spans="1:6" ht="52.8" x14ac:dyDescent="0.25">
      <c r="A204" s="66" t="s">
        <v>29</v>
      </c>
      <c r="B204" s="67" t="s">
        <v>341</v>
      </c>
    </row>
    <row r="205" spans="1:6" x14ac:dyDescent="0.25">
      <c r="A205" s="66" t="s">
        <v>61</v>
      </c>
      <c r="B205" s="67" t="s">
        <v>342</v>
      </c>
      <c r="C205" s="2" t="s">
        <v>10</v>
      </c>
      <c r="D205" s="3">
        <v>23</v>
      </c>
      <c r="E205" s="34">
        <v>8</v>
      </c>
      <c r="F205" s="3">
        <f>D205*$E205</f>
        <v>184</v>
      </c>
    </row>
    <row r="206" spans="1:6" x14ac:dyDescent="0.25">
      <c r="A206" s="66" t="s">
        <v>62</v>
      </c>
      <c r="B206" s="67" t="s">
        <v>343</v>
      </c>
      <c r="C206" s="2" t="s">
        <v>8</v>
      </c>
      <c r="D206" s="51">
        <v>8</v>
      </c>
      <c r="E206" s="34">
        <v>5</v>
      </c>
      <c r="F206" s="3">
        <f>D206*$E206</f>
        <v>40</v>
      </c>
    </row>
    <row r="207" spans="1:6" ht="52.8" x14ac:dyDescent="0.25">
      <c r="A207" s="66" t="s">
        <v>52</v>
      </c>
      <c r="B207" s="67" t="s">
        <v>344</v>
      </c>
      <c r="C207" s="2" t="s">
        <v>10</v>
      </c>
      <c r="D207" s="3">
        <v>31</v>
      </c>
      <c r="E207" s="34">
        <v>5</v>
      </c>
      <c r="F207" s="3">
        <f>D207*$E207</f>
        <v>155</v>
      </c>
    </row>
    <row r="208" spans="1:6" x14ac:dyDescent="0.25">
      <c r="A208" s="66" t="s">
        <v>76</v>
      </c>
      <c r="B208" s="67" t="s">
        <v>345</v>
      </c>
      <c r="C208" s="2" t="s">
        <v>8</v>
      </c>
      <c r="D208" s="51">
        <v>1</v>
      </c>
      <c r="E208" s="34">
        <v>80</v>
      </c>
      <c r="F208" s="3">
        <f>D208*$E208</f>
        <v>80</v>
      </c>
    </row>
    <row r="209" spans="1:6" ht="26.4" x14ac:dyDescent="0.25">
      <c r="A209" s="66" t="s">
        <v>83</v>
      </c>
      <c r="B209" s="67" t="s">
        <v>346</v>
      </c>
      <c r="C209" s="2" t="s">
        <v>46</v>
      </c>
      <c r="D209" s="51">
        <v>1</v>
      </c>
      <c r="E209" s="34">
        <v>200</v>
      </c>
      <c r="F209" s="3">
        <f t="shared" ref="F209" si="22">D209*$E209</f>
        <v>200</v>
      </c>
    </row>
    <row r="210" spans="1:6" x14ac:dyDescent="0.25">
      <c r="A210" s="7"/>
      <c r="B210" s="44" t="s">
        <v>347</v>
      </c>
      <c r="C210" s="6"/>
      <c r="D210" s="6"/>
      <c r="E210" s="21"/>
      <c r="F210" s="42">
        <f>SUM(F200:F209)</f>
        <v>3779</v>
      </c>
    </row>
    <row r="212" spans="1:6" x14ac:dyDescent="0.25">
      <c r="A212" s="35" t="s">
        <v>12</v>
      </c>
      <c r="B212" s="61" t="s">
        <v>348</v>
      </c>
      <c r="C212" s="41"/>
      <c r="D212" s="41"/>
      <c r="E212" s="62"/>
      <c r="F212" s="41"/>
    </row>
    <row r="213" spans="1:6" ht="66" x14ac:dyDescent="0.25">
      <c r="A213" s="32" t="s">
        <v>30</v>
      </c>
      <c r="B213" s="1" t="s">
        <v>349</v>
      </c>
      <c r="C213" s="2" t="s">
        <v>46</v>
      </c>
      <c r="D213" s="51">
        <v>1</v>
      </c>
      <c r="E213" s="34">
        <v>800</v>
      </c>
      <c r="F213" s="3">
        <f t="shared" ref="F213:F215" si="23">D213*$E213</f>
        <v>800</v>
      </c>
    </row>
    <row r="214" spans="1:6" ht="52.8" x14ac:dyDescent="0.25">
      <c r="A214" s="32" t="s">
        <v>31</v>
      </c>
      <c r="B214" s="1" t="s">
        <v>350</v>
      </c>
      <c r="C214" s="2" t="s">
        <v>46</v>
      </c>
      <c r="D214" s="51">
        <v>1</v>
      </c>
      <c r="E214" s="34">
        <v>400</v>
      </c>
      <c r="F214" s="3">
        <f t="shared" si="23"/>
        <v>400</v>
      </c>
    </row>
    <row r="215" spans="1:6" ht="52.8" x14ac:dyDescent="0.25">
      <c r="A215" s="32" t="s">
        <v>32</v>
      </c>
      <c r="B215" s="1" t="s">
        <v>351</v>
      </c>
      <c r="C215" s="2" t="s">
        <v>46</v>
      </c>
      <c r="D215" s="51">
        <v>1</v>
      </c>
      <c r="E215" s="34">
        <v>500</v>
      </c>
      <c r="F215" s="3">
        <f t="shared" si="23"/>
        <v>500</v>
      </c>
    </row>
    <row r="216" spans="1:6" x14ac:dyDescent="0.25">
      <c r="B216" s="44" t="s">
        <v>352</v>
      </c>
      <c r="C216" s="6"/>
      <c r="D216" s="6"/>
      <c r="E216" s="21"/>
      <c r="F216" s="42">
        <f>SUM(F213:F215)</f>
        <v>1700</v>
      </c>
    </row>
    <row r="219" spans="1:6" x14ac:dyDescent="0.25">
      <c r="A219" s="45" t="s">
        <v>45</v>
      </c>
      <c r="B219" s="23" t="s">
        <v>353</v>
      </c>
    </row>
    <row r="221" spans="1:6" x14ac:dyDescent="0.25">
      <c r="A221" s="45" t="s">
        <v>6</v>
      </c>
      <c r="B221" s="19" t="s">
        <v>144</v>
      </c>
      <c r="C221" s="22"/>
      <c r="D221" s="42"/>
      <c r="E221" s="49"/>
      <c r="F221" s="42">
        <f>SUM(F196)</f>
        <v>7574</v>
      </c>
    </row>
    <row r="222" spans="1:6" x14ac:dyDescent="0.25">
      <c r="A222" s="45" t="s">
        <v>11</v>
      </c>
      <c r="B222" s="19" t="s">
        <v>336</v>
      </c>
      <c r="C222" s="22"/>
      <c r="D222" s="42"/>
      <c r="E222" s="49"/>
      <c r="F222" s="42">
        <f>SUM(F210)</f>
        <v>3779</v>
      </c>
    </row>
    <row r="223" spans="1:6" x14ac:dyDescent="0.25">
      <c r="A223" s="45" t="s">
        <v>12</v>
      </c>
      <c r="B223" s="19" t="s">
        <v>348</v>
      </c>
      <c r="C223" s="22"/>
      <c r="D223" s="42"/>
      <c r="E223" s="49"/>
      <c r="F223" s="42">
        <f>SUM(F216)</f>
        <v>1700</v>
      </c>
    </row>
    <row r="224" spans="1:6" x14ac:dyDescent="0.25">
      <c r="A224" s="45"/>
      <c r="B224" s="19"/>
      <c r="C224" s="22"/>
      <c r="D224" s="42"/>
      <c r="E224" s="47"/>
      <c r="F224" s="42"/>
    </row>
    <row r="225" spans="1:6" x14ac:dyDescent="0.25">
      <c r="A225" s="45"/>
      <c r="B225" s="35" t="s">
        <v>354</v>
      </c>
      <c r="C225" s="22"/>
      <c r="D225" s="42"/>
      <c r="E225" s="49"/>
      <c r="F225" s="42">
        <f>SUM(F221:F223)</f>
        <v>13053</v>
      </c>
    </row>
    <row r="226" spans="1:6" x14ac:dyDescent="0.25">
      <c r="B226" s="50"/>
      <c r="E226" s="46"/>
    </row>
    <row r="227" spans="1:6" x14ac:dyDescent="0.25">
      <c r="B227" s="50"/>
      <c r="E227" s="46"/>
    </row>
    <row r="228" spans="1:6" x14ac:dyDescent="0.25">
      <c r="A228" s="45" t="s">
        <v>80</v>
      </c>
      <c r="B228" s="23" t="s">
        <v>501</v>
      </c>
      <c r="C228" s="22"/>
      <c r="D228" s="42"/>
      <c r="E228" s="49"/>
      <c r="F228" s="42"/>
    </row>
    <row r="229" spans="1:6" x14ac:dyDescent="0.25">
      <c r="A229" s="45"/>
      <c r="B229" s="23"/>
      <c r="C229" s="22"/>
      <c r="D229" s="42"/>
      <c r="E229" s="49"/>
      <c r="F229" s="42"/>
    </row>
    <row r="230" spans="1:6" x14ac:dyDescent="0.25">
      <c r="A230" s="35" t="s">
        <v>6</v>
      </c>
      <c r="B230" s="61" t="s">
        <v>158</v>
      </c>
      <c r="C230" s="41"/>
      <c r="D230" s="41"/>
      <c r="E230" s="62"/>
      <c r="F230" s="41"/>
    </row>
    <row r="231" spans="1:6" ht="132" x14ac:dyDescent="0.25">
      <c r="A231" s="35"/>
      <c r="B231" s="1" t="s">
        <v>355</v>
      </c>
      <c r="C231" s="41"/>
      <c r="D231" s="41"/>
      <c r="E231" s="62"/>
      <c r="F231" s="41"/>
    </row>
    <row r="232" spans="1:6" ht="303.60000000000002" x14ac:dyDescent="0.25">
      <c r="A232" s="32" t="s">
        <v>21</v>
      </c>
      <c r="B232" s="1" t="s">
        <v>587</v>
      </c>
      <c r="C232" s="2" t="s">
        <v>46</v>
      </c>
      <c r="D232" s="51">
        <v>1</v>
      </c>
      <c r="E232" s="34">
        <v>2942</v>
      </c>
      <c r="F232" s="3">
        <f>D232*$E232</f>
        <v>2942</v>
      </c>
    </row>
    <row r="233" spans="1:6" ht="303.60000000000002" x14ac:dyDescent="0.25">
      <c r="A233" s="32" t="s">
        <v>22</v>
      </c>
      <c r="B233" s="59" t="s">
        <v>588</v>
      </c>
      <c r="C233" s="2" t="s">
        <v>46</v>
      </c>
      <c r="D233" s="51">
        <v>1</v>
      </c>
      <c r="E233" s="34">
        <v>2291</v>
      </c>
      <c r="F233" s="3">
        <f>D233*$E233</f>
        <v>2291</v>
      </c>
    </row>
    <row r="234" spans="1:6" x14ac:dyDescent="0.25">
      <c r="B234" s="44" t="s">
        <v>159</v>
      </c>
      <c r="C234" s="6"/>
      <c r="D234" s="6"/>
      <c r="E234" s="21"/>
      <c r="F234" s="42">
        <f>SUM(F232:F233)</f>
        <v>5233</v>
      </c>
    </row>
    <row r="235" spans="1:6" x14ac:dyDescent="0.25">
      <c r="D235" s="51"/>
    </row>
    <row r="236" spans="1:6" x14ac:dyDescent="0.25">
      <c r="A236" s="35" t="s">
        <v>11</v>
      </c>
      <c r="B236" s="68" t="s">
        <v>389</v>
      </c>
      <c r="C236" s="41"/>
      <c r="D236" s="41"/>
      <c r="E236" s="62"/>
      <c r="F236" s="41"/>
    </row>
    <row r="237" spans="1:6" ht="79.2" x14ac:dyDescent="0.25">
      <c r="A237" s="7" t="s">
        <v>26</v>
      </c>
      <c r="B237" s="1" t="s">
        <v>358</v>
      </c>
    </row>
    <row r="238" spans="1:6" x14ac:dyDescent="0.25">
      <c r="A238" s="7" t="s">
        <v>61</v>
      </c>
      <c r="B238" s="1" t="s">
        <v>359</v>
      </c>
      <c r="C238" s="2" t="s">
        <v>10</v>
      </c>
      <c r="D238" s="3">
        <v>35</v>
      </c>
      <c r="E238" s="34">
        <v>4.3499999999999996</v>
      </c>
      <c r="F238" s="3">
        <f t="shared" ref="F238:F247" si="24">D238*$E238</f>
        <v>152.25</v>
      </c>
    </row>
    <row r="239" spans="1:6" x14ac:dyDescent="0.25">
      <c r="A239" s="7" t="s">
        <v>62</v>
      </c>
      <c r="B239" s="1" t="s">
        <v>360</v>
      </c>
      <c r="C239" s="2" t="s">
        <v>10</v>
      </c>
      <c r="D239" s="3">
        <v>340</v>
      </c>
      <c r="E239" s="34">
        <v>3.33</v>
      </c>
      <c r="F239" s="3">
        <f t="shared" si="24"/>
        <v>1132.2</v>
      </c>
    </row>
    <row r="240" spans="1:6" x14ac:dyDescent="0.25">
      <c r="A240" s="7" t="s">
        <v>63</v>
      </c>
      <c r="B240" s="1" t="s">
        <v>361</v>
      </c>
      <c r="C240" s="2" t="s">
        <v>10</v>
      </c>
      <c r="D240" s="3">
        <v>230</v>
      </c>
      <c r="E240" s="34">
        <v>3.98</v>
      </c>
      <c r="F240" s="3">
        <f t="shared" si="24"/>
        <v>915.4</v>
      </c>
    </row>
    <row r="241" spans="1:6" x14ac:dyDescent="0.25">
      <c r="A241" s="7" t="s">
        <v>64</v>
      </c>
      <c r="B241" s="1" t="s">
        <v>362</v>
      </c>
      <c r="C241" s="2" t="s">
        <v>10</v>
      </c>
      <c r="D241" s="3">
        <v>5</v>
      </c>
      <c r="E241" s="34">
        <v>4</v>
      </c>
      <c r="F241" s="3">
        <f t="shared" si="24"/>
        <v>20</v>
      </c>
    </row>
    <row r="242" spans="1:6" x14ac:dyDescent="0.25">
      <c r="A242" s="7" t="s">
        <v>103</v>
      </c>
      <c r="B242" s="1" t="s">
        <v>365</v>
      </c>
      <c r="C242" s="2" t="s">
        <v>10</v>
      </c>
      <c r="D242" s="3">
        <v>170</v>
      </c>
      <c r="E242" s="34">
        <v>3.33</v>
      </c>
      <c r="F242" s="3">
        <f t="shared" si="24"/>
        <v>566.1</v>
      </c>
    </row>
    <row r="243" spans="1:6" x14ac:dyDescent="0.25">
      <c r="A243" s="7" t="s">
        <v>115</v>
      </c>
      <c r="B243" s="1" t="s">
        <v>366</v>
      </c>
      <c r="C243" s="2" t="s">
        <v>10</v>
      </c>
      <c r="D243" s="3">
        <v>62</v>
      </c>
      <c r="E243" s="34">
        <v>4</v>
      </c>
      <c r="F243" s="3">
        <f t="shared" si="24"/>
        <v>248</v>
      </c>
    </row>
    <row r="244" spans="1:6" x14ac:dyDescent="0.25">
      <c r="A244" s="7" t="s">
        <v>116</v>
      </c>
      <c r="B244" s="1" t="s">
        <v>367</v>
      </c>
      <c r="C244" s="2" t="s">
        <v>10</v>
      </c>
      <c r="D244" s="3">
        <v>230</v>
      </c>
      <c r="E244" s="34">
        <v>11</v>
      </c>
      <c r="F244" s="3">
        <f t="shared" si="24"/>
        <v>2530</v>
      </c>
    </row>
    <row r="245" spans="1:6" x14ac:dyDescent="0.25">
      <c r="A245" s="7" t="s">
        <v>117</v>
      </c>
      <c r="B245" s="1" t="s">
        <v>363</v>
      </c>
      <c r="C245" s="2" t="s">
        <v>10</v>
      </c>
      <c r="D245" s="3">
        <v>6</v>
      </c>
      <c r="E245" s="34">
        <v>20</v>
      </c>
      <c r="F245" s="3">
        <f t="shared" si="24"/>
        <v>120</v>
      </c>
    </row>
    <row r="246" spans="1:6" x14ac:dyDescent="0.25">
      <c r="A246" s="7" t="s">
        <v>118</v>
      </c>
      <c r="B246" s="1" t="s">
        <v>368</v>
      </c>
      <c r="C246" s="2" t="s">
        <v>10</v>
      </c>
      <c r="D246" s="3">
        <v>5</v>
      </c>
      <c r="E246" s="34">
        <v>10</v>
      </c>
      <c r="F246" s="3">
        <f t="shared" si="24"/>
        <v>50</v>
      </c>
    </row>
    <row r="247" spans="1:6" ht="26.4" x14ac:dyDescent="0.25">
      <c r="A247" s="7" t="s">
        <v>119</v>
      </c>
      <c r="B247" s="1" t="s">
        <v>369</v>
      </c>
      <c r="C247" s="2" t="s">
        <v>10</v>
      </c>
      <c r="D247" s="3">
        <v>380</v>
      </c>
      <c r="E247" s="34">
        <v>5</v>
      </c>
      <c r="F247" s="3">
        <f t="shared" si="24"/>
        <v>1900</v>
      </c>
    </row>
    <row r="248" spans="1:6" x14ac:dyDescent="0.25">
      <c r="B248" s="44" t="s">
        <v>390</v>
      </c>
      <c r="C248" s="6"/>
      <c r="D248" s="6"/>
      <c r="E248" s="21"/>
      <c r="F248" s="42">
        <f>SUM(F238:F247)</f>
        <v>7633.95</v>
      </c>
    </row>
    <row r="249" spans="1:6" x14ac:dyDescent="0.25">
      <c r="D249" s="51"/>
    </row>
    <row r="250" spans="1:6" x14ac:dyDescent="0.25">
      <c r="A250" s="35" t="s">
        <v>12</v>
      </c>
      <c r="B250" s="68" t="s">
        <v>392</v>
      </c>
      <c r="C250" s="41"/>
      <c r="D250" s="41"/>
      <c r="E250" s="62"/>
      <c r="F250" s="41"/>
    </row>
    <row r="251" spans="1:6" ht="382.8" x14ac:dyDescent="0.25">
      <c r="A251" s="32" t="s">
        <v>30</v>
      </c>
      <c r="B251" s="1" t="s">
        <v>578</v>
      </c>
      <c r="C251" s="2" t="s">
        <v>8</v>
      </c>
      <c r="D251" s="51">
        <v>24</v>
      </c>
      <c r="E251" s="34">
        <v>140</v>
      </c>
      <c r="F251" s="3">
        <f t="shared" ref="F251:F269" si="25">D251*$E251</f>
        <v>3360</v>
      </c>
    </row>
    <row r="252" spans="1:6" ht="264" x14ac:dyDescent="0.25">
      <c r="A252" s="32" t="s">
        <v>31</v>
      </c>
      <c r="B252" s="1" t="s">
        <v>371</v>
      </c>
      <c r="D252" s="51"/>
    </row>
    <row r="253" spans="1:6" ht="184.8" x14ac:dyDescent="0.25">
      <c r="B253" s="59" t="s">
        <v>372</v>
      </c>
      <c r="C253" s="2" t="s">
        <v>8</v>
      </c>
      <c r="D253" s="51">
        <v>4</v>
      </c>
      <c r="E253" s="34">
        <v>149</v>
      </c>
      <c r="F253" s="3">
        <f t="shared" ref="F253:F254" si="26">D253*$E253</f>
        <v>596</v>
      </c>
    </row>
    <row r="254" spans="1:6" ht="277.2" x14ac:dyDescent="0.25">
      <c r="A254" s="32" t="s">
        <v>32</v>
      </c>
      <c r="B254" s="1" t="s">
        <v>373</v>
      </c>
      <c r="C254" s="2" t="s">
        <v>8</v>
      </c>
      <c r="D254" s="51">
        <v>12</v>
      </c>
      <c r="E254" s="34">
        <v>96</v>
      </c>
      <c r="F254" s="3">
        <f t="shared" si="26"/>
        <v>1152</v>
      </c>
    </row>
    <row r="255" spans="1:6" ht="303.60000000000002" x14ac:dyDescent="0.25">
      <c r="A255" s="32" t="s">
        <v>33</v>
      </c>
      <c r="B255" s="1" t="s">
        <v>374</v>
      </c>
      <c r="C255" s="2" t="s">
        <v>8</v>
      </c>
      <c r="D255" s="51">
        <v>2</v>
      </c>
      <c r="E255" s="34">
        <v>75</v>
      </c>
      <c r="F255" s="3">
        <f t="shared" si="25"/>
        <v>150</v>
      </c>
    </row>
    <row r="256" spans="1:6" ht="39.6" x14ac:dyDescent="0.25">
      <c r="A256" s="32" t="s">
        <v>53</v>
      </c>
      <c r="B256" s="1" t="s">
        <v>375</v>
      </c>
      <c r="D256" s="51"/>
    </row>
    <row r="257" spans="1:6" x14ac:dyDescent="0.25">
      <c r="A257" s="32" t="s">
        <v>61</v>
      </c>
      <c r="B257" s="59" t="s">
        <v>376</v>
      </c>
      <c r="C257" s="2" t="s">
        <v>8</v>
      </c>
      <c r="D257" s="51">
        <v>8</v>
      </c>
      <c r="E257" s="34">
        <v>18</v>
      </c>
      <c r="F257" s="3">
        <f t="shared" ref="F257:F265" si="27">D257*$E257</f>
        <v>144</v>
      </c>
    </row>
    <row r="258" spans="1:6" x14ac:dyDescent="0.25">
      <c r="A258" s="32" t="s">
        <v>62</v>
      </c>
      <c r="B258" s="1" t="s">
        <v>377</v>
      </c>
      <c r="C258" s="2" t="s">
        <v>8</v>
      </c>
      <c r="D258" s="51">
        <v>2</v>
      </c>
      <c r="E258" s="34">
        <v>25</v>
      </c>
      <c r="F258" s="3">
        <f t="shared" si="27"/>
        <v>50</v>
      </c>
    </row>
    <row r="259" spans="1:6" x14ac:dyDescent="0.25">
      <c r="A259" s="32" t="s">
        <v>63</v>
      </c>
      <c r="B259" s="1" t="s">
        <v>378</v>
      </c>
      <c r="C259" s="2" t="s">
        <v>8</v>
      </c>
      <c r="D259" s="51">
        <v>2</v>
      </c>
      <c r="E259" s="34">
        <v>28</v>
      </c>
      <c r="F259" s="3">
        <f t="shared" si="27"/>
        <v>56</v>
      </c>
    </row>
    <row r="260" spans="1:6" x14ac:dyDescent="0.25">
      <c r="A260" s="32" t="s">
        <v>64</v>
      </c>
      <c r="B260" s="1" t="s">
        <v>379</v>
      </c>
      <c r="C260" s="2" t="s">
        <v>8</v>
      </c>
      <c r="D260" s="51">
        <v>2</v>
      </c>
      <c r="E260" s="34">
        <v>31</v>
      </c>
      <c r="F260" s="3">
        <f t="shared" si="27"/>
        <v>62</v>
      </c>
    </row>
    <row r="261" spans="1:6" x14ac:dyDescent="0.25">
      <c r="A261" s="32" t="s">
        <v>103</v>
      </c>
      <c r="B261" s="1" t="s">
        <v>380</v>
      </c>
      <c r="C261" s="2" t="s">
        <v>8</v>
      </c>
      <c r="D261" s="51">
        <v>2</v>
      </c>
      <c r="E261" s="34">
        <v>32</v>
      </c>
      <c r="F261" s="3">
        <f t="shared" si="27"/>
        <v>64</v>
      </c>
    </row>
    <row r="262" spans="1:6" x14ac:dyDescent="0.25">
      <c r="A262" s="32" t="s">
        <v>115</v>
      </c>
      <c r="B262" s="1" t="s">
        <v>381</v>
      </c>
      <c r="C262" s="2" t="s">
        <v>8</v>
      </c>
      <c r="D262" s="51">
        <v>3</v>
      </c>
      <c r="E262" s="34">
        <v>15</v>
      </c>
      <c r="F262" s="3">
        <f t="shared" si="27"/>
        <v>45</v>
      </c>
    </row>
    <row r="263" spans="1:6" x14ac:dyDescent="0.25">
      <c r="A263" s="32" t="s">
        <v>116</v>
      </c>
      <c r="B263" s="1" t="s">
        <v>589</v>
      </c>
      <c r="C263" s="2" t="s">
        <v>8</v>
      </c>
      <c r="D263" s="51">
        <v>15</v>
      </c>
      <c r="E263" s="34">
        <v>15</v>
      </c>
      <c r="F263" s="3">
        <f t="shared" si="27"/>
        <v>225</v>
      </c>
    </row>
    <row r="264" spans="1:6" x14ac:dyDescent="0.25">
      <c r="A264" s="32" t="s">
        <v>117</v>
      </c>
      <c r="B264" s="1" t="s">
        <v>383</v>
      </c>
      <c r="C264" s="2" t="s">
        <v>8</v>
      </c>
      <c r="D264" s="51">
        <v>2</v>
      </c>
      <c r="E264" s="34">
        <v>65</v>
      </c>
      <c r="F264" s="3">
        <f t="shared" si="27"/>
        <v>130</v>
      </c>
    </row>
    <row r="265" spans="1:6" ht="52.8" x14ac:dyDescent="0.25">
      <c r="A265" s="32" t="s">
        <v>54</v>
      </c>
      <c r="B265" s="1" t="s">
        <v>384</v>
      </c>
      <c r="C265" s="2" t="s">
        <v>10</v>
      </c>
      <c r="D265" s="3">
        <v>75</v>
      </c>
      <c r="E265" s="34">
        <v>25</v>
      </c>
      <c r="F265" s="3">
        <f t="shared" si="27"/>
        <v>1875</v>
      </c>
    </row>
    <row r="266" spans="1:6" ht="39.6" x14ac:dyDescent="0.25">
      <c r="A266" s="32" t="s">
        <v>55</v>
      </c>
      <c r="B266" s="1" t="s">
        <v>385</v>
      </c>
      <c r="D266" s="51"/>
    </row>
    <row r="267" spans="1:6" x14ac:dyDescent="0.25">
      <c r="A267" s="32" t="s">
        <v>61</v>
      </c>
      <c r="B267" s="59" t="s">
        <v>386</v>
      </c>
      <c r="C267" s="2" t="s">
        <v>10</v>
      </c>
      <c r="D267" s="3">
        <v>460</v>
      </c>
      <c r="E267" s="34">
        <v>4</v>
      </c>
      <c r="F267" s="3">
        <f t="shared" ref="F267:F268" si="28">D267*$E267</f>
        <v>1840</v>
      </c>
    </row>
    <row r="268" spans="1:6" ht="26.4" x14ac:dyDescent="0.25">
      <c r="A268" s="32" t="s">
        <v>62</v>
      </c>
      <c r="B268" s="1" t="s">
        <v>387</v>
      </c>
      <c r="C268" s="2" t="s">
        <v>46</v>
      </c>
      <c r="D268" s="51">
        <v>25</v>
      </c>
      <c r="E268" s="34">
        <v>5</v>
      </c>
      <c r="F268" s="3">
        <f t="shared" si="28"/>
        <v>125</v>
      </c>
    </row>
    <row r="269" spans="1:6" ht="26.4" x14ac:dyDescent="0.25">
      <c r="A269" s="32" t="s">
        <v>56</v>
      </c>
      <c r="B269" s="1" t="s">
        <v>388</v>
      </c>
      <c r="C269" s="2" t="s">
        <v>8</v>
      </c>
      <c r="D269" s="51">
        <v>8</v>
      </c>
      <c r="E269" s="34">
        <v>30</v>
      </c>
      <c r="F269" s="3">
        <f t="shared" si="25"/>
        <v>240</v>
      </c>
    </row>
    <row r="270" spans="1:6" x14ac:dyDescent="0.25">
      <c r="B270" s="35" t="s">
        <v>391</v>
      </c>
      <c r="C270" s="6"/>
      <c r="D270" s="6"/>
      <c r="E270" s="21"/>
      <c r="F270" s="42">
        <f>SUM(F251:F269)</f>
        <v>10114</v>
      </c>
    </row>
    <row r="271" spans="1:6" x14ac:dyDescent="0.25">
      <c r="D271" s="51"/>
    </row>
    <row r="272" spans="1:6" x14ac:dyDescent="0.25">
      <c r="A272" s="35" t="s">
        <v>13</v>
      </c>
      <c r="B272" s="68" t="s">
        <v>404</v>
      </c>
      <c r="C272" s="41"/>
      <c r="D272" s="41"/>
      <c r="E272" s="62"/>
      <c r="F272" s="41"/>
    </row>
    <row r="273" spans="1:6" ht="26.4" x14ac:dyDescent="0.25">
      <c r="A273" s="32" t="s">
        <v>39</v>
      </c>
      <c r="B273" s="1" t="s">
        <v>405</v>
      </c>
      <c r="C273" s="2" t="s">
        <v>9</v>
      </c>
      <c r="D273" s="3">
        <v>55</v>
      </c>
      <c r="E273" s="34">
        <v>15</v>
      </c>
      <c r="F273" s="3">
        <f t="shared" ref="F273:F279" si="29">D273*$E273</f>
        <v>825</v>
      </c>
    </row>
    <row r="274" spans="1:6" ht="26.4" x14ac:dyDescent="0.25">
      <c r="A274" s="32" t="s">
        <v>40</v>
      </c>
      <c r="B274" s="1" t="s">
        <v>406</v>
      </c>
      <c r="C274" s="2" t="s">
        <v>8</v>
      </c>
      <c r="D274" s="51">
        <v>6</v>
      </c>
      <c r="E274" s="34">
        <v>65</v>
      </c>
      <c r="F274" s="3">
        <f t="shared" si="29"/>
        <v>390</v>
      </c>
    </row>
    <row r="275" spans="1:6" ht="39.6" x14ac:dyDescent="0.25">
      <c r="A275" s="32" t="s">
        <v>70</v>
      </c>
      <c r="B275" s="59" t="s">
        <v>407</v>
      </c>
      <c r="C275" s="2" t="s">
        <v>10</v>
      </c>
      <c r="D275" s="3">
        <v>115</v>
      </c>
      <c r="E275" s="34">
        <v>15</v>
      </c>
      <c r="F275" s="3">
        <f t="shared" si="29"/>
        <v>1725</v>
      </c>
    </row>
    <row r="276" spans="1:6" ht="26.4" x14ac:dyDescent="0.25">
      <c r="A276" s="32" t="s">
        <v>71</v>
      </c>
      <c r="B276" s="1" t="s">
        <v>408</v>
      </c>
      <c r="C276" s="2" t="s">
        <v>10</v>
      </c>
      <c r="D276" s="3">
        <v>35</v>
      </c>
      <c r="E276" s="34">
        <v>12</v>
      </c>
      <c r="F276" s="3">
        <f t="shared" si="29"/>
        <v>420</v>
      </c>
    </row>
    <row r="277" spans="1:6" ht="26.4" x14ac:dyDescent="0.25">
      <c r="A277" s="32" t="s">
        <v>72</v>
      </c>
      <c r="B277" s="1" t="s">
        <v>409</v>
      </c>
      <c r="C277" s="2" t="s">
        <v>10</v>
      </c>
      <c r="D277" s="3">
        <v>100</v>
      </c>
      <c r="E277" s="34">
        <v>12</v>
      </c>
      <c r="F277" s="3">
        <f t="shared" si="29"/>
        <v>1200</v>
      </c>
    </row>
    <row r="278" spans="1:6" x14ac:dyDescent="0.25">
      <c r="A278" s="32" t="s">
        <v>73</v>
      </c>
      <c r="B278" s="1" t="s">
        <v>410</v>
      </c>
      <c r="C278" s="2" t="s">
        <v>8</v>
      </c>
      <c r="D278" s="51">
        <v>20</v>
      </c>
      <c r="E278" s="34">
        <v>14</v>
      </c>
      <c r="F278" s="3">
        <f t="shared" si="29"/>
        <v>280</v>
      </c>
    </row>
    <row r="279" spans="1:6" x14ac:dyDescent="0.25">
      <c r="A279" s="32" t="s">
        <v>165</v>
      </c>
      <c r="B279" s="1" t="s">
        <v>411</v>
      </c>
      <c r="C279" s="2" t="s">
        <v>8</v>
      </c>
      <c r="D279" s="51">
        <v>6</v>
      </c>
      <c r="E279" s="34">
        <v>25</v>
      </c>
      <c r="F279" s="3">
        <f t="shared" si="29"/>
        <v>150</v>
      </c>
    </row>
    <row r="280" spans="1:6" x14ac:dyDescent="0.25">
      <c r="B280" s="35" t="s">
        <v>552</v>
      </c>
      <c r="C280" s="6"/>
      <c r="D280" s="6"/>
      <c r="E280" s="21"/>
      <c r="F280" s="42">
        <f>SUM(F273:F279)</f>
        <v>4990</v>
      </c>
    </row>
    <row r="281" spans="1:6" x14ac:dyDescent="0.25">
      <c r="D281" s="51"/>
    </row>
    <row r="282" spans="1:6" x14ac:dyDescent="0.25">
      <c r="A282" s="35" t="s">
        <v>14</v>
      </c>
      <c r="B282" s="68" t="s">
        <v>437</v>
      </c>
      <c r="C282" s="41"/>
      <c r="D282" s="41"/>
      <c r="E282" s="62"/>
      <c r="F282" s="41"/>
    </row>
    <row r="283" spans="1:6" ht="105.6" x14ac:dyDescent="0.25">
      <c r="A283" s="32" t="s">
        <v>35</v>
      </c>
      <c r="B283" s="1" t="s">
        <v>438</v>
      </c>
      <c r="C283" s="2" t="s">
        <v>8</v>
      </c>
      <c r="D283" s="51">
        <v>12</v>
      </c>
      <c r="E283" s="34">
        <v>710</v>
      </c>
      <c r="F283" s="69" t="s">
        <v>550</v>
      </c>
    </row>
    <row r="284" spans="1:6" ht="132" x14ac:dyDescent="0.25">
      <c r="A284" s="32" t="s">
        <v>36</v>
      </c>
      <c r="B284" s="1" t="s">
        <v>590</v>
      </c>
      <c r="C284" s="2" t="s">
        <v>8</v>
      </c>
      <c r="D284" s="51">
        <v>2</v>
      </c>
      <c r="E284" s="34">
        <v>2100</v>
      </c>
      <c r="F284" s="3">
        <f t="shared" ref="F284:F297" si="30">D284*$E284</f>
        <v>4200</v>
      </c>
    </row>
    <row r="285" spans="1:6" ht="26.4" x14ac:dyDescent="0.25">
      <c r="A285" s="32" t="s">
        <v>37</v>
      </c>
      <c r="B285" s="1" t="s">
        <v>442</v>
      </c>
      <c r="C285" s="2" t="s">
        <v>8</v>
      </c>
      <c r="D285" s="51">
        <v>2</v>
      </c>
      <c r="E285" s="34">
        <v>240</v>
      </c>
      <c r="F285" s="3">
        <f t="shared" si="30"/>
        <v>480</v>
      </c>
    </row>
    <row r="286" spans="1:6" ht="92.4" x14ac:dyDescent="0.25">
      <c r="A286" s="32" t="s">
        <v>38</v>
      </c>
      <c r="B286" s="1" t="s">
        <v>443</v>
      </c>
      <c r="C286" s="2" t="s">
        <v>8</v>
      </c>
      <c r="D286" s="51">
        <v>2</v>
      </c>
      <c r="E286" s="34">
        <v>155</v>
      </c>
      <c r="F286" s="3">
        <f t="shared" si="30"/>
        <v>310</v>
      </c>
    </row>
    <row r="287" spans="1:6" ht="39.6" x14ac:dyDescent="0.25">
      <c r="A287" s="32" t="s">
        <v>105</v>
      </c>
      <c r="B287" s="1" t="s">
        <v>444</v>
      </c>
      <c r="C287" s="2" t="s">
        <v>8</v>
      </c>
      <c r="D287" s="51">
        <v>2</v>
      </c>
      <c r="E287" s="34">
        <v>125</v>
      </c>
      <c r="F287" s="3">
        <f t="shared" si="30"/>
        <v>250</v>
      </c>
    </row>
    <row r="288" spans="1:6" x14ac:dyDescent="0.25">
      <c r="A288" s="32" t="s">
        <v>106</v>
      </c>
      <c r="B288" s="1" t="s">
        <v>445</v>
      </c>
      <c r="C288" s="2" t="s">
        <v>8</v>
      </c>
      <c r="D288" s="51">
        <v>2</v>
      </c>
      <c r="E288" s="34">
        <v>15</v>
      </c>
      <c r="F288" s="3">
        <f t="shared" si="30"/>
        <v>30</v>
      </c>
    </row>
    <row r="289" spans="1:6" ht="26.4" x14ac:dyDescent="0.25">
      <c r="A289" s="32" t="s">
        <v>107</v>
      </c>
      <c r="B289" s="1" t="s">
        <v>446</v>
      </c>
      <c r="C289" s="2" t="s">
        <v>8</v>
      </c>
      <c r="D289" s="51">
        <v>1</v>
      </c>
      <c r="E289" s="34">
        <v>610</v>
      </c>
      <c r="F289" s="3">
        <f t="shared" si="30"/>
        <v>610</v>
      </c>
    </row>
    <row r="290" spans="1:6" x14ac:dyDescent="0.25">
      <c r="A290" s="32" t="s">
        <v>108</v>
      </c>
      <c r="B290" s="1" t="s">
        <v>447</v>
      </c>
      <c r="C290" s="2" t="s">
        <v>46</v>
      </c>
      <c r="D290" s="51">
        <v>2</v>
      </c>
      <c r="E290" s="34">
        <v>550</v>
      </c>
      <c r="F290" s="3">
        <f t="shared" si="30"/>
        <v>1100</v>
      </c>
    </row>
    <row r="291" spans="1:6" x14ac:dyDescent="0.25">
      <c r="A291" s="32" t="s">
        <v>109</v>
      </c>
      <c r="B291" s="1" t="s">
        <v>450</v>
      </c>
      <c r="C291" s="2" t="s">
        <v>10</v>
      </c>
      <c r="D291" s="3">
        <v>10</v>
      </c>
      <c r="E291" s="34">
        <v>4.2</v>
      </c>
      <c r="F291" s="3">
        <f t="shared" si="30"/>
        <v>42</v>
      </c>
    </row>
    <row r="292" spans="1:6" x14ac:dyDescent="0.25">
      <c r="A292" s="32" t="s">
        <v>110</v>
      </c>
      <c r="B292" s="1" t="s">
        <v>451</v>
      </c>
      <c r="C292" s="2" t="s">
        <v>10</v>
      </c>
      <c r="D292" s="3">
        <v>20</v>
      </c>
      <c r="E292" s="34">
        <v>4.55</v>
      </c>
      <c r="F292" s="3">
        <f t="shared" si="30"/>
        <v>91</v>
      </c>
    </row>
    <row r="293" spans="1:6" x14ac:dyDescent="0.25">
      <c r="A293" s="32" t="s">
        <v>113</v>
      </c>
      <c r="B293" s="1" t="s">
        <v>453</v>
      </c>
      <c r="C293" s="2" t="s">
        <v>10</v>
      </c>
      <c r="D293" s="3">
        <v>20</v>
      </c>
      <c r="E293" s="34">
        <v>14</v>
      </c>
      <c r="F293" s="3">
        <f t="shared" si="30"/>
        <v>280</v>
      </c>
    </row>
    <row r="294" spans="1:6" x14ac:dyDescent="0.25">
      <c r="A294" s="32" t="s">
        <v>553</v>
      </c>
      <c r="B294" s="1" t="s">
        <v>456</v>
      </c>
      <c r="C294" s="2" t="s">
        <v>10</v>
      </c>
      <c r="D294" s="3">
        <v>55</v>
      </c>
      <c r="E294" s="34">
        <v>3.55</v>
      </c>
      <c r="F294" s="3">
        <f t="shared" si="30"/>
        <v>195.25</v>
      </c>
    </row>
    <row r="295" spans="1:6" x14ac:dyDescent="0.25">
      <c r="A295" s="32" t="s">
        <v>554</v>
      </c>
      <c r="B295" s="1" t="s">
        <v>457</v>
      </c>
      <c r="C295" s="2" t="s">
        <v>10</v>
      </c>
      <c r="D295" s="3">
        <v>30</v>
      </c>
      <c r="E295" s="34">
        <v>4.2</v>
      </c>
      <c r="F295" s="3">
        <f t="shared" si="30"/>
        <v>126</v>
      </c>
    </row>
    <row r="296" spans="1:6" x14ac:dyDescent="0.25">
      <c r="A296" s="32" t="s">
        <v>555</v>
      </c>
      <c r="B296" s="1" t="s">
        <v>459</v>
      </c>
      <c r="C296" s="2" t="s">
        <v>10</v>
      </c>
      <c r="D296" s="3">
        <v>10</v>
      </c>
      <c r="E296" s="34">
        <v>4.2</v>
      </c>
      <c r="F296" s="3">
        <f t="shared" si="30"/>
        <v>42</v>
      </c>
    </row>
    <row r="297" spans="1:6" x14ac:dyDescent="0.25">
      <c r="A297" s="32" t="s">
        <v>556</v>
      </c>
      <c r="B297" s="1" t="s">
        <v>460</v>
      </c>
      <c r="C297" s="2" t="s">
        <v>10</v>
      </c>
      <c r="D297" s="3">
        <v>60</v>
      </c>
      <c r="E297" s="34">
        <v>3.55</v>
      </c>
      <c r="F297" s="3">
        <f t="shared" si="30"/>
        <v>213</v>
      </c>
    </row>
    <row r="298" spans="1:6" x14ac:dyDescent="0.25">
      <c r="B298" s="35" t="s">
        <v>557</v>
      </c>
      <c r="C298" s="6"/>
      <c r="D298" s="6"/>
      <c r="E298" s="21"/>
      <c r="F298" s="42">
        <f>SUM(F284:F297)</f>
        <v>7969.25</v>
      </c>
    </row>
    <row r="299" spans="1:6" x14ac:dyDescent="0.25">
      <c r="D299" s="51"/>
    </row>
    <row r="300" spans="1:6" x14ac:dyDescent="0.25">
      <c r="A300" s="35" t="s">
        <v>15</v>
      </c>
      <c r="B300" s="68" t="s">
        <v>462</v>
      </c>
      <c r="C300" s="41"/>
      <c r="D300" s="41"/>
      <c r="E300" s="62"/>
      <c r="F300" s="41"/>
    </row>
    <row r="301" spans="1:6" ht="184.8" x14ac:dyDescent="0.25">
      <c r="A301" s="32" t="s">
        <v>39</v>
      </c>
      <c r="B301" s="1" t="s">
        <v>463</v>
      </c>
      <c r="C301" s="2" t="s">
        <v>46</v>
      </c>
      <c r="D301" s="51">
        <v>1</v>
      </c>
      <c r="E301" s="34">
        <v>980</v>
      </c>
      <c r="F301" s="3">
        <f t="shared" ref="F301:F325" si="31">D301*$E301</f>
        <v>980</v>
      </c>
    </row>
    <row r="302" spans="1:6" x14ac:dyDescent="0.25">
      <c r="A302" s="32" t="s">
        <v>40</v>
      </c>
      <c r="B302" s="1" t="s">
        <v>464</v>
      </c>
      <c r="C302" s="2" t="s">
        <v>46</v>
      </c>
      <c r="D302" s="51">
        <v>1</v>
      </c>
      <c r="E302" s="34">
        <v>55</v>
      </c>
      <c r="F302" s="3">
        <f t="shared" si="31"/>
        <v>55</v>
      </c>
    </row>
    <row r="303" spans="1:6" ht="39.6" x14ac:dyDescent="0.25">
      <c r="A303" s="32" t="s">
        <v>70</v>
      </c>
      <c r="B303" s="1" t="s">
        <v>465</v>
      </c>
      <c r="C303" s="2" t="s">
        <v>8</v>
      </c>
      <c r="D303" s="51">
        <v>2</v>
      </c>
      <c r="E303" s="34">
        <v>55</v>
      </c>
      <c r="F303" s="3">
        <f t="shared" si="31"/>
        <v>110</v>
      </c>
    </row>
    <row r="304" spans="1:6" ht="171.6" x14ac:dyDescent="0.25">
      <c r="A304" s="32" t="s">
        <v>71</v>
      </c>
      <c r="B304" s="1" t="s">
        <v>466</v>
      </c>
      <c r="C304" s="2" t="s">
        <v>8</v>
      </c>
      <c r="D304" s="51">
        <v>1</v>
      </c>
      <c r="E304" s="34">
        <v>1450</v>
      </c>
      <c r="F304" s="3">
        <f t="shared" si="31"/>
        <v>1450</v>
      </c>
    </row>
    <row r="305" spans="1:6" ht="118.8" x14ac:dyDescent="0.25">
      <c r="A305" s="32" t="s">
        <v>72</v>
      </c>
      <c r="B305" s="1" t="s">
        <v>467</v>
      </c>
      <c r="C305" s="2" t="s">
        <v>8</v>
      </c>
      <c r="D305" s="51">
        <v>1</v>
      </c>
      <c r="E305" s="34">
        <v>355</v>
      </c>
      <c r="F305" s="3">
        <f t="shared" si="31"/>
        <v>355</v>
      </c>
    </row>
    <row r="306" spans="1:6" ht="105.6" x14ac:dyDescent="0.25">
      <c r="A306" s="32" t="s">
        <v>73</v>
      </c>
      <c r="B306" s="1" t="s">
        <v>468</v>
      </c>
      <c r="C306" s="2" t="s">
        <v>8</v>
      </c>
      <c r="D306" s="51">
        <v>1</v>
      </c>
      <c r="E306" s="34">
        <v>55</v>
      </c>
      <c r="F306" s="3">
        <f t="shared" si="31"/>
        <v>55</v>
      </c>
    </row>
    <row r="307" spans="1:6" ht="158.4" x14ac:dyDescent="0.25">
      <c r="A307" s="32" t="s">
        <v>165</v>
      </c>
      <c r="B307" s="1" t="s">
        <v>472</v>
      </c>
      <c r="C307" s="2" t="s">
        <v>8</v>
      </c>
      <c r="D307" s="51">
        <v>11</v>
      </c>
      <c r="E307" s="34">
        <v>55</v>
      </c>
      <c r="F307" s="3">
        <f t="shared" si="31"/>
        <v>605</v>
      </c>
    </row>
    <row r="308" spans="1:6" ht="118.8" x14ac:dyDescent="0.25">
      <c r="A308" s="32" t="s">
        <v>74</v>
      </c>
      <c r="B308" s="1" t="s">
        <v>469</v>
      </c>
      <c r="C308" s="2" t="s">
        <v>8</v>
      </c>
      <c r="D308" s="51">
        <v>2</v>
      </c>
      <c r="E308" s="34">
        <v>78</v>
      </c>
      <c r="F308" s="3">
        <f t="shared" si="31"/>
        <v>156</v>
      </c>
    </row>
    <row r="309" spans="1:6" ht="26.4" x14ac:dyDescent="0.25">
      <c r="A309" s="32" t="s">
        <v>166</v>
      </c>
      <c r="B309" s="1" t="s">
        <v>470</v>
      </c>
      <c r="C309" s="2" t="s">
        <v>8</v>
      </c>
      <c r="D309" s="51">
        <v>2</v>
      </c>
      <c r="E309" s="34">
        <v>20</v>
      </c>
      <c r="F309" s="3">
        <f t="shared" si="31"/>
        <v>40</v>
      </c>
    </row>
    <row r="310" spans="1:6" ht="26.4" x14ac:dyDescent="0.25">
      <c r="A310" s="32" t="s">
        <v>167</v>
      </c>
      <c r="B310" s="1" t="s">
        <v>471</v>
      </c>
      <c r="C310" s="2" t="s">
        <v>8</v>
      </c>
      <c r="D310" s="51">
        <v>2</v>
      </c>
      <c r="E310" s="34">
        <v>5</v>
      </c>
      <c r="F310" s="3">
        <f t="shared" si="31"/>
        <v>10</v>
      </c>
    </row>
    <row r="311" spans="1:6" ht="79.2" x14ac:dyDescent="0.25">
      <c r="A311" s="32" t="s">
        <v>250</v>
      </c>
      <c r="B311" s="1" t="s">
        <v>473</v>
      </c>
      <c r="C311" s="2" t="s">
        <v>8</v>
      </c>
      <c r="D311" s="51">
        <v>2</v>
      </c>
      <c r="E311" s="34">
        <v>110</v>
      </c>
      <c r="F311" s="3">
        <f t="shared" si="31"/>
        <v>220</v>
      </c>
    </row>
    <row r="312" spans="1:6" ht="145.19999999999999" x14ac:dyDescent="0.25">
      <c r="A312" s="32" t="s">
        <v>253</v>
      </c>
      <c r="B312" s="1" t="s">
        <v>591</v>
      </c>
      <c r="C312" s="2" t="s">
        <v>8</v>
      </c>
      <c r="D312" s="51">
        <v>2</v>
      </c>
      <c r="E312" s="34">
        <v>165</v>
      </c>
      <c r="F312" s="3">
        <f t="shared" si="31"/>
        <v>330</v>
      </c>
    </row>
    <row r="313" spans="1:6" ht="105.6" x14ac:dyDescent="0.25">
      <c r="A313" s="32" t="s">
        <v>260</v>
      </c>
      <c r="B313" s="1" t="s">
        <v>475</v>
      </c>
      <c r="C313" s="2" t="s">
        <v>8</v>
      </c>
      <c r="D313" s="51">
        <v>2</v>
      </c>
      <c r="E313" s="34">
        <v>110</v>
      </c>
      <c r="F313" s="3">
        <f t="shared" si="31"/>
        <v>220</v>
      </c>
    </row>
    <row r="314" spans="1:6" ht="39.6" x14ac:dyDescent="0.25">
      <c r="A314" s="32" t="s">
        <v>558</v>
      </c>
      <c r="B314" s="1" t="s">
        <v>476</v>
      </c>
      <c r="C314" s="2" t="s">
        <v>8</v>
      </c>
      <c r="D314" s="51">
        <v>16</v>
      </c>
      <c r="E314" s="34">
        <v>20</v>
      </c>
      <c r="F314" s="3">
        <f t="shared" si="31"/>
        <v>320</v>
      </c>
    </row>
    <row r="315" spans="1:6" ht="237.6" x14ac:dyDescent="0.25">
      <c r="A315" s="32" t="s">
        <v>559</v>
      </c>
      <c r="B315" s="1" t="s">
        <v>477</v>
      </c>
      <c r="C315" s="2" t="s">
        <v>8</v>
      </c>
      <c r="D315" s="51">
        <v>1</v>
      </c>
      <c r="E315" s="34">
        <v>135</v>
      </c>
      <c r="F315" s="3">
        <f t="shared" si="31"/>
        <v>135</v>
      </c>
    </row>
    <row r="316" spans="1:6" ht="66" x14ac:dyDescent="0.25">
      <c r="A316" s="32" t="s">
        <v>560</v>
      </c>
      <c r="B316" s="1" t="s">
        <v>478</v>
      </c>
      <c r="C316" s="2" t="s">
        <v>10</v>
      </c>
      <c r="D316" s="3">
        <v>155</v>
      </c>
      <c r="E316" s="34">
        <v>3.25</v>
      </c>
      <c r="F316" s="3">
        <f t="shared" si="31"/>
        <v>503.75</v>
      </c>
    </row>
    <row r="317" spans="1:6" ht="118.8" x14ac:dyDescent="0.25">
      <c r="A317" s="32" t="s">
        <v>561</v>
      </c>
      <c r="B317" s="1" t="s">
        <v>479</v>
      </c>
      <c r="C317" s="2" t="s">
        <v>10</v>
      </c>
      <c r="D317" s="3">
        <v>235</v>
      </c>
      <c r="E317" s="34">
        <v>3.55</v>
      </c>
      <c r="F317" s="3">
        <f t="shared" si="31"/>
        <v>834.25</v>
      </c>
    </row>
    <row r="318" spans="1:6" ht="26.4" x14ac:dyDescent="0.25">
      <c r="A318" s="32" t="s">
        <v>562</v>
      </c>
      <c r="B318" s="1" t="s">
        <v>481</v>
      </c>
      <c r="C318" s="2" t="s">
        <v>10</v>
      </c>
      <c r="D318" s="3">
        <v>225</v>
      </c>
      <c r="E318" s="34">
        <v>4.55</v>
      </c>
      <c r="F318" s="3">
        <f t="shared" si="31"/>
        <v>1023.75</v>
      </c>
    </row>
    <row r="319" spans="1:6" ht="39.6" x14ac:dyDescent="0.25">
      <c r="A319" s="32" t="s">
        <v>563</v>
      </c>
      <c r="B319" s="1" t="s">
        <v>483</v>
      </c>
      <c r="C319" s="2" t="s">
        <v>10</v>
      </c>
      <c r="D319" s="3">
        <v>135</v>
      </c>
      <c r="E319" s="34">
        <v>4</v>
      </c>
      <c r="F319" s="3">
        <f t="shared" si="31"/>
        <v>540</v>
      </c>
    </row>
    <row r="320" spans="1:6" ht="39.6" x14ac:dyDescent="0.25">
      <c r="A320" s="32" t="s">
        <v>564</v>
      </c>
      <c r="B320" s="1" t="s">
        <v>485</v>
      </c>
      <c r="C320" s="2" t="s">
        <v>10</v>
      </c>
      <c r="D320" s="3">
        <v>25</v>
      </c>
      <c r="E320" s="34">
        <v>3.55</v>
      </c>
      <c r="F320" s="3">
        <f t="shared" si="31"/>
        <v>88.75</v>
      </c>
    </row>
    <row r="321" spans="1:6" ht="26.4" x14ac:dyDescent="0.25">
      <c r="A321" s="32" t="s">
        <v>565</v>
      </c>
      <c r="B321" s="1" t="s">
        <v>487</v>
      </c>
      <c r="C321" s="2" t="s">
        <v>46</v>
      </c>
      <c r="D321" s="51">
        <v>1</v>
      </c>
      <c r="E321" s="34">
        <v>255</v>
      </c>
      <c r="F321" s="3">
        <f t="shared" si="31"/>
        <v>255</v>
      </c>
    </row>
    <row r="322" spans="1:6" ht="39.6" x14ac:dyDescent="0.25">
      <c r="A322" s="32" t="s">
        <v>566</v>
      </c>
      <c r="B322" s="1" t="s">
        <v>489</v>
      </c>
      <c r="C322" s="2" t="s">
        <v>46</v>
      </c>
      <c r="D322" s="51">
        <v>1</v>
      </c>
      <c r="E322" s="34">
        <v>250</v>
      </c>
      <c r="F322" s="3">
        <f t="shared" si="31"/>
        <v>250</v>
      </c>
    </row>
    <row r="323" spans="1:6" ht="26.4" x14ac:dyDescent="0.25">
      <c r="A323" s="32" t="s">
        <v>567</v>
      </c>
      <c r="B323" s="1" t="s">
        <v>491</v>
      </c>
      <c r="C323" s="2" t="s">
        <v>46</v>
      </c>
      <c r="D323" s="51">
        <v>1</v>
      </c>
      <c r="E323" s="34">
        <v>450</v>
      </c>
      <c r="F323" s="3">
        <f t="shared" si="31"/>
        <v>450</v>
      </c>
    </row>
    <row r="324" spans="1:6" ht="26.4" x14ac:dyDescent="0.25">
      <c r="A324" s="32" t="s">
        <v>568</v>
      </c>
      <c r="B324" s="1" t="s">
        <v>493</v>
      </c>
      <c r="C324" s="2" t="s">
        <v>46</v>
      </c>
      <c r="D324" s="51">
        <v>1</v>
      </c>
      <c r="E324" s="34">
        <v>125</v>
      </c>
      <c r="F324" s="3">
        <f t="shared" si="31"/>
        <v>125</v>
      </c>
    </row>
    <row r="325" spans="1:6" ht="66" x14ac:dyDescent="0.25">
      <c r="A325" s="32" t="s">
        <v>569</v>
      </c>
      <c r="B325" s="1" t="s">
        <v>495</v>
      </c>
      <c r="C325" s="2" t="s">
        <v>46</v>
      </c>
      <c r="D325" s="51">
        <v>1</v>
      </c>
      <c r="E325" s="34">
        <v>950</v>
      </c>
      <c r="F325" s="3">
        <f t="shared" si="31"/>
        <v>950</v>
      </c>
    </row>
    <row r="326" spans="1:6" x14ac:dyDescent="0.25">
      <c r="B326" s="35" t="s">
        <v>570</v>
      </c>
      <c r="C326" s="6"/>
      <c r="D326" s="6"/>
      <c r="E326" s="21"/>
      <c r="F326" s="42">
        <f>SUM(F301:F325)</f>
        <v>10061.5</v>
      </c>
    </row>
    <row r="327" spans="1:6" x14ac:dyDescent="0.25">
      <c r="D327" s="51"/>
    </row>
    <row r="328" spans="1:6" x14ac:dyDescent="0.25">
      <c r="A328" s="35" t="s">
        <v>16</v>
      </c>
      <c r="B328" s="68" t="s">
        <v>497</v>
      </c>
      <c r="C328" s="41"/>
      <c r="D328" s="41"/>
      <c r="E328" s="62"/>
      <c r="F328" s="41"/>
    </row>
    <row r="329" spans="1:6" ht="52.8" x14ac:dyDescent="0.25">
      <c r="A329" s="32" t="s">
        <v>41</v>
      </c>
      <c r="B329" s="1" t="s">
        <v>498</v>
      </c>
      <c r="C329" s="2" t="s">
        <v>46</v>
      </c>
      <c r="D329" s="51">
        <v>1</v>
      </c>
      <c r="E329" s="34">
        <v>650</v>
      </c>
      <c r="F329" s="3">
        <f t="shared" ref="F329:F330" si="32">D329*$E329</f>
        <v>650</v>
      </c>
    </row>
    <row r="330" spans="1:6" ht="52.8" x14ac:dyDescent="0.25">
      <c r="A330" s="32" t="s">
        <v>262</v>
      </c>
      <c r="B330" s="1" t="s">
        <v>499</v>
      </c>
      <c r="C330" s="2" t="s">
        <v>46</v>
      </c>
      <c r="D330" s="51">
        <v>1</v>
      </c>
      <c r="E330" s="34">
        <v>550</v>
      </c>
      <c r="F330" s="3">
        <f t="shared" si="32"/>
        <v>550</v>
      </c>
    </row>
    <row r="331" spans="1:6" x14ac:dyDescent="0.25">
      <c r="B331" s="44" t="s">
        <v>571</v>
      </c>
      <c r="C331" s="6"/>
      <c r="D331" s="6"/>
      <c r="E331" s="21"/>
      <c r="F331" s="42">
        <f>SUM(F329:F330)</f>
        <v>1200</v>
      </c>
    </row>
    <row r="332" spans="1:6" x14ac:dyDescent="0.25">
      <c r="D332" s="51"/>
    </row>
    <row r="333" spans="1:6" x14ac:dyDescent="0.25">
      <c r="D333" s="51"/>
    </row>
    <row r="334" spans="1:6" x14ac:dyDescent="0.25">
      <c r="D334" s="51"/>
    </row>
    <row r="335" spans="1:6" x14ac:dyDescent="0.25">
      <c r="A335" s="45" t="s">
        <v>80</v>
      </c>
      <c r="B335" s="23" t="s">
        <v>502</v>
      </c>
    </row>
    <row r="337" spans="1:6" x14ac:dyDescent="0.25">
      <c r="A337" s="45" t="s">
        <v>6</v>
      </c>
      <c r="B337" s="19" t="s">
        <v>158</v>
      </c>
      <c r="C337" s="22"/>
      <c r="D337" s="42"/>
      <c r="E337" s="49"/>
      <c r="F337" s="42">
        <f>SUM(F234)</f>
        <v>5233</v>
      </c>
    </row>
    <row r="338" spans="1:6" x14ac:dyDescent="0.25">
      <c r="A338" s="45" t="s">
        <v>11</v>
      </c>
      <c r="B338" s="23" t="s">
        <v>389</v>
      </c>
      <c r="C338" s="22"/>
      <c r="D338" s="42"/>
      <c r="E338" s="49"/>
      <c r="F338" s="42">
        <f>SUM(F248)</f>
        <v>7633.95</v>
      </c>
    </row>
    <row r="339" spans="1:6" x14ac:dyDescent="0.25">
      <c r="A339" s="45" t="s">
        <v>12</v>
      </c>
      <c r="B339" s="19" t="s">
        <v>392</v>
      </c>
      <c r="C339" s="22"/>
      <c r="D339" s="42"/>
      <c r="E339" s="49"/>
      <c r="F339" s="42">
        <f>SUM(F270)</f>
        <v>10114</v>
      </c>
    </row>
    <row r="340" spans="1:6" x14ac:dyDescent="0.25">
      <c r="A340" s="45" t="s">
        <v>13</v>
      </c>
      <c r="B340" s="23" t="s">
        <v>404</v>
      </c>
      <c r="C340" s="22"/>
      <c r="D340" s="42"/>
      <c r="E340" s="49"/>
      <c r="F340" s="42">
        <f>SUM(F280)</f>
        <v>4990</v>
      </c>
    </row>
    <row r="341" spans="1:6" x14ac:dyDescent="0.25">
      <c r="A341" s="45" t="s">
        <v>14</v>
      </c>
      <c r="B341" s="23" t="s">
        <v>437</v>
      </c>
      <c r="C341" s="22"/>
      <c r="D341" s="42"/>
      <c r="E341" s="49"/>
      <c r="F341" s="42">
        <f>SUM(F298)</f>
        <v>7969.25</v>
      </c>
    </row>
    <row r="342" spans="1:6" x14ac:dyDescent="0.25">
      <c r="A342" s="45" t="s">
        <v>15</v>
      </c>
      <c r="B342" s="23" t="s">
        <v>462</v>
      </c>
      <c r="C342" s="22"/>
      <c r="D342" s="42"/>
      <c r="E342" s="49"/>
      <c r="F342" s="42">
        <f>SUM(F326)</f>
        <v>10061.5</v>
      </c>
    </row>
    <row r="343" spans="1:6" x14ac:dyDescent="0.25">
      <c r="A343" s="45" t="s">
        <v>16</v>
      </c>
      <c r="B343" s="23" t="s">
        <v>497</v>
      </c>
      <c r="C343" s="22"/>
      <c r="D343" s="42"/>
      <c r="E343" s="49"/>
      <c r="F343" s="42">
        <f>SUM(F331)</f>
        <v>1200</v>
      </c>
    </row>
    <row r="344" spans="1:6" x14ac:dyDescent="0.25">
      <c r="A344" s="45"/>
      <c r="B344" s="19"/>
      <c r="C344" s="22"/>
      <c r="D344" s="42"/>
      <c r="E344" s="49"/>
      <c r="F344" s="42"/>
    </row>
    <row r="345" spans="1:6" x14ac:dyDescent="0.25">
      <c r="A345" s="45"/>
      <c r="B345" s="35" t="s">
        <v>503</v>
      </c>
      <c r="C345" s="22"/>
      <c r="D345" s="42"/>
      <c r="E345" s="49"/>
      <c r="F345" s="42">
        <f>SUM(F337:F343)</f>
        <v>47201.7</v>
      </c>
    </row>
    <row r="346" spans="1:6" x14ac:dyDescent="0.25">
      <c r="D346" s="51"/>
    </row>
    <row r="347" spans="1:6" x14ac:dyDescent="0.25">
      <c r="D347" s="51"/>
    </row>
    <row r="349" spans="1:6" x14ac:dyDescent="0.25">
      <c r="A349" s="45" t="s">
        <v>81</v>
      </c>
      <c r="B349" s="19" t="s">
        <v>504</v>
      </c>
    </row>
    <row r="350" spans="1:6" x14ac:dyDescent="0.25">
      <c r="A350" s="45"/>
      <c r="B350" s="19"/>
    </row>
    <row r="351" spans="1:6" x14ac:dyDescent="0.25">
      <c r="A351" s="44" t="s">
        <v>6</v>
      </c>
      <c r="B351" s="19" t="s">
        <v>168</v>
      </c>
      <c r="C351" s="41"/>
      <c r="D351" s="42"/>
      <c r="E351" s="43"/>
      <c r="F351" s="42"/>
    </row>
    <row r="352" spans="1:6" ht="409.2" x14ac:dyDescent="0.25">
      <c r="A352" s="32" t="s">
        <v>21</v>
      </c>
      <c r="B352" s="1" t="s">
        <v>505</v>
      </c>
      <c r="D352" s="51"/>
    </row>
    <row r="353" spans="1:6" ht="369.6" x14ac:dyDescent="0.25">
      <c r="B353" s="1" t="s">
        <v>592</v>
      </c>
      <c r="C353" s="2" t="s">
        <v>8</v>
      </c>
      <c r="D353" s="51">
        <v>1</v>
      </c>
      <c r="E353" s="34">
        <v>8500</v>
      </c>
      <c r="F353" s="3">
        <f t="shared" ref="F353:F378" si="33">D353*$E353</f>
        <v>8500</v>
      </c>
    </row>
    <row r="354" spans="1:6" ht="92.4" x14ac:dyDescent="0.25">
      <c r="A354" s="32" t="s">
        <v>22</v>
      </c>
      <c r="B354" s="1" t="s">
        <v>507</v>
      </c>
      <c r="D354" s="51"/>
    </row>
    <row r="355" spans="1:6" ht="198" x14ac:dyDescent="0.25">
      <c r="B355" s="1" t="s">
        <v>593</v>
      </c>
      <c r="C355" s="2" t="s">
        <v>8</v>
      </c>
      <c r="D355" s="51">
        <v>3</v>
      </c>
      <c r="E355" s="34">
        <v>1700</v>
      </c>
      <c r="F355" s="3">
        <f t="shared" ref="F355:F358" si="34">D355*$E355</f>
        <v>5100</v>
      </c>
    </row>
    <row r="356" spans="1:6" ht="145.19999999999999" x14ac:dyDescent="0.25">
      <c r="A356" s="32" t="s">
        <v>23</v>
      </c>
      <c r="B356" s="1" t="s">
        <v>730</v>
      </c>
      <c r="C356" s="2" t="s">
        <v>8</v>
      </c>
      <c r="D356" s="51">
        <v>1</v>
      </c>
      <c r="E356" s="34">
        <v>450</v>
      </c>
      <c r="F356" s="3">
        <f t="shared" si="34"/>
        <v>450</v>
      </c>
    </row>
    <row r="357" spans="1:6" ht="145.19999999999999" x14ac:dyDescent="0.25">
      <c r="A357" s="32" t="s">
        <v>24</v>
      </c>
      <c r="B357" s="1" t="s">
        <v>510</v>
      </c>
      <c r="C357" s="2" t="s">
        <v>8</v>
      </c>
      <c r="D357" s="51">
        <v>3</v>
      </c>
      <c r="E357" s="34">
        <v>125</v>
      </c>
      <c r="F357" s="3">
        <f t="shared" si="34"/>
        <v>375</v>
      </c>
    </row>
    <row r="358" spans="1:6" ht="92.4" x14ac:dyDescent="0.25">
      <c r="A358" s="32" t="s">
        <v>25</v>
      </c>
      <c r="B358" s="1" t="s">
        <v>511</v>
      </c>
      <c r="C358" s="2" t="s">
        <v>8</v>
      </c>
      <c r="D358" s="51">
        <v>2</v>
      </c>
      <c r="E358" s="34">
        <v>110</v>
      </c>
      <c r="F358" s="3">
        <f t="shared" si="34"/>
        <v>220</v>
      </c>
    </row>
    <row r="359" spans="1:6" ht="66" x14ac:dyDescent="0.25">
      <c r="A359" s="32" t="s">
        <v>145</v>
      </c>
      <c r="B359" s="1" t="s">
        <v>512</v>
      </c>
      <c r="D359" s="51"/>
    </row>
    <row r="360" spans="1:6" x14ac:dyDescent="0.25">
      <c r="A360" s="32" t="s">
        <v>61</v>
      </c>
      <c r="B360" s="1" t="s">
        <v>513</v>
      </c>
      <c r="C360" s="2" t="s">
        <v>10</v>
      </c>
      <c r="D360" s="3">
        <v>25</v>
      </c>
      <c r="E360" s="34">
        <v>9</v>
      </c>
      <c r="F360" s="3">
        <f t="shared" ref="F360:F364" si="35">D360*$E360</f>
        <v>225</v>
      </c>
    </row>
    <row r="361" spans="1:6" x14ac:dyDescent="0.25">
      <c r="A361" s="32" t="s">
        <v>62</v>
      </c>
      <c r="B361" s="1" t="s">
        <v>581</v>
      </c>
      <c r="C361" s="2" t="s">
        <v>10</v>
      </c>
      <c r="D361" s="3">
        <v>15</v>
      </c>
      <c r="E361" s="34">
        <v>12</v>
      </c>
      <c r="F361" s="3">
        <f t="shared" si="35"/>
        <v>180</v>
      </c>
    </row>
    <row r="362" spans="1:6" x14ac:dyDescent="0.25">
      <c r="A362" s="32" t="s">
        <v>63</v>
      </c>
      <c r="B362" s="1" t="s">
        <v>514</v>
      </c>
      <c r="C362" s="2" t="s">
        <v>10</v>
      </c>
      <c r="D362" s="3">
        <v>18</v>
      </c>
      <c r="E362" s="34">
        <v>16</v>
      </c>
      <c r="F362" s="3">
        <f t="shared" si="35"/>
        <v>288</v>
      </c>
    </row>
    <row r="363" spans="1:6" x14ac:dyDescent="0.25">
      <c r="A363" s="32" t="s">
        <v>64</v>
      </c>
      <c r="B363" s="1" t="s">
        <v>515</v>
      </c>
      <c r="C363" s="2" t="s">
        <v>10</v>
      </c>
      <c r="D363" s="3">
        <v>12</v>
      </c>
      <c r="E363" s="34">
        <v>28</v>
      </c>
      <c r="F363" s="3">
        <f t="shared" si="35"/>
        <v>336</v>
      </c>
    </row>
    <row r="364" spans="1:6" x14ac:dyDescent="0.25">
      <c r="A364" s="32" t="s">
        <v>103</v>
      </c>
      <c r="B364" s="1" t="s">
        <v>582</v>
      </c>
      <c r="C364" s="2" t="s">
        <v>10</v>
      </c>
      <c r="D364" s="3">
        <v>15</v>
      </c>
      <c r="E364" s="34">
        <v>31</v>
      </c>
      <c r="F364" s="3">
        <f t="shared" si="35"/>
        <v>465</v>
      </c>
    </row>
    <row r="365" spans="1:6" ht="66" x14ac:dyDescent="0.25">
      <c r="A365" s="32" t="s">
        <v>146</v>
      </c>
      <c r="B365" s="1" t="s">
        <v>732</v>
      </c>
      <c r="D365" s="51"/>
    </row>
    <row r="366" spans="1:6" x14ac:dyDescent="0.25">
      <c r="A366" s="32" t="s">
        <v>61</v>
      </c>
      <c r="B366" s="1" t="s">
        <v>513</v>
      </c>
      <c r="C366" s="2" t="s">
        <v>10</v>
      </c>
      <c r="D366" s="3">
        <v>25</v>
      </c>
      <c r="E366" s="34">
        <v>1</v>
      </c>
      <c r="F366" s="3">
        <f t="shared" ref="F366:F370" si="36">D366*$E366</f>
        <v>25</v>
      </c>
    </row>
    <row r="367" spans="1:6" x14ac:dyDescent="0.25">
      <c r="A367" s="32" t="s">
        <v>62</v>
      </c>
      <c r="B367" s="1" t="s">
        <v>581</v>
      </c>
      <c r="C367" s="2" t="s">
        <v>10</v>
      </c>
      <c r="D367" s="3">
        <v>15</v>
      </c>
      <c r="E367" s="34">
        <v>1</v>
      </c>
      <c r="F367" s="3">
        <f t="shared" si="36"/>
        <v>15</v>
      </c>
    </row>
    <row r="368" spans="1:6" x14ac:dyDescent="0.25">
      <c r="A368" s="32" t="s">
        <v>63</v>
      </c>
      <c r="B368" s="1" t="s">
        <v>514</v>
      </c>
      <c r="C368" s="2" t="s">
        <v>10</v>
      </c>
      <c r="D368" s="3">
        <v>18</v>
      </c>
      <c r="E368" s="34">
        <v>1</v>
      </c>
      <c r="F368" s="3">
        <f t="shared" si="36"/>
        <v>18</v>
      </c>
    </row>
    <row r="369" spans="1:6" x14ac:dyDescent="0.25">
      <c r="A369" s="32" t="s">
        <v>64</v>
      </c>
      <c r="B369" s="1" t="s">
        <v>515</v>
      </c>
      <c r="C369" s="2" t="s">
        <v>10</v>
      </c>
      <c r="D369" s="3">
        <v>12</v>
      </c>
      <c r="E369" s="34">
        <v>5</v>
      </c>
      <c r="F369" s="3">
        <f t="shared" si="36"/>
        <v>60</v>
      </c>
    </row>
    <row r="370" spans="1:6" x14ac:dyDescent="0.25">
      <c r="A370" s="32" t="s">
        <v>103</v>
      </c>
      <c r="B370" s="1" t="s">
        <v>582</v>
      </c>
      <c r="C370" s="2" t="s">
        <v>10</v>
      </c>
      <c r="D370" s="3">
        <v>15</v>
      </c>
      <c r="E370" s="34">
        <v>6</v>
      </c>
      <c r="F370" s="3">
        <f t="shared" si="36"/>
        <v>90</v>
      </c>
    </row>
    <row r="371" spans="1:6" x14ac:dyDescent="0.25">
      <c r="A371" s="32" t="s">
        <v>147</v>
      </c>
      <c r="B371" s="1" t="s">
        <v>516</v>
      </c>
      <c r="C371" s="2" t="s">
        <v>104</v>
      </c>
      <c r="D371" s="3">
        <v>3</v>
      </c>
      <c r="E371" s="34">
        <v>55</v>
      </c>
      <c r="F371" s="3">
        <f t="shared" si="33"/>
        <v>165</v>
      </c>
    </row>
    <row r="372" spans="1:6" ht="79.2" x14ac:dyDescent="0.25">
      <c r="A372" s="32" t="s">
        <v>148</v>
      </c>
      <c r="B372" s="1" t="s">
        <v>517</v>
      </c>
      <c r="C372" s="2" t="s">
        <v>10</v>
      </c>
      <c r="D372" s="3">
        <v>40</v>
      </c>
      <c r="E372" s="34">
        <v>3.5</v>
      </c>
      <c r="F372" s="3">
        <f t="shared" si="33"/>
        <v>140</v>
      </c>
    </row>
    <row r="373" spans="1:6" ht="66" x14ac:dyDescent="0.25">
      <c r="A373" s="32" t="s">
        <v>149</v>
      </c>
      <c r="B373" s="1" t="s">
        <v>518</v>
      </c>
      <c r="C373" s="2" t="s">
        <v>46</v>
      </c>
      <c r="D373" s="51">
        <v>1</v>
      </c>
      <c r="E373" s="34">
        <v>650</v>
      </c>
      <c r="F373" s="3">
        <f t="shared" si="33"/>
        <v>650</v>
      </c>
    </row>
    <row r="374" spans="1:6" ht="26.4" x14ac:dyDescent="0.25">
      <c r="A374" s="32" t="s">
        <v>150</v>
      </c>
      <c r="B374" s="1" t="s">
        <v>519</v>
      </c>
      <c r="C374" s="2" t="s">
        <v>46</v>
      </c>
      <c r="D374" s="51">
        <v>1</v>
      </c>
      <c r="E374" s="34">
        <v>200</v>
      </c>
      <c r="F374" s="3">
        <f t="shared" si="33"/>
        <v>200</v>
      </c>
    </row>
    <row r="375" spans="1:6" ht="79.2" x14ac:dyDescent="0.25">
      <c r="A375" s="32" t="s">
        <v>151</v>
      </c>
      <c r="B375" s="1" t="s">
        <v>520</v>
      </c>
      <c r="C375" s="2" t="s">
        <v>104</v>
      </c>
      <c r="D375" s="3">
        <v>50</v>
      </c>
      <c r="E375" s="34">
        <v>11</v>
      </c>
      <c r="F375" s="3">
        <f t="shared" si="33"/>
        <v>550</v>
      </c>
    </row>
    <row r="376" spans="1:6" ht="118.8" x14ac:dyDescent="0.25">
      <c r="A376" s="32" t="s">
        <v>152</v>
      </c>
      <c r="B376" s="1" t="s">
        <v>521</v>
      </c>
      <c r="C376" s="2" t="s">
        <v>10</v>
      </c>
      <c r="D376" s="3">
        <v>110</v>
      </c>
      <c r="E376" s="34">
        <v>72</v>
      </c>
      <c r="F376" s="3">
        <f t="shared" si="33"/>
        <v>7920</v>
      </c>
    </row>
    <row r="377" spans="1:6" x14ac:dyDescent="0.25">
      <c r="A377" s="32" t="s">
        <v>153</v>
      </c>
      <c r="B377" s="1" t="s">
        <v>522</v>
      </c>
      <c r="C377" s="2" t="s">
        <v>46</v>
      </c>
      <c r="D377" s="51">
        <v>1</v>
      </c>
      <c r="E377" s="34">
        <v>550</v>
      </c>
      <c r="F377" s="3">
        <f t="shared" si="33"/>
        <v>550</v>
      </c>
    </row>
    <row r="378" spans="1:6" ht="26.4" x14ac:dyDescent="0.25">
      <c r="A378" s="32" t="s">
        <v>154</v>
      </c>
      <c r="B378" s="1" t="s">
        <v>523</v>
      </c>
      <c r="C378" s="2" t="s">
        <v>46</v>
      </c>
      <c r="D378" s="51">
        <v>1</v>
      </c>
      <c r="E378" s="34">
        <v>1000</v>
      </c>
      <c r="F378" s="3">
        <f t="shared" si="33"/>
        <v>1000</v>
      </c>
    </row>
    <row r="379" spans="1:6" x14ac:dyDescent="0.25">
      <c r="B379" s="44" t="s">
        <v>186</v>
      </c>
      <c r="C379" s="6"/>
      <c r="D379" s="6"/>
      <c r="E379" s="21"/>
      <c r="F379" s="42">
        <f>SUM(F353:F378)</f>
        <v>27522</v>
      </c>
    </row>
    <row r="380" spans="1:6" x14ac:dyDescent="0.25">
      <c r="B380" s="44"/>
      <c r="C380" s="6"/>
      <c r="D380" s="6"/>
      <c r="E380" s="21"/>
    </row>
    <row r="381" spans="1:6" x14ac:dyDescent="0.25">
      <c r="A381" s="45" t="s">
        <v>11</v>
      </c>
      <c r="B381" s="61" t="s">
        <v>348</v>
      </c>
      <c r="C381" s="41"/>
      <c r="D381" s="41"/>
      <c r="E381" s="62"/>
      <c r="F381" s="41"/>
    </row>
    <row r="382" spans="1:6" ht="66" x14ac:dyDescent="0.25">
      <c r="A382" s="32" t="s">
        <v>26</v>
      </c>
      <c r="B382" s="1" t="s">
        <v>349</v>
      </c>
      <c r="C382" s="2" t="s">
        <v>46</v>
      </c>
      <c r="D382" s="51">
        <v>1</v>
      </c>
      <c r="E382" s="34">
        <v>150</v>
      </c>
      <c r="F382" s="3">
        <f t="shared" ref="F382:F385" si="37">D382*$E382</f>
        <v>150</v>
      </c>
    </row>
    <row r="383" spans="1:6" ht="52.8" x14ac:dyDescent="0.25">
      <c r="A383" s="32" t="s">
        <v>27</v>
      </c>
      <c r="B383" s="1" t="s">
        <v>524</v>
      </c>
      <c r="C383" s="2" t="s">
        <v>46</v>
      </c>
      <c r="D383" s="51">
        <v>1</v>
      </c>
      <c r="E383" s="34">
        <v>250</v>
      </c>
      <c r="F383" s="3">
        <f t="shared" si="37"/>
        <v>250</v>
      </c>
    </row>
    <row r="384" spans="1:6" ht="52.8" x14ac:dyDescent="0.25">
      <c r="A384" s="32" t="s">
        <v>28</v>
      </c>
      <c r="B384" s="1" t="s">
        <v>525</v>
      </c>
      <c r="C384" s="2" t="s">
        <v>46</v>
      </c>
      <c r="D384" s="51">
        <v>1</v>
      </c>
      <c r="E384" s="34">
        <v>80</v>
      </c>
      <c r="F384" s="3">
        <f t="shared" si="37"/>
        <v>80</v>
      </c>
    </row>
    <row r="385" spans="1:6" ht="52.8" x14ac:dyDescent="0.25">
      <c r="A385" s="32" t="s">
        <v>29</v>
      </c>
      <c r="B385" s="1" t="s">
        <v>526</v>
      </c>
      <c r="C385" s="2" t="s">
        <v>46</v>
      </c>
      <c r="D385" s="51">
        <v>1</v>
      </c>
      <c r="E385" s="34">
        <v>90</v>
      </c>
      <c r="F385" s="3">
        <f t="shared" si="37"/>
        <v>90</v>
      </c>
    </row>
    <row r="386" spans="1:6" x14ac:dyDescent="0.25">
      <c r="B386" s="44" t="s">
        <v>527</v>
      </c>
      <c r="C386" s="6"/>
      <c r="D386" s="6"/>
      <c r="E386" s="21"/>
      <c r="F386" s="42">
        <f>SUM(F382:F385)</f>
        <v>570</v>
      </c>
    </row>
    <row r="387" spans="1:6" x14ac:dyDescent="0.25">
      <c r="B387" s="44"/>
      <c r="C387" s="6"/>
      <c r="D387" s="6"/>
      <c r="E387" s="21"/>
    </row>
    <row r="388" spans="1:6" x14ac:dyDescent="0.25">
      <c r="B388" s="44"/>
      <c r="C388" s="6"/>
      <c r="D388" s="6"/>
      <c r="E388" s="21"/>
    </row>
    <row r="389" spans="1:6" x14ac:dyDescent="0.25">
      <c r="B389" s="44"/>
      <c r="C389" s="6"/>
      <c r="D389" s="6"/>
      <c r="E389" s="21"/>
    </row>
    <row r="390" spans="1:6" x14ac:dyDescent="0.25">
      <c r="B390" s="44"/>
      <c r="C390" s="6"/>
      <c r="D390" s="6"/>
      <c r="E390" s="21"/>
    </row>
    <row r="391" spans="1:6" x14ac:dyDescent="0.25">
      <c r="A391" s="45" t="s">
        <v>81</v>
      </c>
      <c r="B391" s="23" t="s">
        <v>528</v>
      </c>
    </row>
    <row r="393" spans="1:6" x14ac:dyDescent="0.25">
      <c r="A393" s="45" t="s">
        <v>6</v>
      </c>
      <c r="B393" s="19" t="s">
        <v>168</v>
      </c>
      <c r="C393" s="22"/>
      <c r="D393" s="42"/>
      <c r="E393" s="49"/>
      <c r="F393" s="42">
        <f>SUM(F379)</f>
        <v>27522</v>
      </c>
    </row>
    <row r="394" spans="1:6" x14ac:dyDescent="0.25">
      <c r="A394" s="45" t="s">
        <v>11</v>
      </c>
      <c r="B394" s="70" t="s">
        <v>348</v>
      </c>
      <c r="C394" s="22"/>
      <c r="D394" s="42"/>
      <c r="E394" s="47"/>
      <c r="F394" s="42">
        <f>SUM(F386)</f>
        <v>570</v>
      </c>
    </row>
    <row r="395" spans="1:6" x14ac:dyDescent="0.25">
      <c r="A395" s="45"/>
      <c r="B395" s="19"/>
      <c r="C395" s="22"/>
      <c r="D395" s="42"/>
      <c r="E395" s="47"/>
      <c r="F395" s="42"/>
    </row>
    <row r="396" spans="1:6" x14ac:dyDescent="0.25">
      <c r="A396" s="45"/>
      <c r="B396" s="35" t="s">
        <v>529</v>
      </c>
      <c r="C396" s="22"/>
      <c r="D396" s="42"/>
      <c r="E396" s="49"/>
      <c r="F396" s="42">
        <f>SUM(F393:F394)</f>
        <v>28092</v>
      </c>
    </row>
    <row r="401" spans="1:6" x14ac:dyDescent="0.25">
      <c r="A401" s="45"/>
      <c r="B401" s="23" t="s">
        <v>586</v>
      </c>
    </row>
    <row r="403" spans="1:6" x14ac:dyDescent="0.25">
      <c r="A403" s="45" t="s">
        <v>20</v>
      </c>
      <c r="B403" s="19" t="s">
        <v>187</v>
      </c>
      <c r="C403" s="22"/>
      <c r="D403" s="42"/>
      <c r="E403" s="49"/>
      <c r="F403" s="42">
        <f>SUM(F176)</f>
        <v>392189.5</v>
      </c>
    </row>
    <row r="404" spans="1:6" x14ac:dyDescent="0.25">
      <c r="A404" s="45" t="s">
        <v>45</v>
      </c>
      <c r="B404" s="23" t="s">
        <v>296</v>
      </c>
      <c r="C404" s="22"/>
      <c r="D404" s="42"/>
      <c r="E404" s="49"/>
      <c r="F404" s="42">
        <f>SUM(F225)</f>
        <v>13053</v>
      </c>
    </row>
    <row r="405" spans="1:6" x14ac:dyDescent="0.25">
      <c r="A405" s="45" t="s">
        <v>80</v>
      </c>
      <c r="B405" s="19" t="s">
        <v>501</v>
      </c>
      <c r="C405" s="22"/>
      <c r="D405" s="42"/>
      <c r="E405" s="49"/>
      <c r="F405" s="42">
        <f>SUM(F345)</f>
        <v>47201.7</v>
      </c>
    </row>
    <row r="406" spans="1:6" x14ac:dyDescent="0.25">
      <c r="A406" s="45" t="s">
        <v>81</v>
      </c>
      <c r="B406" s="19" t="s">
        <v>504</v>
      </c>
      <c r="C406" s="22"/>
      <c r="D406" s="42"/>
      <c r="E406" s="49"/>
      <c r="F406" s="42">
        <f>SUM(F396)</f>
        <v>28092</v>
      </c>
    </row>
    <row r="407" spans="1:6" x14ac:dyDescent="0.25">
      <c r="A407" s="45"/>
      <c r="B407" s="19"/>
      <c r="C407" s="22"/>
      <c r="D407" s="42"/>
      <c r="E407" s="49"/>
      <c r="F407" s="42"/>
    </row>
    <row r="408" spans="1:6" x14ac:dyDescent="0.25">
      <c r="A408" s="45"/>
      <c r="B408" s="44" t="s">
        <v>686</v>
      </c>
      <c r="C408" s="22"/>
      <c r="D408" s="42"/>
      <c r="E408" s="49"/>
      <c r="F408" s="42">
        <f>SUM(F403:F406)</f>
        <v>480536.2</v>
      </c>
    </row>
  </sheetData>
  <sheetProtection algorithmName="SHA-512" hashValue="EORmuaAojoBATUh28SXqvAlWT78b1CuceEk0YTBF10NTQiCPBfljpcsNv9YTkip3XZROdclgvEvvwlA4/CJJ9Q==" saltValue="KjaVm3/Z2ITeTidrJAp4Eg==" spinCount="100000" sheet="1" selectLockedCells="1"/>
  <printOptions horizontalCentered="1" gridLines="1"/>
  <pageMargins left="0.70866141732283472" right="0.70866141732283472" top="0.74803149606299213" bottom="0.74803149606299213" header="0.31496062992125984" footer="0.31496062992125984"/>
  <pageSetup paperSize="9" scale="90" orientation="portrait" r:id="rId1"/>
  <headerFooter>
    <oddHeader>&amp;L&amp;"Arial,Uobičajeno"&amp;10Ministarstvo unutarnjih poslova RH&amp;R&amp;"Arial,Uobičajeno"&amp;10Logistički centar civilne zaštite u Jastrebarskom</oddHeader>
    <oddFooter>&amp;L&amp;"Arial,Uobičajeno"&amp;10Troškovnik radova na uređenju skladišta br. 6&amp;R&amp;"Arial,Uobičajeno"&amp;10stranica &amp;P od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99"/>
  <sheetViews>
    <sheetView showZeros="0" topLeftCell="A42" zoomScaleNormal="100" workbookViewId="0">
      <selection activeCell="E78" sqref="E78"/>
    </sheetView>
  </sheetViews>
  <sheetFormatPr defaultRowHeight="13.2" x14ac:dyDescent="0.25"/>
  <cols>
    <col min="1" max="1" width="6.109375" style="32" customWidth="1"/>
    <col min="2" max="2" width="50.6640625" style="1" customWidth="1"/>
    <col min="3" max="3" width="5.6640625" style="2" customWidth="1"/>
    <col min="4" max="4" width="9.6640625" style="3" customWidth="1"/>
    <col min="5" max="5" width="10.88671875" style="34" customWidth="1"/>
    <col min="6" max="6" width="13.6640625" style="3" customWidth="1"/>
    <col min="7" max="213" width="9.109375" style="6"/>
    <col min="214" max="214" width="7.44140625" style="6" customWidth="1"/>
    <col min="215" max="215" width="51.88671875" style="6" customWidth="1"/>
    <col min="216" max="216" width="7.44140625" style="6" customWidth="1"/>
    <col min="217" max="217" width="11.33203125" style="6" customWidth="1"/>
    <col min="218" max="218" width="12.5546875" style="6" customWidth="1"/>
    <col min="219" max="219" width="16.44140625" style="6" customWidth="1"/>
    <col min="220" max="469" width="9.109375" style="6"/>
    <col min="470" max="470" width="7.44140625" style="6" customWidth="1"/>
    <col min="471" max="471" width="51.88671875" style="6" customWidth="1"/>
    <col min="472" max="472" width="7.44140625" style="6" customWidth="1"/>
    <col min="473" max="473" width="11.33203125" style="6" customWidth="1"/>
    <col min="474" max="474" width="12.5546875" style="6" customWidth="1"/>
    <col min="475" max="475" width="16.44140625" style="6" customWidth="1"/>
    <col min="476" max="725" width="9.109375" style="6"/>
    <col min="726" max="726" width="7.44140625" style="6" customWidth="1"/>
    <col min="727" max="727" width="51.88671875" style="6" customWidth="1"/>
    <col min="728" max="728" width="7.44140625" style="6" customWidth="1"/>
    <col min="729" max="729" width="11.33203125" style="6" customWidth="1"/>
    <col min="730" max="730" width="12.5546875" style="6" customWidth="1"/>
    <col min="731" max="731" width="16.44140625" style="6" customWidth="1"/>
    <col min="732" max="981" width="9.109375" style="6"/>
    <col min="982" max="982" width="7.44140625" style="6" customWidth="1"/>
    <col min="983" max="983" width="51.88671875" style="6" customWidth="1"/>
    <col min="984" max="984" width="7.44140625" style="6" customWidth="1"/>
    <col min="985" max="985" width="11.33203125" style="6" customWidth="1"/>
    <col min="986" max="986" width="12.5546875" style="6" customWidth="1"/>
    <col min="987" max="987" width="16.44140625" style="6" customWidth="1"/>
    <col min="988" max="1237" width="9.109375" style="6"/>
    <col min="1238" max="1238" width="7.44140625" style="6" customWidth="1"/>
    <col min="1239" max="1239" width="51.88671875" style="6" customWidth="1"/>
    <col min="1240" max="1240" width="7.44140625" style="6" customWidth="1"/>
    <col min="1241" max="1241" width="11.33203125" style="6" customWidth="1"/>
    <col min="1242" max="1242" width="12.5546875" style="6" customWidth="1"/>
    <col min="1243" max="1243" width="16.44140625" style="6" customWidth="1"/>
    <col min="1244" max="1493" width="9.109375" style="6"/>
    <col min="1494" max="1494" width="7.44140625" style="6" customWidth="1"/>
    <col min="1495" max="1495" width="51.88671875" style="6" customWidth="1"/>
    <col min="1496" max="1496" width="7.44140625" style="6" customWidth="1"/>
    <col min="1497" max="1497" width="11.33203125" style="6" customWidth="1"/>
    <col min="1498" max="1498" width="12.5546875" style="6" customWidth="1"/>
    <col min="1499" max="1499" width="16.44140625" style="6" customWidth="1"/>
    <col min="1500" max="1749" width="9.109375" style="6"/>
    <col min="1750" max="1750" width="7.44140625" style="6" customWidth="1"/>
    <col min="1751" max="1751" width="51.88671875" style="6" customWidth="1"/>
    <col min="1752" max="1752" width="7.44140625" style="6" customWidth="1"/>
    <col min="1753" max="1753" width="11.33203125" style="6" customWidth="1"/>
    <col min="1754" max="1754" width="12.5546875" style="6" customWidth="1"/>
    <col min="1755" max="1755" width="16.44140625" style="6" customWidth="1"/>
    <col min="1756" max="2005" width="9.109375" style="6"/>
    <col min="2006" max="2006" width="7.44140625" style="6" customWidth="1"/>
    <col min="2007" max="2007" width="51.88671875" style="6" customWidth="1"/>
    <col min="2008" max="2008" width="7.44140625" style="6" customWidth="1"/>
    <col min="2009" max="2009" width="11.33203125" style="6" customWidth="1"/>
    <col min="2010" max="2010" width="12.5546875" style="6" customWidth="1"/>
    <col min="2011" max="2011" width="16.44140625" style="6" customWidth="1"/>
    <col min="2012" max="2261" width="9.109375" style="6"/>
    <col min="2262" max="2262" width="7.44140625" style="6" customWidth="1"/>
    <col min="2263" max="2263" width="51.88671875" style="6" customWidth="1"/>
    <col min="2264" max="2264" width="7.44140625" style="6" customWidth="1"/>
    <col min="2265" max="2265" width="11.33203125" style="6" customWidth="1"/>
    <col min="2266" max="2266" width="12.5546875" style="6" customWidth="1"/>
    <col min="2267" max="2267" width="16.44140625" style="6" customWidth="1"/>
    <col min="2268" max="2517" width="9.109375" style="6"/>
    <col min="2518" max="2518" width="7.44140625" style="6" customWidth="1"/>
    <col min="2519" max="2519" width="51.88671875" style="6" customWidth="1"/>
    <col min="2520" max="2520" width="7.44140625" style="6" customWidth="1"/>
    <col min="2521" max="2521" width="11.33203125" style="6" customWidth="1"/>
    <col min="2522" max="2522" width="12.5546875" style="6" customWidth="1"/>
    <col min="2523" max="2523" width="16.44140625" style="6" customWidth="1"/>
    <col min="2524" max="2773" width="9.109375" style="6"/>
    <col min="2774" max="2774" width="7.44140625" style="6" customWidth="1"/>
    <col min="2775" max="2775" width="51.88671875" style="6" customWidth="1"/>
    <col min="2776" max="2776" width="7.44140625" style="6" customWidth="1"/>
    <col min="2777" max="2777" width="11.33203125" style="6" customWidth="1"/>
    <col min="2778" max="2778" width="12.5546875" style="6" customWidth="1"/>
    <col min="2779" max="2779" width="16.44140625" style="6" customWidth="1"/>
    <col min="2780" max="3029" width="9.109375" style="6"/>
    <col min="3030" max="3030" width="7.44140625" style="6" customWidth="1"/>
    <col min="3031" max="3031" width="51.88671875" style="6" customWidth="1"/>
    <col min="3032" max="3032" width="7.44140625" style="6" customWidth="1"/>
    <col min="3033" max="3033" width="11.33203125" style="6" customWidth="1"/>
    <col min="3034" max="3034" width="12.5546875" style="6" customWidth="1"/>
    <col min="3035" max="3035" width="16.44140625" style="6" customWidth="1"/>
    <col min="3036" max="3285" width="9.109375" style="6"/>
    <col min="3286" max="3286" width="7.44140625" style="6" customWidth="1"/>
    <col min="3287" max="3287" width="51.88671875" style="6" customWidth="1"/>
    <col min="3288" max="3288" width="7.44140625" style="6" customWidth="1"/>
    <col min="3289" max="3289" width="11.33203125" style="6" customWidth="1"/>
    <col min="3290" max="3290" width="12.5546875" style="6" customWidth="1"/>
    <col min="3291" max="3291" width="16.44140625" style="6" customWidth="1"/>
    <col min="3292" max="3541" width="9.109375" style="6"/>
    <col min="3542" max="3542" width="7.44140625" style="6" customWidth="1"/>
    <col min="3543" max="3543" width="51.88671875" style="6" customWidth="1"/>
    <col min="3544" max="3544" width="7.44140625" style="6" customWidth="1"/>
    <col min="3545" max="3545" width="11.33203125" style="6" customWidth="1"/>
    <col min="3546" max="3546" width="12.5546875" style="6" customWidth="1"/>
    <col min="3547" max="3547" width="16.44140625" style="6" customWidth="1"/>
    <col min="3548" max="3797" width="9.109375" style="6"/>
    <col min="3798" max="3798" width="7.44140625" style="6" customWidth="1"/>
    <col min="3799" max="3799" width="51.88671875" style="6" customWidth="1"/>
    <col min="3800" max="3800" width="7.44140625" style="6" customWidth="1"/>
    <col min="3801" max="3801" width="11.33203125" style="6" customWidth="1"/>
    <col min="3802" max="3802" width="12.5546875" style="6" customWidth="1"/>
    <col min="3803" max="3803" width="16.44140625" style="6" customWidth="1"/>
    <col min="3804" max="4053" width="9.109375" style="6"/>
    <col min="4054" max="4054" width="7.44140625" style="6" customWidth="1"/>
    <col min="4055" max="4055" width="51.88671875" style="6" customWidth="1"/>
    <col min="4056" max="4056" width="7.44140625" style="6" customWidth="1"/>
    <col min="4057" max="4057" width="11.33203125" style="6" customWidth="1"/>
    <col min="4058" max="4058" width="12.5546875" style="6" customWidth="1"/>
    <col min="4059" max="4059" width="16.44140625" style="6" customWidth="1"/>
    <col min="4060" max="4309" width="9.109375" style="6"/>
    <col min="4310" max="4310" width="7.44140625" style="6" customWidth="1"/>
    <col min="4311" max="4311" width="51.88671875" style="6" customWidth="1"/>
    <col min="4312" max="4312" width="7.44140625" style="6" customWidth="1"/>
    <col min="4313" max="4313" width="11.33203125" style="6" customWidth="1"/>
    <col min="4314" max="4314" width="12.5546875" style="6" customWidth="1"/>
    <col min="4315" max="4315" width="16.44140625" style="6" customWidth="1"/>
    <col min="4316" max="4565" width="9.109375" style="6"/>
    <col min="4566" max="4566" width="7.44140625" style="6" customWidth="1"/>
    <col min="4567" max="4567" width="51.88671875" style="6" customWidth="1"/>
    <col min="4568" max="4568" width="7.44140625" style="6" customWidth="1"/>
    <col min="4569" max="4569" width="11.33203125" style="6" customWidth="1"/>
    <col min="4570" max="4570" width="12.5546875" style="6" customWidth="1"/>
    <col min="4571" max="4571" width="16.44140625" style="6" customWidth="1"/>
    <col min="4572" max="4821" width="9.109375" style="6"/>
    <col min="4822" max="4822" width="7.44140625" style="6" customWidth="1"/>
    <col min="4823" max="4823" width="51.88671875" style="6" customWidth="1"/>
    <col min="4824" max="4824" width="7.44140625" style="6" customWidth="1"/>
    <col min="4825" max="4825" width="11.33203125" style="6" customWidth="1"/>
    <col min="4826" max="4826" width="12.5546875" style="6" customWidth="1"/>
    <col min="4827" max="4827" width="16.44140625" style="6" customWidth="1"/>
    <col min="4828" max="5077" width="9.109375" style="6"/>
    <col min="5078" max="5078" width="7.44140625" style="6" customWidth="1"/>
    <col min="5079" max="5079" width="51.88671875" style="6" customWidth="1"/>
    <col min="5080" max="5080" width="7.44140625" style="6" customWidth="1"/>
    <col min="5081" max="5081" width="11.33203125" style="6" customWidth="1"/>
    <col min="5082" max="5082" width="12.5546875" style="6" customWidth="1"/>
    <col min="5083" max="5083" width="16.44140625" style="6" customWidth="1"/>
    <col min="5084" max="5333" width="9.109375" style="6"/>
    <col min="5334" max="5334" width="7.44140625" style="6" customWidth="1"/>
    <col min="5335" max="5335" width="51.88671875" style="6" customWidth="1"/>
    <col min="5336" max="5336" width="7.44140625" style="6" customWidth="1"/>
    <col min="5337" max="5337" width="11.33203125" style="6" customWidth="1"/>
    <col min="5338" max="5338" width="12.5546875" style="6" customWidth="1"/>
    <col min="5339" max="5339" width="16.44140625" style="6" customWidth="1"/>
    <col min="5340" max="5589" width="9.109375" style="6"/>
    <col min="5590" max="5590" width="7.44140625" style="6" customWidth="1"/>
    <col min="5591" max="5591" width="51.88671875" style="6" customWidth="1"/>
    <col min="5592" max="5592" width="7.44140625" style="6" customWidth="1"/>
    <col min="5593" max="5593" width="11.33203125" style="6" customWidth="1"/>
    <col min="5594" max="5594" width="12.5546875" style="6" customWidth="1"/>
    <col min="5595" max="5595" width="16.44140625" style="6" customWidth="1"/>
    <col min="5596" max="5845" width="9.109375" style="6"/>
    <col min="5846" max="5846" width="7.44140625" style="6" customWidth="1"/>
    <col min="5847" max="5847" width="51.88671875" style="6" customWidth="1"/>
    <col min="5848" max="5848" width="7.44140625" style="6" customWidth="1"/>
    <col min="5849" max="5849" width="11.33203125" style="6" customWidth="1"/>
    <col min="5850" max="5850" width="12.5546875" style="6" customWidth="1"/>
    <col min="5851" max="5851" width="16.44140625" style="6" customWidth="1"/>
    <col min="5852" max="6101" width="9.109375" style="6"/>
    <col min="6102" max="6102" width="7.44140625" style="6" customWidth="1"/>
    <col min="6103" max="6103" width="51.88671875" style="6" customWidth="1"/>
    <col min="6104" max="6104" width="7.44140625" style="6" customWidth="1"/>
    <col min="6105" max="6105" width="11.33203125" style="6" customWidth="1"/>
    <col min="6106" max="6106" width="12.5546875" style="6" customWidth="1"/>
    <col min="6107" max="6107" width="16.44140625" style="6" customWidth="1"/>
    <col min="6108" max="6357" width="9.109375" style="6"/>
    <col min="6358" max="6358" width="7.44140625" style="6" customWidth="1"/>
    <col min="6359" max="6359" width="51.88671875" style="6" customWidth="1"/>
    <col min="6360" max="6360" width="7.44140625" style="6" customWidth="1"/>
    <col min="6361" max="6361" width="11.33203125" style="6" customWidth="1"/>
    <col min="6362" max="6362" width="12.5546875" style="6" customWidth="1"/>
    <col min="6363" max="6363" width="16.44140625" style="6" customWidth="1"/>
    <col min="6364" max="6613" width="9.109375" style="6"/>
    <col min="6614" max="6614" width="7.44140625" style="6" customWidth="1"/>
    <col min="6615" max="6615" width="51.88671875" style="6" customWidth="1"/>
    <col min="6616" max="6616" width="7.44140625" style="6" customWidth="1"/>
    <col min="6617" max="6617" width="11.33203125" style="6" customWidth="1"/>
    <col min="6618" max="6618" width="12.5546875" style="6" customWidth="1"/>
    <col min="6619" max="6619" width="16.44140625" style="6" customWidth="1"/>
    <col min="6620" max="6869" width="9.109375" style="6"/>
    <col min="6870" max="6870" width="7.44140625" style="6" customWidth="1"/>
    <col min="6871" max="6871" width="51.88671875" style="6" customWidth="1"/>
    <col min="6872" max="6872" width="7.44140625" style="6" customWidth="1"/>
    <col min="6873" max="6873" width="11.33203125" style="6" customWidth="1"/>
    <col min="6874" max="6874" width="12.5546875" style="6" customWidth="1"/>
    <col min="6875" max="6875" width="16.44140625" style="6" customWidth="1"/>
    <col min="6876" max="7125" width="9.109375" style="6"/>
    <col min="7126" max="7126" width="7.44140625" style="6" customWidth="1"/>
    <col min="7127" max="7127" width="51.88671875" style="6" customWidth="1"/>
    <col min="7128" max="7128" width="7.44140625" style="6" customWidth="1"/>
    <col min="7129" max="7129" width="11.33203125" style="6" customWidth="1"/>
    <col min="7130" max="7130" width="12.5546875" style="6" customWidth="1"/>
    <col min="7131" max="7131" width="16.44140625" style="6" customWidth="1"/>
    <col min="7132" max="7381" width="9.109375" style="6"/>
    <col min="7382" max="7382" width="7.44140625" style="6" customWidth="1"/>
    <col min="7383" max="7383" width="51.88671875" style="6" customWidth="1"/>
    <col min="7384" max="7384" width="7.44140625" style="6" customWidth="1"/>
    <col min="7385" max="7385" width="11.33203125" style="6" customWidth="1"/>
    <col min="7386" max="7386" width="12.5546875" style="6" customWidth="1"/>
    <col min="7387" max="7387" width="16.44140625" style="6" customWidth="1"/>
    <col min="7388" max="7637" width="9.109375" style="6"/>
    <col min="7638" max="7638" width="7.44140625" style="6" customWidth="1"/>
    <col min="7639" max="7639" width="51.88671875" style="6" customWidth="1"/>
    <col min="7640" max="7640" width="7.44140625" style="6" customWidth="1"/>
    <col min="7641" max="7641" width="11.33203125" style="6" customWidth="1"/>
    <col min="7642" max="7642" width="12.5546875" style="6" customWidth="1"/>
    <col min="7643" max="7643" width="16.44140625" style="6" customWidth="1"/>
    <col min="7644" max="7893" width="9.109375" style="6"/>
    <col min="7894" max="7894" width="7.44140625" style="6" customWidth="1"/>
    <col min="7895" max="7895" width="51.88671875" style="6" customWidth="1"/>
    <col min="7896" max="7896" width="7.44140625" style="6" customWidth="1"/>
    <col min="7897" max="7897" width="11.33203125" style="6" customWidth="1"/>
    <col min="7898" max="7898" width="12.5546875" style="6" customWidth="1"/>
    <col min="7899" max="7899" width="16.44140625" style="6" customWidth="1"/>
    <col min="7900" max="8149" width="9.109375" style="6"/>
    <col min="8150" max="8150" width="7.44140625" style="6" customWidth="1"/>
    <col min="8151" max="8151" width="51.88671875" style="6" customWidth="1"/>
    <col min="8152" max="8152" width="7.44140625" style="6" customWidth="1"/>
    <col min="8153" max="8153" width="11.33203125" style="6" customWidth="1"/>
    <col min="8154" max="8154" width="12.5546875" style="6" customWidth="1"/>
    <col min="8155" max="8155" width="16.44140625" style="6" customWidth="1"/>
    <col min="8156" max="8405" width="9.109375" style="6"/>
    <col min="8406" max="8406" width="7.44140625" style="6" customWidth="1"/>
    <col min="8407" max="8407" width="51.88671875" style="6" customWidth="1"/>
    <col min="8408" max="8408" width="7.44140625" style="6" customWidth="1"/>
    <col min="8409" max="8409" width="11.33203125" style="6" customWidth="1"/>
    <col min="8410" max="8410" width="12.5546875" style="6" customWidth="1"/>
    <col min="8411" max="8411" width="16.44140625" style="6" customWidth="1"/>
    <col min="8412" max="8661" width="9.109375" style="6"/>
    <col min="8662" max="8662" width="7.44140625" style="6" customWidth="1"/>
    <col min="8663" max="8663" width="51.88671875" style="6" customWidth="1"/>
    <col min="8664" max="8664" width="7.44140625" style="6" customWidth="1"/>
    <col min="8665" max="8665" width="11.33203125" style="6" customWidth="1"/>
    <col min="8666" max="8666" width="12.5546875" style="6" customWidth="1"/>
    <col min="8667" max="8667" width="16.44140625" style="6" customWidth="1"/>
    <col min="8668" max="8917" width="9.109375" style="6"/>
    <col min="8918" max="8918" width="7.44140625" style="6" customWidth="1"/>
    <col min="8919" max="8919" width="51.88671875" style="6" customWidth="1"/>
    <col min="8920" max="8920" width="7.44140625" style="6" customWidth="1"/>
    <col min="8921" max="8921" width="11.33203125" style="6" customWidth="1"/>
    <col min="8922" max="8922" width="12.5546875" style="6" customWidth="1"/>
    <col min="8923" max="8923" width="16.44140625" style="6" customWidth="1"/>
    <col min="8924" max="9173" width="9.109375" style="6"/>
    <col min="9174" max="9174" width="7.44140625" style="6" customWidth="1"/>
    <col min="9175" max="9175" width="51.88671875" style="6" customWidth="1"/>
    <col min="9176" max="9176" width="7.44140625" style="6" customWidth="1"/>
    <col min="9177" max="9177" width="11.33203125" style="6" customWidth="1"/>
    <col min="9178" max="9178" width="12.5546875" style="6" customWidth="1"/>
    <col min="9179" max="9179" width="16.44140625" style="6" customWidth="1"/>
    <col min="9180" max="9429" width="9.109375" style="6"/>
    <col min="9430" max="9430" width="7.44140625" style="6" customWidth="1"/>
    <col min="9431" max="9431" width="51.88671875" style="6" customWidth="1"/>
    <col min="9432" max="9432" width="7.44140625" style="6" customWidth="1"/>
    <col min="9433" max="9433" width="11.33203125" style="6" customWidth="1"/>
    <col min="9434" max="9434" width="12.5546875" style="6" customWidth="1"/>
    <col min="9435" max="9435" width="16.44140625" style="6" customWidth="1"/>
    <col min="9436" max="9685" width="9.109375" style="6"/>
    <col min="9686" max="9686" width="7.44140625" style="6" customWidth="1"/>
    <col min="9687" max="9687" width="51.88671875" style="6" customWidth="1"/>
    <col min="9688" max="9688" width="7.44140625" style="6" customWidth="1"/>
    <col min="9689" max="9689" width="11.33203125" style="6" customWidth="1"/>
    <col min="9690" max="9690" width="12.5546875" style="6" customWidth="1"/>
    <col min="9691" max="9691" width="16.44140625" style="6" customWidth="1"/>
    <col min="9692" max="9941" width="9.109375" style="6"/>
    <col min="9942" max="9942" width="7.44140625" style="6" customWidth="1"/>
    <col min="9943" max="9943" width="51.88671875" style="6" customWidth="1"/>
    <col min="9944" max="9944" width="7.44140625" style="6" customWidth="1"/>
    <col min="9945" max="9945" width="11.33203125" style="6" customWidth="1"/>
    <col min="9946" max="9946" width="12.5546875" style="6" customWidth="1"/>
    <col min="9947" max="9947" width="16.44140625" style="6" customWidth="1"/>
    <col min="9948" max="10197" width="9.109375" style="6"/>
    <col min="10198" max="10198" width="7.44140625" style="6" customWidth="1"/>
    <col min="10199" max="10199" width="51.88671875" style="6" customWidth="1"/>
    <col min="10200" max="10200" width="7.44140625" style="6" customWidth="1"/>
    <col min="10201" max="10201" width="11.33203125" style="6" customWidth="1"/>
    <col min="10202" max="10202" width="12.5546875" style="6" customWidth="1"/>
    <col min="10203" max="10203" width="16.44140625" style="6" customWidth="1"/>
    <col min="10204" max="10453" width="9.109375" style="6"/>
    <col min="10454" max="10454" width="7.44140625" style="6" customWidth="1"/>
    <col min="10455" max="10455" width="51.88671875" style="6" customWidth="1"/>
    <col min="10456" max="10456" width="7.44140625" style="6" customWidth="1"/>
    <col min="10457" max="10457" width="11.33203125" style="6" customWidth="1"/>
    <col min="10458" max="10458" width="12.5546875" style="6" customWidth="1"/>
    <col min="10459" max="10459" width="16.44140625" style="6" customWidth="1"/>
    <col min="10460" max="10709" width="9.109375" style="6"/>
    <col min="10710" max="10710" width="7.44140625" style="6" customWidth="1"/>
    <col min="10711" max="10711" width="51.88671875" style="6" customWidth="1"/>
    <col min="10712" max="10712" width="7.44140625" style="6" customWidth="1"/>
    <col min="10713" max="10713" width="11.33203125" style="6" customWidth="1"/>
    <col min="10714" max="10714" width="12.5546875" style="6" customWidth="1"/>
    <col min="10715" max="10715" width="16.44140625" style="6" customWidth="1"/>
    <col min="10716" max="10965" width="9.109375" style="6"/>
    <col min="10966" max="10966" width="7.44140625" style="6" customWidth="1"/>
    <col min="10967" max="10967" width="51.88671875" style="6" customWidth="1"/>
    <col min="10968" max="10968" width="7.44140625" style="6" customWidth="1"/>
    <col min="10969" max="10969" width="11.33203125" style="6" customWidth="1"/>
    <col min="10970" max="10970" width="12.5546875" style="6" customWidth="1"/>
    <col min="10971" max="10971" width="16.44140625" style="6" customWidth="1"/>
    <col min="10972" max="11221" width="9.109375" style="6"/>
    <col min="11222" max="11222" width="7.44140625" style="6" customWidth="1"/>
    <col min="11223" max="11223" width="51.88671875" style="6" customWidth="1"/>
    <col min="11224" max="11224" width="7.44140625" style="6" customWidth="1"/>
    <col min="11225" max="11225" width="11.33203125" style="6" customWidth="1"/>
    <col min="11226" max="11226" width="12.5546875" style="6" customWidth="1"/>
    <col min="11227" max="11227" width="16.44140625" style="6" customWidth="1"/>
    <col min="11228" max="11477" width="9.109375" style="6"/>
    <col min="11478" max="11478" width="7.44140625" style="6" customWidth="1"/>
    <col min="11479" max="11479" width="51.88671875" style="6" customWidth="1"/>
    <col min="11480" max="11480" width="7.44140625" style="6" customWidth="1"/>
    <col min="11481" max="11481" width="11.33203125" style="6" customWidth="1"/>
    <col min="11482" max="11482" width="12.5546875" style="6" customWidth="1"/>
    <col min="11483" max="11483" width="16.44140625" style="6" customWidth="1"/>
    <col min="11484" max="11733" width="9.109375" style="6"/>
    <col min="11734" max="11734" width="7.44140625" style="6" customWidth="1"/>
    <col min="11735" max="11735" width="51.88671875" style="6" customWidth="1"/>
    <col min="11736" max="11736" width="7.44140625" style="6" customWidth="1"/>
    <col min="11737" max="11737" width="11.33203125" style="6" customWidth="1"/>
    <col min="11738" max="11738" width="12.5546875" style="6" customWidth="1"/>
    <col min="11739" max="11739" width="16.44140625" style="6" customWidth="1"/>
    <col min="11740" max="11989" width="9.109375" style="6"/>
    <col min="11990" max="11990" width="7.44140625" style="6" customWidth="1"/>
    <col min="11991" max="11991" width="51.88671875" style="6" customWidth="1"/>
    <col min="11992" max="11992" width="7.44140625" style="6" customWidth="1"/>
    <col min="11993" max="11993" width="11.33203125" style="6" customWidth="1"/>
    <col min="11994" max="11994" width="12.5546875" style="6" customWidth="1"/>
    <col min="11995" max="11995" width="16.44140625" style="6" customWidth="1"/>
    <col min="11996" max="12245" width="9.109375" style="6"/>
    <col min="12246" max="12246" width="7.44140625" style="6" customWidth="1"/>
    <col min="12247" max="12247" width="51.88671875" style="6" customWidth="1"/>
    <col min="12248" max="12248" width="7.44140625" style="6" customWidth="1"/>
    <col min="12249" max="12249" width="11.33203125" style="6" customWidth="1"/>
    <col min="12250" max="12250" width="12.5546875" style="6" customWidth="1"/>
    <col min="12251" max="12251" width="16.44140625" style="6" customWidth="1"/>
    <col min="12252" max="12501" width="9.109375" style="6"/>
    <col min="12502" max="12502" width="7.44140625" style="6" customWidth="1"/>
    <col min="12503" max="12503" width="51.88671875" style="6" customWidth="1"/>
    <col min="12504" max="12504" width="7.44140625" style="6" customWidth="1"/>
    <col min="12505" max="12505" width="11.33203125" style="6" customWidth="1"/>
    <col min="12506" max="12506" width="12.5546875" style="6" customWidth="1"/>
    <col min="12507" max="12507" width="16.44140625" style="6" customWidth="1"/>
    <col min="12508" max="12757" width="9.109375" style="6"/>
    <col min="12758" max="12758" width="7.44140625" style="6" customWidth="1"/>
    <col min="12759" max="12759" width="51.88671875" style="6" customWidth="1"/>
    <col min="12760" max="12760" width="7.44140625" style="6" customWidth="1"/>
    <col min="12761" max="12761" width="11.33203125" style="6" customWidth="1"/>
    <col min="12762" max="12762" width="12.5546875" style="6" customWidth="1"/>
    <col min="12763" max="12763" width="16.44140625" style="6" customWidth="1"/>
    <col min="12764" max="13013" width="9.109375" style="6"/>
    <col min="13014" max="13014" width="7.44140625" style="6" customWidth="1"/>
    <col min="13015" max="13015" width="51.88671875" style="6" customWidth="1"/>
    <col min="13016" max="13016" width="7.44140625" style="6" customWidth="1"/>
    <col min="13017" max="13017" width="11.33203125" style="6" customWidth="1"/>
    <col min="13018" max="13018" width="12.5546875" style="6" customWidth="1"/>
    <col min="13019" max="13019" width="16.44140625" style="6" customWidth="1"/>
    <col min="13020" max="13269" width="9.109375" style="6"/>
    <col min="13270" max="13270" width="7.44140625" style="6" customWidth="1"/>
    <col min="13271" max="13271" width="51.88671875" style="6" customWidth="1"/>
    <col min="13272" max="13272" width="7.44140625" style="6" customWidth="1"/>
    <col min="13273" max="13273" width="11.33203125" style="6" customWidth="1"/>
    <col min="13274" max="13274" width="12.5546875" style="6" customWidth="1"/>
    <col min="13275" max="13275" width="16.44140625" style="6" customWidth="1"/>
    <col min="13276" max="13525" width="9.109375" style="6"/>
    <col min="13526" max="13526" width="7.44140625" style="6" customWidth="1"/>
    <col min="13527" max="13527" width="51.88671875" style="6" customWidth="1"/>
    <col min="13528" max="13528" width="7.44140625" style="6" customWidth="1"/>
    <col min="13529" max="13529" width="11.33203125" style="6" customWidth="1"/>
    <col min="13530" max="13530" width="12.5546875" style="6" customWidth="1"/>
    <col min="13531" max="13531" width="16.44140625" style="6" customWidth="1"/>
    <col min="13532" max="13781" width="9.109375" style="6"/>
    <col min="13782" max="13782" width="7.44140625" style="6" customWidth="1"/>
    <col min="13783" max="13783" width="51.88671875" style="6" customWidth="1"/>
    <col min="13784" max="13784" width="7.44140625" style="6" customWidth="1"/>
    <col min="13785" max="13785" width="11.33203125" style="6" customWidth="1"/>
    <col min="13786" max="13786" width="12.5546875" style="6" customWidth="1"/>
    <col min="13787" max="13787" width="16.44140625" style="6" customWidth="1"/>
    <col min="13788" max="14037" width="9.109375" style="6"/>
    <col min="14038" max="14038" width="7.44140625" style="6" customWidth="1"/>
    <col min="14039" max="14039" width="51.88671875" style="6" customWidth="1"/>
    <col min="14040" max="14040" width="7.44140625" style="6" customWidth="1"/>
    <col min="14041" max="14041" width="11.33203125" style="6" customWidth="1"/>
    <col min="14042" max="14042" width="12.5546875" style="6" customWidth="1"/>
    <col min="14043" max="14043" width="16.44140625" style="6" customWidth="1"/>
    <col min="14044" max="14293" width="9.109375" style="6"/>
    <col min="14294" max="14294" width="7.44140625" style="6" customWidth="1"/>
    <col min="14295" max="14295" width="51.88671875" style="6" customWidth="1"/>
    <col min="14296" max="14296" width="7.44140625" style="6" customWidth="1"/>
    <col min="14297" max="14297" width="11.33203125" style="6" customWidth="1"/>
    <col min="14298" max="14298" width="12.5546875" style="6" customWidth="1"/>
    <col min="14299" max="14299" width="16.44140625" style="6" customWidth="1"/>
    <col min="14300" max="14549" width="9.109375" style="6"/>
    <col min="14550" max="14550" width="7.44140625" style="6" customWidth="1"/>
    <col min="14551" max="14551" width="51.88671875" style="6" customWidth="1"/>
    <col min="14552" max="14552" width="7.44140625" style="6" customWidth="1"/>
    <col min="14553" max="14553" width="11.33203125" style="6" customWidth="1"/>
    <col min="14554" max="14554" width="12.5546875" style="6" customWidth="1"/>
    <col min="14555" max="14555" width="16.44140625" style="6" customWidth="1"/>
    <col min="14556" max="14805" width="9.109375" style="6"/>
    <col min="14806" max="14806" width="7.44140625" style="6" customWidth="1"/>
    <col min="14807" max="14807" width="51.88671875" style="6" customWidth="1"/>
    <col min="14808" max="14808" width="7.44140625" style="6" customWidth="1"/>
    <col min="14809" max="14809" width="11.33203125" style="6" customWidth="1"/>
    <col min="14810" max="14810" width="12.5546875" style="6" customWidth="1"/>
    <col min="14811" max="14811" width="16.44140625" style="6" customWidth="1"/>
    <col min="14812" max="15061" width="9.109375" style="6"/>
    <col min="15062" max="15062" width="7.44140625" style="6" customWidth="1"/>
    <col min="15063" max="15063" width="51.88671875" style="6" customWidth="1"/>
    <col min="15064" max="15064" width="7.44140625" style="6" customWidth="1"/>
    <col min="15065" max="15065" width="11.33203125" style="6" customWidth="1"/>
    <col min="15066" max="15066" width="12.5546875" style="6" customWidth="1"/>
    <col min="15067" max="15067" width="16.44140625" style="6" customWidth="1"/>
    <col min="15068" max="15317" width="9.109375" style="6"/>
    <col min="15318" max="15318" width="7.44140625" style="6" customWidth="1"/>
    <col min="15319" max="15319" width="51.88671875" style="6" customWidth="1"/>
    <col min="15320" max="15320" width="7.44140625" style="6" customWidth="1"/>
    <col min="15321" max="15321" width="11.33203125" style="6" customWidth="1"/>
    <col min="15322" max="15322" width="12.5546875" style="6" customWidth="1"/>
    <col min="15323" max="15323" width="16.44140625" style="6" customWidth="1"/>
    <col min="15324" max="15573" width="9.109375" style="6"/>
    <col min="15574" max="15574" width="7.44140625" style="6" customWidth="1"/>
    <col min="15575" max="15575" width="51.88671875" style="6" customWidth="1"/>
    <col min="15576" max="15576" width="7.44140625" style="6" customWidth="1"/>
    <col min="15577" max="15577" width="11.33203125" style="6" customWidth="1"/>
    <col min="15578" max="15578" width="12.5546875" style="6" customWidth="1"/>
    <col min="15579" max="15579" width="16.44140625" style="6" customWidth="1"/>
    <col min="15580" max="15829" width="9.109375" style="6"/>
    <col min="15830" max="15830" width="7.44140625" style="6" customWidth="1"/>
    <col min="15831" max="15831" width="51.88671875" style="6" customWidth="1"/>
    <col min="15832" max="15832" width="7.44140625" style="6" customWidth="1"/>
    <col min="15833" max="15833" width="11.33203125" style="6" customWidth="1"/>
    <col min="15834" max="15834" width="12.5546875" style="6" customWidth="1"/>
    <col min="15835" max="15835" width="16.44140625" style="6" customWidth="1"/>
    <col min="15836" max="16085" width="9.109375" style="6"/>
    <col min="16086" max="16086" width="7.44140625" style="6" customWidth="1"/>
    <col min="16087" max="16087" width="51.88671875" style="6" customWidth="1"/>
    <col min="16088" max="16088" width="7.44140625" style="6" customWidth="1"/>
    <col min="16089" max="16089" width="11.33203125" style="6" customWidth="1"/>
    <col min="16090" max="16090" width="12.5546875" style="6" customWidth="1"/>
    <col min="16091" max="16091" width="16.44140625" style="6" customWidth="1"/>
    <col min="16092" max="16384" width="9.109375" style="6"/>
  </cols>
  <sheetData>
    <row r="1" spans="1:6" s="37" customFormat="1" ht="22.8" x14ac:dyDescent="0.3">
      <c r="A1" s="52" t="s">
        <v>1</v>
      </c>
      <c r="B1" s="53" t="s">
        <v>2</v>
      </c>
      <c r="C1" s="54" t="s">
        <v>100</v>
      </c>
      <c r="D1" s="55" t="s">
        <v>3</v>
      </c>
      <c r="E1" s="56" t="s">
        <v>95</v>
      </c>
      <c r="F1" s="55" t="s">
        <v>96</v>
      </c>
    </row>
    <row r="2" spans="1:6" x14ac:dyDescent="0.25">
      <c r="A2" s="50"/>
      <c r="C2" s="38"/>
      <c r="D2" s="39"/>
      <c r="E2" s="40"/>
      <c r="F2" s="39"/>
    </row>
    <row r="3" spans="1:6" x14ac:dyDescent="0.25">
      <c r="A3" s="44" t="s">
        <v>6</v>
      </c>
      <c r="B3" s="19" t="s">
        <v>91</v>
      </c>
      <c r="C3" s="41"/>
      <c r="D3" s="42"/>
      <c r="E3" s="43"/>
      <c r="F3" s="42"/>
    </row>
    <row r="4" spans="1:6" ht="66" x14ac:dyDescent="0.25">
      <c r="A4" s="32" t="s">
        <v>21</v>
      </c>
      <c r="B4" s="59" t="s">
        <v>595</v>
      </c>
      <c r="C4" s="2" t="s">
        <v>46</v>
      </c>
      <c r="D4" s="51">
        <v>1</v>
      </c>
      <c r="E4" s="34">
        <v>1000</v>
      </c>
      <c r="F4" s="3">
        <f t="shared" ref="F4:F13" si="0">D4*$E4</f>
        <v>1000</v>
      </c>
    </row>
    <row r="5" spans="1:6" ht="79.2" x14ac:dyDescent="0.25">
      <c r="A5" s="32" t="s">
        <v>22</v>
      </c>
      <c r="B5" s="59" t="s">
        <v>594</v>
      </c>
      <c r="C5" s="2" t="s">
        <v>46</v>
      </c>
      <c r="D5" s="51">
        <v>1</v>
      </c>
      <c r="E5" s="34">
        <v>1000</v>
      </c>
      <c r="F5" s="3">
        <f t="shared" si="0"/>
        <v>1000</v>
      </c>
    </row>
    <row r="6" spans="1:6" ht="118.8" x14ac:dyDescent="0.25">
      <c r="A6" s="32" t="s">
        <v>23</v>
      </c>
      <c r="B6" s="1" t="s">
        <v>597</v>
      </c>
      <c r="C6" s="2" t="s">
        <v>9</v>
      </c>
      <c r="D6" s="3">
        <v>1450</v>
      </c>
      <c r="E6" s="34">
        <v>60</v>
      </c>
      <c r="F6" s="3">
        <f t="shared" si="0"/>
        <v>87000</v>
      </c>
    </row>
    <row r="7" spans="1:6" ht="118.8" x14ac:dyDescent="0.25">
      <c r="A7" s="32" t="s">
        <v>24</v>
      </c>
      <c r="B7" s="1" t="s">
        <v>596</v>
      </c>
      <c r="C7" s="2" t="s">
        <v>9</v>
      </c>
      <c r="D7" s="3">
        <v>2400</v>
      </c>
      <c r="E7" s="34">
        <v>60</v>
      </c>
      <c r="F7" s="3">
        <f t="shared" si="0"/>
        <v>144000</v>
      </c>
    </row>
    <row r="8" spans="1:6" ht="105.6" x14ac:dyDescent="0.25">
      <c r="A8" s="32" t="s">
        <v>25</v>
      </c>
      <c r="B8" s="1" t="s">
        <v>598</v>
      </c>
      <c r="C8" s="2" t="s">
        <v>9</v>
      </c>
      <c r="D8" s="3">
        <v>150</v>
      </c>
      <c r="E8" s="34">
        <v>250</v>
      </c>
      <c r="F8" s="3">
        <f t="shared" si="0"/>
        <v>37500</v>
      </c>
    </row>
    <row r="9" spans="1:6" ht="26.4" x14ac:dyDescent="0.25">
      <c r="A9" s="32" t="s">
        <v>145</v>
      </c>
      <c r="B9" s="1" t="s">
        <v>217</v>
      </c>
      <c r="C9" s="2" t="s">
        <v>7</v>
      </c>
      <c r="D9" s="3">
        <v>5500</v>
      </c>
      <c r="E9" s="34">
        <v>1</v>
      </c>
      <c r="F9" s="3">
        <f t="shared" si="0"/>
        <v>5500</v>
      </c>
    </row>
    <row r="10" spans="1:6" ht="118.8" x14ac:dyDescent="0.25">
      <c r="A10" s="32" t="s">
        <v>146</v>
      </c>
      <c r="B10" s="1" t="s">
        <v>599</v>
      </c>
      <c r="C10" s="2" t="s">
        <v>9</v>
      </c>
      <c r="D10" s="3">
        <v>4500</v>
      </c>
      <c r="E10" s="34">
        <v>0.5</v>
      </c>
      <c r="F10" s="3">
        <f t="shared" si="0"/>
        <v>2250</v>
      </c>
    </row>
    <row r="11" spans="1:6" ht="92.4" x14ac:dyDescent="0.25">
      <c r="A11" s="32" t="s">
        <v>147</v>
      </c>
      <c r="B11" s="1" t="s">
        <v>600</v>
      </c>
      <c r="C11" s="2" t="s">
        <v>7</v>
      </c>
      <c r="D11" s="3">
        <v>500</v>
      </c>
      <c r="E11" s="34">
        <v>10</v>
      </c>
      <c r="F11" s="3">
        <f t="shared" si="0"/>
        <v>5000</v>
      </c>
    </row>
    <row r="12" spans="1:6" ht="39.6" x14ac:dyDescent="0.25">
      <c r="A12" s="32" t="s">
        <v>148</v>
      </c>
      <c r="B12" s="1" t="s">
        <v>601</v>
      </c>
      <c r="C12" s="2" t="s">
        <v>8</v>
      </c>
      <c r="D12" s="51">
        <v>25</v>
      </c>
      <c r="E12" s="34">
        <v>125</v>
      </c>
      <c r="F12" s="3">
        <f t="shared" si="0"/>
        <v>3125</v>
      </c>
    </row>
    <row r="13" spans="1:6" ht="52.8" x14ac:dyDescent="0.25">
      <c r="A13" s="32" t="s">
        <v>149</v>
      </c>
      <c r="B13" s="1" t="s">
        <v>602</v>
      </c>
      <c r="C13" s="2" t="s">
        <v>46</v>
      </c>
      <c r="D13" s="51">
        <v>1</v>
      </c>
      <c r="E13" s="34">
        <v>2000</v>
      </c>
      <c r="F13" s="3">
        <f t="shared" si="0"/>
        <v>2000</v>
      </c>
    </row>
    <row r="14" spans="1:6" ht="39.6" x14ac:dyDescent="0.25">
      <c r="A14" s="32" t="s">
        <v>150</v>
      </c>
      <c r="B14" s="1" t="s">
        <v>603</v>
      </c>
      <c r="D14" s="51"/>
    </row>
    <row r="15" spans="1:6" x14ac:dyDescent="0.25">
      <c r="A15" s="32" t="s">
        <v>61</v>
      </c>
      <c r="B15" s="1" t="s">
        <v>604</v>
      </c>
      <c r="C15" s="2" t="s">
        <v>9</v>
      </c>
      <c r="D15" s="3">
        <v>150</v>
      </c>
      <c r="E15" s="34">
        <v>20</v>
      </c>
      <c r="F15" s="3">
        <f>D15*$E15</f>
        <v>3000</v>
      </c>
    </row>
    <row r="16" spans="1:6" x14ac:dyDescent="0.25">
      <c r="A16" s="32" t="s">
        <v>62</v>
      </c>
      <c r="B16" s="1" t="s">
        <v>289</v>
      </c>
      <c r="C16" s="2" t="s">
        <v>10</v>
      </c>
      <c r="D16" s="3">
        <v>300</v>
      </c>
      <c r="E16" s="34">
        <v>25</v>
      </c>
      <c r="F16" s="3">
        <f>D16*$E16</f>
        <v>7500</v>
      </c>
    </row>
    <row r="17" spans="1:6" x14ac:dyDescent="0.25">
      <c r="A17" s="32" t="s">
        <v>63</v>
      </c>
      <c r="B17" s="1" t="s">
        <v>290</v>
      </c>
      <c r="C17" s="2" t="s">
        <v>9</v>
      </c>
      <c r="D17" s="3">
        <v>100</v>
      </c>
      <c r="E17" s="34">
        <v>10</v>
      </c>
      <c r="F17" s="3">
        <f>D17*$E17</f>
        <v>1000</v>
      </c>
    </row>
    <row r="18" spans="1:6" x14ac:dyDescent="0.25">
      <c r="A18" s="32" t="s">
        <v>64</v>
      </c>
      <c r="B18" s="1" t="s">
        <v>291</v>
      </c>
      <c r="C18" s="2" t="s">
        <v>9</v>
      </c>
      <c r="D18" s="3">
        <v>50</v>
      </c>
      <c r="E18" s="34">
        <v>20</v>
      </c>
      <c r="F18" s="3">
        <f>D18*$E18</f>
        <v>1000</v>
      </c>
    </row>
    <row r="19" spans="1:6" ht="211.2" x14ac:dyDescent="0.25">
      <c r="A19" s="32" t="s">
        <v>151</v>
      </c>
      <c r="B19" s="1" t="s">
        <v>690</v>
      </c>
      <c r="C19" s="2" t="s">
        <v>7</v>
      </c>
      <c r="D19" s="3">
        <v>5200</v>
      </c>
      <c r="E19" s="34">
        <v>18</v>
      </c>
      <c r="F19" s="3">
        <f t="shared" ref="F19:F20" si="1">D19*$E19</f>
        <v>93600</v>
      </c>
    </row>
    <row r="20" spans="1:6" ht="250.8" x14ac:dyDescent="0.25">
      <c r="A20" s="32" t="s">
        <v>152</v>
      </c>
      <c r="B20" s="1" t="s">
        <v>691</v>
      </c>
      <c r="C20" s="2" t="s">
        <v>7</v>
      </c>
      <c r="D20" s="3">
        <v>5200</v>
      </c>
      <c r="E20" s="34">
        <v>15</v>
      </c>
      <c r="F20" s="3">
        <f t="shared" si="1"/>
        <v>78000</v>
      </c>
    </row>
    <row r="21" spans="1:6" x14ac:dyDescent="0.25">
      <c r="A21" s="32" t="s">
        <v>153</v>
      </c>
      <c r="B21" s="1" t="s">
        <v>605</v>
      </c>
      <c r="D21" s="51"/>
    </row>
    <row r="22" spans="1:6" x14ac:dyDescent="0.25">
      <c r="A22" s="32" t="s">
        <v>61</v>
      </c>
      <c r="B22" s="1" t="s">
        <v>606</v>
      </c>
      <c r="C22" s="2" t="s">
        <v>10</v>
      </c>
      <c r="D22" s="3">
        <v>600</v>
      </c>
      <c r="E22" s="34">
        <v>10</v>
      </c>
      <c r="F22" s="3">
        <f>D22*$E22</f>
        <v>6000</v>
      </c>
    </row>
    <row r="23" spans="1:6" x14ac:dyDescent="0.25">
      <c r="A23" s="32" t="s">
        <v>62</v>
      </c>
      <c r="B23" s="1" t="s">
        <v>607</v>
      </c>
      <c r="C23" s="2" t="s">
        <v>7</v>
      </c>
      <c r="D23" s="3">
        <v>30</v>
      </c>
      <c r="E23" s="34">
        <v>50</v>
      </c>
      <c r="F23" s="3">
        <f>D23*$E23</f>
        <v>1500</v>
      </c>
    </row>
    <row r="24" spans="1:6" ht="26.4" x14ac:dyDescent="0.25">
      <c r="A24" s="32" t="s">
        <v>154</v>
      </c>
      <c r="B24" s="1" t="s">
        <v>746</v>
      </c>
      <c r="C24" s="2" t="s">
        <v>8</v>
      </c>
      <c r="D24" s="51">
        <v>4</v>
      </c>
      <c r="E24" s="34">
        <v>200</v>
      </c>
      <c r="F24" s="3">
        <f t="shared" ref="F24" si="2">D24*$E24</f>
        <v>800</v>
      </c>
    </row>
    <row r="25" spans="1:6" ht="26.4" x14ac:dyDescent="0.25">
      <c r="A25" s="32" t="s">
        <v>155</v>
      </c>
      <c r="B25" s="1" t="s">
        <v>608</v>
      </c>
      <c r="D25" s="51"/>
    </row>
    <row r="26" spans="1:6" x14ac:dyDescent="0.25">
      <c r="A26" s="32" t="s">
        <v>61</v>
      </c>
      <c r="B26" s="1" t="s">
        <v>609</v>
      </c>
      <c r="C26" s="2" t="s">
        <v>10</v>
      </c>
      <c r="D26" s="3">
        <v>50</v>
      </c>
      <c r="E26" s="34">
        <v>20</v>
      </c>
      <c r="F26" s="3">
        <f>D26*$E26</f>
        <v>1000</v>
      </c>
    </row>
    <row r="27" spans="1:6" x14ac:dyDescent="0.25">
      <c r="A27" s="32" t="s">
        <v>62</v>
      </c>
      <c r="B27" s="1" t="s">
        <v>610</v>
      </c>
      <c r="C27" s="2" t="s">
        <v>10</v>
      </c>
      <c r="D27" s="3">
        <v>50</v>
      </c>
      <c r="E27" s="34">
        <v>10</v>
      </c>
      <c r="F27" s="3">
        <f>D27*$E27</f>
        <v>500</v>
      </c>
    </row>
    <row r="28" spans="1:6" x14ac:dyDescent="0.25">
      <c r="A28" s="32" t="s">
        <v>63</v>
      </c>
      <c r="B28" s="1" t="s">
        <v>611</v>
      </c>
      <c r="C28" s="2" t="s">
        <v>7</v>
      </c>
      <c r="D28" s="3">
        <v>50</v>
      </c>
      <c r="E28" s="34">
        <v>50</v>
      </c>
      <c r="F28" s="3">
        <f>D28*$E28</f>
        <v>2500</v>
      </c>
    </row>
    <row r="29" spans="1:6" x14ac:dyDescent="0.25">
      <c r="B29" s="44" t="s">
        <v>612</v>
      </c>
      <c r="C29" s="6"/>
      <c r="D29" s="6"/>
      <c r="E29" s="21"/>
      <c r="F29" s="42">
        <f>SUM(F4:F28)</f>
        <v>484775</v>
      </c>
    </row>
    <row r="30" spans="1:6" x14ac:dyDescent="0.25">
      <c r="B30" s="44"/>
      <c r="C30" s="6"/>
      <c r="D30" s="6"/>
      <c r="E30" s="21"/>
    </row>
    <row r="31" spans="1:6" x14ac:dyDescent="0.25">
      <c r="B31" s="50"/>
      <c r="E31" s="46"/>
    </row>
    <row r="32" spans="1:6" x14ac:dyDescent="0.25">
      <c r="A32" s="45" t="s">
        <v>11</v>
      </c>
      <c r="B32" s="23" t="s">
        <v>640</v>
      </c>
    </row>
    <row r="33" spans="1:6" ht="26.4" x14ac:dyDescent="0.25">
      <c r="A33" s="32" t="s">
        <v>26</v>
      </c>
      <c r="B33" s="1" t="s">
        <v>613</v>
      </c>
      <c r="C33" s="2" t="s">
        <v>10</v>
      </c>
      <c r="D33" s="3">
        <v>503</v>
      </c>
      <c r="E33" s="34">
        <v>1</v>
      </c>
      <c r="F33" s="3">
        <f t="shared" ref="F33:F42" si="3">D33*$E33</f>
        <v>503</v>
      </c>
    </row>
    <row r="34" spans="1:6" ht="66" x14ac:dyDescent="0.25">
      <c r="A34" s="66" t="s">
        <v>27</v>
      </c>
      <c r="B34" s="67" t="s">
        <v>614</v>
      </c>
      <c r="C34" s="2" t="s">
        <v>9</v>
      </c>
      <c r="D34" s="3">
        <v>604</v>
      </c>
      <c r="E34" s="34">
        <v>15</v>
      </c>
      <c r="F34" s="3">
        <f t="shared" si="3"/>
        <v>9060</v>
      </c>
    </row>
    <row r="35" spans="1:6" ht="66" x14ac:dyDescent="0.25">
      <c r="A35" s="66" t="s">
        <v>28</v>
      </c>
      <c r="B35" s="67" t="s">
        <v>615</v>
      </c>
      <c r="C35" s="2" t="s">
        <v>9</v>
      </c>
      <c r="D35" s="3">
        <v>48</v>
      </c>
      <c r="E35" s="34">
        <v>20</v>
      </c>
      <c r="F35" s="3">
        <f t="shared" si="3"/>
        <v>960</v>
      </c>
    </row>
    <row r="36" spans="1:6" x14ac:dyDescent="0.25">
      <c r="A36" s="66" t="s">
        <v>29</v>
      </c>
      <c r="B36" s="67" t="s">
        <v>299</v>
      </c>
      <c r="C36" s="2" t="s">
        <v>7</v>
      </c>
      <c r="D36" s="3">
        <v>403</v>
      </c>
      <c r="E36" s="34">
        <v>2</v>
      </c>
      <c r="F36" s="3">
        <f t="shared" si="3"/>
        <v>806</v>
      </c>
    </row>
    <row r="37" spans="1:6" ht="132" x14ac:dyDescent="0.25">
      <c r="A37" s="66" t="s">
        <v>52</v>
      </c>
      <c r="B37" s="67" t="s">
        <v>744</v>
      </c>
      <c r="C37" s="2" t="s">
        <v>9</v>
      </c>
      <c r="D37" s="3">
        <v>41</v>
      </c>
      <c r="E37" s="34">
        <v>50</v>
      </c>
      <c r="F37" s="3">
        <f t="shared" si="3"/>
        <v>2050</v>
      </c>
    </row>
    <row r="38" spans="1:6" ht="66" x14ac:dyDescent="0.25">
      <c r="A38" s="66" t="s">
        <v>76</v>
      </c>
      <c r="B38" s="67" t="s">
        <v>616</v>
      </c>
      <c r="C38" s="2" t="s">
        <v>9</v>
      </c>
      <c r="D38" s="3">
        <v>202</v>
      </c>
      <c r="E38" s="34">
        <v>20</v>
      </c>
      <c r="F38" s="3">
        <f t="shared" si="3"/>
        <v>4040</v>
      </c>
    </row>
    <row r="39" spans="1:6" ht="39.6" x14ac:dyDescent="0.25">
      <c r="A39" s="66" t="s">
        <v>83</v>
      </c>
      <c r="B39" s="67" t="s">
        <v>617</v>
      </c>
      <c r="C39" s="2" t="s">
        <v>10</v>
      </c>
      <c r="D39" s="3">
        <v>503</v>
      </c>
      <c r="E39" s="34">
        <v>1</v>
      </c>
      <c r="F39" s="3">
        <f t="shared" si="3"/>
        <v>503</v>
      </c>
    </row>
    <row r="40" spans="1:6" ht="39.6" x14ac:dyDescent="0.25">
      <c r="A40" s="66" t="s">
        <v>84</v>
      </c>
      <c r="B40" s="67" t="s">
        <v>618</v>
      </c>
      <c r="C40" s="2" t="s">
        <v>9</v>
      </c>
      <c r="D40" s="3">
        <v>363</v>
      </c>
      <c r="E40" s="34">
        <v>15</v>
      </c>
      <c r="F40" s="3">
        <f t="shared" si="3"/>
        <v>5445</v>
      </c>
    </row>
    <row r="41" spans="1:6" ht="92.4" x14ac:dyDescent="0.25">
      <c r="A41" s="66" t="s">
        <v>86</v>
      </c>
      <c r="B41" s="67" t="s">
        <v>619</v>
      </c>
      <c r="C41" s="2" t="s">
        <v>9</v>
      </c>
      <c r="D41" s="3">
        <v>364</v>
      </c>
      <c r="E41" s="34">
        <v>15</v>
      </c>
      <c r="F41" s="3">
        <f t="shared" si="3"/>
        <v>5460</v>
      </c>
    </row>
    <row r="42" spans="1:6" ht="39.6" x14ac:dyDescent="0.25">
      <c r="A42" s="66" t="s">
        <v>87</v>
      </c>
      <c r="B42" s="67" t="s">
        <v>620</v>
      </c>
      <c r="C42" s="2" t="s">
        <v>7</v>
      </c>
      <c r="D42" s="3">
        <v>503</v>
      </c>
      <c r="E42" s="34">
        <v>2</v>
      </c>
      <c r="F42" s="3">
        <f t="shared" si="3"/>
        <v>1006</v>
      </c>
    </row>
    <row r="43" spans="1:6" ht="211.2" x14ac:dyDescent="0.25">
      <c r="A43" s="66" t="s">
        <v>88</v>
      </c>
      <c r="B43" s="67" t="s">
        <v>621</v>
      </c>
    </row>
    <row r="44" spans="1:6" x14ac:dyDescent="0.25">
      <c r="A44" s="66" t="s">
        <v>61</v>
      </c>
      <c r="B44" s="67" t="s">
        <v>622</v>
      </c>
      <c r="C44" s="2" t="s">
        <v>8</v>
      </c>
      <c r="D44" s="51">
        <v>9</v>
      </c>
      <c r="E44" s="34">
        <v>800</v>
      </c>
      <c r="F44" s="3">
        <f>D44*$E44</f>
        <v>7200</v>
      </c>
    </row>
    <row r="45" spans="1:6" x14ac:dyDescent="0.25">
      <c r="A45" s="66" t="s">
        <v>62</v>
      </c>
      <c r="B45" s="67" t="s">
        <v>623</v>
      </c>
      <c r="C45" s="2" t="s">
        <v>8</v>
      </c>
      <c r="D45" s="51">
        <v>2</v>
      </c>
      <c r="E45" s="34">
        <v>1200</v>
      </c>
      <c r="F45" s="3">
        <f>D45*$E45</f>
        <v>2400</v>
      </c>
    </row>
    <row r="46" spans="1:6" ht="39.6" x14ac:dyDescent="0.25">
      <c r="A46" s="66" t="s">
        <v>89</v>
      </c>
      <c r="B46" s="67" t="s">
        <v>625</v>
      </c>
      <c r="D46" s="51"/>
    </row>
    <row r="47" spans="1:6" x14ac:dyDescent="0.25">
      <c r="A47" s="66"/>
      <c r="B47" s="67" t="s">
        <v>624</v>
      </c>
      <c r="D47" s="51"/>
    </row>
    <row r="48" spans="1:6" x14ac:dyDescent="0.25">
      <c r="A48" s="66" t="s">
        <v>61</v>
      </c>
      <c r="B48" s="67" t="s">
        <v>626</v>
      </c>
      <c r="C48" s="2" t="s">
        <v>10</v>
      </c>
      <c r="D48" s="3">
        <v>275</v>
      </c>
      <c r="E48" s="34">
        <v>25</v>
      </c>
      <c r="F48" s="3">
        <f>D48*$E48</f>
        <v>6875</v>
      </c>
    </row>
    <row r="49" spans="1:6" x14ac:dyDescent="0.25">
      <c r="A49" s="66" t="s">
        <v>62</v>
      </c>
      <c r="B49" s="67" t="s">
        <v>627</v>
      </c>
      <c r="C49" s="2" t="s">
        <v>10</v>
      </c>
      <c r="D49" s="3">
        <v>118</v>
      </c>
      <c r="E49" s="34">
        <v>68</v>
      </c>
      <c r="F49" s="3">
        <f>D49*$E49</f>
        <v>8024</v>
      </c>
    </row>
    <row r="50" spans="1:6" x14ac:dyDescent="0.25">
      <c r="A50" s="66" t="s">
        <v>63</v>
      </c>
      <c r="B50" s="67" t="s">
        <v>628</v>
      </c>
      <c r="C50" s="2" t="s">
        <v>10</v>
      </c>
      <c r="D50" s="3">
        <v>28</v>
      </c>
      <c r="E50" s="34">
        <v>89</v>
      </c>
      <c r="F50" s="3">
        <f>D50*$E50</f>
        <v>2492</v>
      </c>
    </row>
    <row r="51" spans="1:6" x14ac:dyDescent="0.25">
      <c r="A51" s="66" t="s">
        <v>64</v>
      </c>
      <c r="B51" s="67" t="s">
        <v>629</v>
      </c>
      <c r="C51" s="2" t="s">
        <v>10</v>
      </c>
      <c r="D51" s="3">
        <v>22</v>
      </c>
      <c r="E51" s="34">
        <v>139</v>
      </c>
      <c r="F51" s="3">
        <f>D51*$E51</f>
        <v>3058</v>
      </c>
    </row>
    <row r="52" spans="1:6" x14ac:dyDescent="0.25">
      <c r="A52" s="66" t="s">
        <v>103</v>
      </c>
      <c r="B52" s="67" t="s">
        <v>630</v>
      </c>
      <c r="C52" s="2" t="s">
        <v>10</v>
      </c>
      <c r="D52" s="3">
        <v>30</v>
      </c>
      <c r="E52" s="34">
        <v>170</v>
      </c>
      <c r="F52" s="3">
        <f>D52*$E52</f>
        <v>5100</v>
      </c>
    </row>
    <row r="53" spans="1:6" x14ac:dyDescent="0.25">
      <c r="A53" s="66"/>
      <c r="B53" s="67" t="s">
        <v>631</v>
      </c>
      <c r="D53" s="51"/>
    </row>
    <row r="54" spans="1:6" x14ac:dyDescent="0.25">
      <c r="A54" s="66" t="s">
        <v>115</v>
      </c>
      <c r="B54" s="67" t="s">
        <v>626</v>
      </c>
      <c r="C54" s="2" t="s">
        <v>8</v>
      </c>
      <c r="D54" s="51">
        <v>45</v>
      </c>
      <c r="E54" s="34">
        <v>25</v>
      </c>
      <c r="F54" s="3">
        <f>D54*$E54</f>
        <v>1125</v>
      </c>
    </row>
    <row r="55" spans="1:6" x14ac:dyDescent="0.25">
      <c r="A55" s="66" t="s">
        <v>116</v>
      </c>
      <c r="B55" s="67" t="s">
        <v>630</v>
      </c>
      <c r="C55" s="2" t="s">
        <v>8</v>
      </c>
      <c r="D55" s="51">
        <v>3</v>
      </c>
      <c r="E55" s="34">
        <v>350</v>
      </c>
      <c r="F55" s="3">
        <f>D55*$E55</f>
        <v>1050</v>
      </c>
    </row>
    <row r="56" spans="1:6" ht="26.4" x14ac:dyDescent="0.25">
      <c r="A56" s="66" t="s">
        <v>90</v>
      </c>
      <c r="B56" s="67" t="s">
        <v>632</v>
      </c>
      <c r="D56" s="51"/>
    </row>
    <row r="57" spans="1:6" x14ac:dyDescent="0.25">
      <c r="A57" s="66" t="s">
        <v>61</v>
      </c>
      <c r="B57" s="67" t="s">
        <v>626</v>
      </c>
      <c r="C57" s="2" t="s">
        <v>8</v>
      </c>
      <c r="D57" s="51">
        <v>24</v>
      </c>
      <c r="E57" s="34">
        <v>55</v>
      </c>
      <c r="F57" s="3">
        <f t="shared" ref="F57:F62" si="4">D57*$E57</f>
        <v>1320</v>
      </c>
    </row>
    <row r="58" spans="1:6" x14ac:dyDescent="0.25">
      <c r="A58" s="66" t="s">
        <v>62</v>
      </c>
      <c r="B58" s="67" t="s">
        <v>627</v>
      </c>
      <c r="C58" s="2" t="s">
        <v>8</v>
      </c>
      <c r="D58" s="51">
        <v>12</v>
      </c>
      <c r="E58" s="34">
        <v>65</v>
      </c>
      <c r="F58" s="3">
        <f t="shared" si="4"/>
        <v>780</v>
      </c>
    </row>
    <row r="59" spans="1:6" x14ac:dyDescent="0.25">
      <c r="A59" s="66" t="s">
        <v>63</v>
      </c>
      <c r="B59" s="67" t="s">
        <v>628</v>
      </c>
      <c r="C59" s="2" t="s">
        <v>8</v>
      </c>
      <c r="D59" s="51">
        <v>2</v>
      </c>
      <c r="E59" s="34">
        <v>90</v>
      </c>
      <c r="F59" s="3">
        <f t="shared" si="4"/>
        <v>180</v>
      </c>
    </row>
    <row r="60" spans="1:6" x14ac:dyDescent="0.25">
      <c r="A60" s="66" t="s">
        <v>64</v>
      </c>
      <c r="B60" s="67" t="s">
        <v>629</v>
      </c>
      <c r="C60" s="2" t="s">
        <v>8</v>
      </c>
      <c r="D60" s="51">
        <v>3</v>
      </c>
      <c r="E60" s="34">
        <v>155</v>
      </c>
      <c r="F60" s="3">
        <f t="shared" si="4"/>
        <v>465</v>
      </c>
    </row>
    <row r="61" spans="1:6" x14ac:dyDescent="0.25">
      <c r="A61" s="66" t="s">
        <v>103</v>
      </c>
      <c r="B61" s="67" t="s">
        <v>630</v>
      </c>
      <c r="C61" s="2" t="s">
        <v>8</v>
      </c>
      <c r="D61" s="51">
        <v>5</v>
      </c>
      <c r="E61" s="34">
        <v>180</v>
      </c>
      <c r="F61" s="3">
        <f t="shared" si="4"/>
        <v>900</v>
      </c>
    </row>
    <row r="62" spans="1:6" ht="250.8" x14ac:dyDescent="0.25">
      <c r="A62" s="66" t="s">
        <v>157</v>
      </c>
      <c r="B62" s="67" t="s">
        <v>633</v>
      </c>
      <c r="C62" s="2" t="s">
        <v>8</v>
      </c>
      <c r="D62" s="51">
        <v>20</v>
      </c>
      <c r="E62" s="34">
        <v>800</v>
      </c>
      <c r="F62" s="3">
        <f t="shared" si="4"/>
        <v>16000</v>
      </c>
    </row>
    <row r="63" spans="1:6" ht="290.39999999999998" x14ac:dyDescent="0.25">
      <c r="A63" s="66" t="s">
        <v>634</v>
      </c>
      <c r="B63" s="67" t="s">
        <v>635</v>
      </c>
      <c r="D63" s="51"/>
    </row>
    <row r="64" spans="1:6" ht="224.4" x14ac:dyDescent="0.25">
      <c r="A64" s="66"/>
      <c r="B64" s="67" t="s">
        <v>636</v>
      </c>
      <c r="C64" s="2" t="s">
        <v>46</v>
      </c>
      <c r="D64" s="51">
        <v>1</v>
      </c>
      <c r="E64" s="34">
        <v>8000</v>
      </c>
      <c r="F64" s="3">
        <f>D64*$E64</f>
        <v>8000</v>
      </c>
    </row>
    <row r="65" spans="1:6" ht="158.4" x14ac:dyDescent="0.25">
      <c r="A65" s="66" t="s">
        <v>637</v>
      </c>
      <c r="B65" s="67" t="s">
        <v>638</v>
      </c>
      <c r="C65" s="2" t="s">
        <v>46</v>
      </c>
      <c r="D65" s="51">
        <v>1</v>
      </c>
      <c r="E65" s="34">
        <v>3000</v>
      </c>
      <c r="F65" s="3">
        <f>D65*$E65</f>
        <v>3000</v>
      </c>
    </row>
    <row r="66" spans="1:6" ht="92.4" x14ac:dyDescent="0.25">
      <c r="A66" s="66" t="s">
        <v>641</v>
      </c>
      <c r="B66" s="67" t="s">
        <v>642</v>
      </c>
      <c r="C66" s="2" t="s">
        <v>10</v>
      </c>
      <c r="D66" s="3">
        <v>251</v>
      </c>
      <c r="E66" s="34">
        <v>30</v>
      </c>
      <c r="F66" s="3">
        <f>D66*$E66</f>
        <v>7530</v>
      </c>
    </row>
    <row r="67" spans="1:6" ht="39.6" x14ac:dyDescent="0.25">
      <c r="A67" s="66" t="s">
        <v>643</v>
      </c>
      <c r="B67" s="67" t="s">
        <v>644</v>
      </c>
      <c r="C67" s="2" t="s">
        <v>46</v>
      </c>
      <c r="D67" s="51">
        <v>1</v>
      </c>
      <c r="E67" s="34">
        <v>500</v>
      </c>
      <c r="F67" s="3">
        <f t="shared" ref="F67:F70" si="5">D67*$E67</f>
        <v>500</v>
      </c>
    </row>
    <row r="68" spans="1:6" ht="66" x14ac:dyDescent="0.25">
      <c r="A68" s="66" t="s">
        <v>645</v>
      </c>
      <c r="B68" s="1" t="s">
        <v>349</v>
      </c>
      <c r="C68" s="2" t="s">
        <v>46</v>
      </c>
      <c r="D68" s="51">
        <v>1</v>
      </c>
      <c r="E68" s="34">
        <v>1500</v>
      </c>
      <c r="F68" s="3">
        <f t="shared" si="5"/>
        <v>1500</v>
      </c>
    </row>
    <row r="69" spans="1:6" ht="52.8" x14ac:dyDescent="0.25">
      <c r="A69" s="66" t="s">
        <v>646</v>
      </c>
      <c r="B69" s="1" t="s">
        <v>350</v>
      </c>
      <c r="C69" s="2" t="s">
        <v>46</v>
      </c>
      <c r="D69" s="51">
        <v>1</v>
      </c>
      <c r="E69" s="34">
        <v>500</v>
      </c>
      <c r="F69" s="3">
        <f t="shared" si="5"/>
        <v>500</v>
      </c>
    </row>
    <row r="70" spans="1:6" ht="52.8" x14ac:dyDescent="0.25">
      <c r="A70" s="66" t="s">
        <v>647</v>
      </c>
      <c r="B70" s="1" t="s">
        <v>351</v>
      </c>
      <c r="C70" s="2" t="s">
        <v>46</v>
      </c>
      <c r="D70" s="51">
        <v>1</v>
      </c>
      <c r="E70" s="34">
        <v>500</v>
      </c>
      <c r="F70" s="3">
        <f t="shared" si="5"/>
        <v>500</v>
      </c>
    </row>
    <row r="71" spans="1:6" x14ac:dyDescent="0.25">
      <c r="A71" s="7"/>
      <c r="B71" s="44" t="s">
        <v>639</v>
      </c>
      <c r="C71" s="6"/>
      <c r="D71" s="6"/>
      <c r="E71" s="21"/>
      <c r="F71" s="42">
        <f>SUM(F33:F70)</f>
        <v>108332</v>
      </c>
    </row>
    <row r="73" spans="1:6" x14ac:dyDescent="0.25">
      <c r="A73" s="45" t="s">
        <v>12</v>
      </c>
      <c r="B73" s="23" t="s">
        <v>501</v>
      </c>
      <c r="C73" s="22"/>
      <c r="D73" s="42"/>
      <c r="E73" s="49"/>
      <c r="F73" s="42"/>
    </row>
    <row r="74" spans="1:6" ht="409.2" x14ac:dyDescent="0.25">
      <c r="A74" s="32" t="s">
        <v>30</v>
      </c>
      <c r="B74" s="1" t="s">
        <v>648</v>
      </c>
      <c r="C74" s="2" t="s">
        <v>8</v>
      </c>
      <c r="D74" s="51">
        <v>14</v>
      </c>
      <c r="E74" s="34">
        <v>500</v>
      </c>
      <c r="F74" s="3">
        <f>D74*$E74</f>
        <v>7000</v>
      </c>
    </row>
    <row r="75" spans="1:6" ht="158.4" x14ac:dyDescent="0.25">
      <c r="A75" s="32" t="s">
        <v>31</v>
      </c>
      <c r="B75" s="59" t="s">
        <v>749</v>
      </c>
      <c r="C75" s="2" t="s">
        <v>8</v>
      </c>
      <c r="D75" s="51">
        <v>14</v>
      </c>
      <c r="E75" s="34">
        <v>750</v>
      </c>
      <c r="F75" s="3">
        <f>D75*$E75</f>
        <v>10500</v>
      </c>
    </row>
    <row r="76" spans="1:6" ht="39.6" x14ac:dyDescent="0.25">
      <c r="A76" s="32" t="s">
        <v>32</v>
      </c>
      <c r="B76" s="1" t="s">
        <v>649</v>
      </c>
      <c r="C76" s="2" t="s">
        <v>9</v>
      </c>
      <c r="D76" s="3">
        <v>160</v>
      </c>
      <c r="E76" s="34">
        <v>15</v>
      </c>
      <c r="F76" s="3">
        <f t="shared" ref="F76:F82" si="6">D76*$E76</f>
        <v>2400</v>
      </c>
    </row>
    <row r="77" spans="1:6" x14ac:dyDescent="0.25">
      <c r="A77" s="32" t="s">
        <v>33</v>
      </c>
      <c r="B77" s="1" t="s">
        <v>650</v>
      </c>
      <c r="C77" s="2" t="s">
        <v>7</v>
      </c>
      <c r="D77" s="3">
        <v>160</v>
      </c>
      <c r="E77" s="34">
        <v>2</v>
      </c>
      <c r="F77" s="3">
        <f t="shared" si="6"/>
        <v>320</v>
      </c>
    </row>
    <row r="78" spans="1:6" ht="52.8" x14ac:dyDescent="0.25">
      <c r="A78" s="32" t="s">
        <v>53</v>
      </c>
      <c r="B78" s="1" t="s">
        <v>745</v>
      </c>
      <c r="C78" s="2" t="s">
        <v>9</v>
      </c>
      <c r="D78" s="3">
        <v>24</v>
      </c>
      <c r="E78" s="34">
        <v>50</v>
      </c>
      <c r="F78" s="3">
        <f t="shared" si="6"/>
        <v>1200</v>
      </c>
    </row>
    <row r="79" spans="1:6" ht="39.6" x14ac:dyDescent="0.25">
      <c r="A79" s="32" t="s">
        <v>54</v>
      </c>
      <c r="B79" s="1" t="s">
        <v>651</v>
      </c>
      <c r="C79" s="2" t="s">
        <v>9</v>
      </c>
      <c r="D79" s="3">
        <v>136</v>
      </c>
      <c r="E79" s="34">
        <v>20</v>
      </c>
      <c r="F79" s="3">
        <f t="shared" si="6"/>
        <v>2720</v>
      </c>
    </row>
    <row r="80" spans="1:6" x14ac:dyDescent="0.25">
      <c r="A80" s="32" t="s">
        <v>55</v>
      </c>
      <c r="B80" s="1" t="s">
        <v>652</v>
      </c>
      <c r="C80" s="2" t="s">
        <v>10</v>
      </c>
      <c r="D80" s="3">
        <v>340</v>
      </c>
      <c r="E80" s="34">
        <v>19</v>
      </c>
      <c r="F80" s="3">
        <f t="shared" si="6"/>
        <v>6460</v>
      </c>
    </row>
    <row r="81" spans="1:6" ht="26.4" x14ac:dyDescent="0.25">
      <c r="A81" s="32" t="s">
        <v>56</v>
      </c>
      <c r="B81" s="1" t="s">
        <v>653</v>
      </c>
      <c r="C81" s="2" t="s">
        <v>10</v>
      </c>
      <c r="D81" s="3">
        <v>330</v>
      </c>
      <c r="E81" s="34">
        <v>4</v>
      </c>
      <c r="F81" s="3">
        <f t="shared" si="6"/>
        <v>1320</v>
      </c>
    </row>
    <row r="82" spans="1:6" ht="26.4" x14ac:dyDescent="0.25">
      <c r="A82" s="32" t="s">
        <v>654</v>
      </c>
      <c r="B82" s="1" t="s">
        <v>655</v>
      </c>
      <c r="C82" s="2" t="s">
        <v>10</v>
      </c>
      <c r="D82" s="3">
        <v>320</v>
      </c>
      <c r="E82" s="34">
        <v>4</v>
      </c>
      <c r="F82" s="3">
        <f t="shared" si="6"/>
        <v>1280</v>
      </c>
    </row>
    <row r="83" spans="1:6" ht="26.4" x14ac:dyDescent="0.25">
      <c r="A83" s="32" t="s">
        <v>656</v>
      </c>
      <c r="B83" s="59" t="s">
        <v>693</v>
      </c>
      <c r="C83" s="2" t="s">
        <v>8</v>
      </c>
      <c r="D83" s="51">
        <v>14</v>
      </c>
      <c r="E83" s="34">
        <v>40</v>
      </c>
      <c r="F83" s="3">
        <f>D83*$E83</f>
        <v>560</v>
      </c>
    </row>
    <row r="84" spans="1:6" x14ac:dyDescent="0.25">
      <c r="A84" s="32" t="s">
        <v>657</v>
      </c>
      <c r="B84" s="1" t="s">
        <v>658</v>
      </c>
      <c r="C84" s="2" t="s">
        <v>10</v>
      </c>
      <c r="D84" s="3">
        <v>320</v>
      </c>
      <c r="E84" s="34">
        <v>1</v>
      </c>
      <c r="F84" s="3">
        <f t="shared" ref="F84" si="7">D84*$E84</f>
        <v>320</v>
      </c>
    </row>
    <row r="85" spans="1:6" ht="198" x14ac:dyDescent="0.25">
      <c r="A85" s="32" t="s">
        <v>659</v>
      </c>
      <c r="B85" s="59" t="s">
        <v>660</v>
      </c>
      <c r="C85" s="2" t="s">
        <v>8</v>
      </c>
      <c r="D85" s="51">
        <v>14</v>
      </c>
      <c r="E85" s="34">
        <v>350</v>
      </c>
      <c r="F85" s="3">
        <f>D85*$E85</f>
        <v>4900</v>
      </c>
    </row>
    <row r="86" spans="1:6" ht="26.4" x14ac:dyDescent="0.25">
      <c r="A86" s="32" t="s">
        <v>661</v>
      </c>
      <c r="B86" s="1" t="s">
        <v>662</v>
      </c>
      <c r="C86" s="2" t="s">
        <v>10</v>
      </c>
      <c r="D86" s="3">
        <v>15</v>
      </c>
      <c r="E86" s="34">
        <v>20</v>
      </c>
      <c r="F86" s="3">
        <f t="shared" ref="F86" si="8">D86*$E86</f>
        <v>300</v>
      </c>
    </row>
    <row r="87" spans="1:6" ht="79.2" x14ac:dyDescent="0.25">
      <c r="A87" s="32" t="s">
        <v>663</v>
      </c>
      <c r="B87" s="59" t="s">
        <v>664</v>
      </c>
      <c r="C87" s="2" t="s">
        <v>46</v>
      </c>
      <c r="D87" s="51">
        <v>1</v>
      </c>
      <c r="E87" s="34">
        <v>500</v>
      </c>
      <c r="F87" s="3">
        <f>D87*$E87</f>
        <v>500</v>
      </c>
    </row>
    <row r="88" spans="1:6" ht="52.8" x14ac:dyDescent="0.25">
      <c r="A88" s="32" t="s">
        <v>665</v>
      </c>
      <c r="B88" s="59" t="s">
        <v>499</v>
      </c>
      <c r="C88" s="2" t="s">
        <v>46</v>
      </c>
      <c r="D88" s="51">
        <v>1</v>
      </c>
      <c r="E88" s="34">
        <v>500</v>
      </c>
      <c r="F88" s="3">
        <f>D88*$E88</f>
        <v>500</v>
      </c>
    </row>
    <row r="89" spans="1:6" x14ac:dyDescent="0.25">
      <c r="B89" s="44" t="s">
        <v>666</v>
      </c>
      <c r="C89" s="6"/>
      <c r="D89" s="6"/>
      <c r="E89" s="21"/>
      <c r="F89" s="42">
        <f>SUM(F74:F88)</f>
        <v>40280</v>
      </c>
    </row>
    <row r="90" spans="1:6" x14ac:dyDescent="0.25">
      <c r="D90" s="51"/>
    </row>
    <row r="93" spans="1:6" x14ac:dyDescent="0.25">
      <c r="A93" s="45"/>
      <c r="B93" s="23" t="s">
        <v>667</v>
      </c>
    </row>
    <row r="95" spans="1:6" x14ac:dyDescent="0.25">
      <c r="A95" s="45" t="s">
        <v>6</v>
      </c>
      <c r="B95" s="19" t="s">
        <v>91</v>
      </c>
      <c r="C95" s="22"/>
      <c r="D95" s="42"/>
      <c r="E95" s="49"/>
      <c r="F95" s="42">
        <f>SUM(F29)</f>
        <v>484775</v>
      </c>
    </row>
    <row r="96" spans="1:6" x14ac:dyDescent="0.25">
      <c r="A96" s="45" t="s">
        <v>11</v>
      </c>
      <c r="B96" s="23" t="s">
        <v>668</v>
      </c>
      <c r="C96" s="22"/>
      <c r="D96" s="42"/>
      <c r="E96" s="49"/>
      <c r="F96" s="42">
        <f>SUM(F71)</f>
        <v>108332</v>
      </c>
    </row>
    <row r="97" spans="1:6" x14ac:dyDescent="0.25">
      <c r="A97" s="45" t="s">
        <v>12</v>
      </c>
      <c r="B97" s="19" t="s">
        <v>501</v>
      </c>
      <c r="C97" s="22"/>
      <c r="D97" s="42"/>
      <c r="E97" s="49"/>
      <c r="F97" s="42">
        <f>SUM(F89)</f>
        <v>40280</v>
      </c>
    </row>
    <row r="98" spans="1:6" x14ac:dyDescent="0.25">
      <c r="A98" s="45"/>
      <c r="B98" s="19"/>
      <c r="C98" s="22"/>
      <c r="D98" s="42"/>
      <c r="E98" s="49"/>
      <c r="F98" s="42"/>
    </row>
    <row r="99" spans="1:6" x14ac:dyDescent="0.25">
      <c r="A99" s="45"/>
      <c r="B99" s="44" t="s">
        <v>687</v>
      </c>
      <c r="C99" s="22"/>
      <c r="D99" s="42"/>
      <c r="E99" s="49"/>
      <c r="F99" s="42">
        <f>SUM(F95:F97)</f>
        <v>633387</v>
      </c>
    </row>
  </sheetData>
  <sheetProtection algorithmName="SHA-512" hashValue="/fC3KQykG3aS1f6D3JBM/cPMwOY8JVrCNpZ5t8epiF9DY/iojKKdskA4cDvBsZ1JXn2+eGk/e2mug2trWnorOw==" saltValue="xpiLJGRdIio7LD2WAEA99Q==" spinCount="100000" sheet="1" selectLockedCells="1"/>
  <printOptions horizontalCentered="1" gridLines="1"/>
  <pageMargins left="0.70866141732283472" right="0.70866141732283472" top="0.74803149606299213" bottom="0.74803149606299213" header="0.31496062992125984" footer="0.31496062992125984"/>
  <pageSetup paperSize="9" scale="90" orientation="portrait" r:id="rId1"/>
  <headerFooter>
    <oddHeader>&amp;L&amp;"Arial,Uobičajeno"&amp;10Ministarstvo unutarnjih poslova RH&amp;R&amp;"Arial,Uobičajeno"&amp;10Logistički centar civilne zaštite u Jastrebarskom</oddHeader>
    <oddFooter>&amp;L&amp;"Arial,Uobičajeno"&amp;10Troškovnik radova na uređenju otvorenih platoa br. 4 i 5&amp;Rstranica &amp;P od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9"/>
  <sheetViews>
    <sheetView showZeros="0" workbookViewId="0">
      <selection activeCell="E8" sqref="E8"/>
    </sheetView>
  </sheetViews>
  <sheetFormatPr defaultRowHeight="13.2" x14ac:dyDescent="0.25"/>
  <cols>
    <col min="1" max="1" width="6.109375" style="32" customWidth="1"/>
    <col min="2" max="2" width="50.6640625" style="1" customWidth="1"/>
    <col min="3" max="3" width="5.6640625" style="2" customWidth="1"/>
    <col min="4" max="4" width="9.6640625" style="3" customWidth="1"/>
    <col min="5" max="5" width="10.88671875" style="34" customWidth="1"/>
    <col min="6" max="6" width="13.6640625" style="3" customWidth="1"/>
    <col min="7" max="213" width="9.109375" style="6"/>
    <col min="214" max="214" width="7.44140625" style="6" customWidth="1"/>
    <col min="215" max="215" width="51.88671875" style="6" customWidth="1"/>
    <col min="216" max="216" width="7.44140625" style="6" customWidth="1"/>
    <col min="217" max="217" width="11.33203125" style="6" customWidth="1"/>
    <col min="218" max="218" width="12.5546875" style="6" customWidth="1"/>
    <col min="219" max="219" width="16.44140625" style="6" customWidth="1"/>
    <col min="220" max="469" width="9.109375" style="6"/>
    <col min="470" max="470" width="7.44140625" style="6" customWidth="1"/>
    <col min="471" max="471" width="51.88671875" style="6" customWidth="1"/>
    <col min="472" max="472" width="7.44140625" style="6" customWidth="1"/>
    <col min="473" max="473" width="11.33203125" style="6" customWidth="1"/>
    <col min="474" max="474" width="12.5546875" style="6" customWidth="1"/>
    <col min="475" max="475" width="16.44140625" style="6" customWidth="1"/>
    <col min="476" max="725" width="9.109375" style="6"/>
    <col min="726" max="726" width="7.44140625" style="6" customWidth="1"/>
    <col min="727" max="727" width="51.88671875" style="6" customWidth="1"/>
    <col min="728" max="728" width="7.44140625" style="6" customWidth="1"/>
    <col min="729" max="729" width="11.33203125" style="6" customWidth="1"/>
    <col min="730" max="730" width="12.5546875" style="6" customWidth="1"/>
    <col min="731" max="731" width="16.44140625" style="6" customWidth="1"/>
    <col min="732" max="981" width="9.109375" style="6"/>
    <col min="982" max="982" width="7.44140625" style="6" customWidth="1"/>
    <col min="983" max="983" width="51.88671875" style="6" customWidth="1"/>
    <col min="984" max="984" width="7.44140625" style="6" customWidth="1"/>
    <col min="985" max="985" width="11.33203125" style="6" customWidth="1"/>
    <col min="986" max="986" width="12.5546875" style="6" customWidth="1"/>
    <col min="987" max="987" width="16.44140625" style="6" customWidth="1"/>
    <col min="988" max="1237" width="9.109375" style="6"/>
    <col min="1238" max="1238" width="7.44140625" style="6" customWidth="1"/>
    <col min="1239" max="1239" width="51.88671875" style="6" customWidth="1"/>
    <col min="1240" max="1240" width="7.44140625" style="6" customWidth="1"/>
    <col min="1241" max="1241" width="11.33203125" style="6" customWidth="1"/>
    <col min="1242" max="1242" width="12.5546875" style="6" customWidth="1"/>
    <col min="1243" max="1243" width="16.44140625" style="6" customWidth="1"/>
    <col min="1244" max="1493" width="9.109375" style="6"/>
    <col min="1494" max="1494" width="7.44140625" style="6" customWidth="1"/>
    <col min="1495" max="1495" width="51.88671875" style="6" customWidth="1"/>
    <col min="1496" max="1496" width="7.44140625" style="6" customWidth="1"/>
    <col min="1497" max="1497" width="11.33203125" style="6" customWidth="1"/>
    <col min="1498" max="1498" width="12.5546875" style="6" customWidth="1"/>
    <col min="1499" max="1499" width="16.44140625" style="6" customWidth="1"/>
    <col min="1500" max="1749" width="9.109375" style="6"/>
    <col min="1750" max="1750" width="7.44140625" style="6" customWidth="1"/>
    <col min="1751" max="1751" width="51.88671875" style="6" customWidth="1"/>
    <col min="1752" max="1752" width="7.44140625" style="6" customWidth="1"/>
    <col min="1753" max="1753" width="11.33203125" style="6" customWidth="1"/>
    <col min="1754" max="1754" width="12.5546875" style="6" customWidth="1"/>
    <col min="1755" max="1755" width="16.44140625" style="6" customWidth="1"/>
    <col min="1756" max="2005" width="9.109375" style="6"/>
    <col min="2006" max="2006" width="7.44140625" style="6" customWidth="1"/>
    <col min="2007" max="2007" width="51.88671875" style="6" customWidth="1"/>
    <col min="2008" max="2008" width="7.44140625" style="6" customWidth="1"/>
    <col min="2009" max="2009" width="11.33203125" style="6" customWidth="1"/>
    <col min="2010" max="2010" width="12.5546875" style="6" customWidth="1"/>
    <col min="2011" max="2011" width="16.44140625" style="6" customWidth="1"/>
    <col min="2012" max="2261" width="9.109375" style="6"/>
    <col min="2262" max="2262" width="7.44140625" style="6" customWidth="1"/>
    <col min="2263" max="2263" width="51.88671875" style="6" customWidth="1"/>
    <col min="2264" max="2264" width="7.44140625" style="6" customWidth="1"/>
    <col min="2265" max="2265" width="11.33203125" style="6" customWidth="1"/>
    <col min="2266" max="2266" width="12.5546875" style="6" customWidth="1"/>
    <col min="2267" max="2267" width="16.44140625" style="6" customWidth="1"/>
    <col min="2268" max="2517" width="9.109375" style="6"/>
    <col min="2518" max="2518" width="7.44140625" style="6" customWidth="1"/>
    <col min="2519" max="2519" width="51.88671875" style="6" customWidth="1"/>
    <col min="2520" max="2520" width="7.44140625" style="6" customWidth="1"/>
    <col min="2521" max="2521" width="11.33203125" style="6" customWidth="1"/>
    <col min="2522" max="2522" width="12.5546875" style="6" customWidth="1"/>
    <col min="2523" max="2523" width="16.44140625" style="6" customWidth="1"/>
    <col min="2524" max="2773" width="9.109375" style="6"/>
    <col min="2774" max="2774" width="7.44140625" style="6" customWidth="1"/>
    <col min="2775" max="2775" width="51.88671875" style="6" customWidth="1"/>
    <col min="2776" max="2776" width="7.44140625" style="6" customWidth="1"/>
    <col min="2777" max="2777" width="11.33203125" style="6" customWidth="1"/>
    <col min="2778" max="2778" width="12.5546875" style="6" customWidth="1"/>
    <col min="2779" max="2779" width="16.44140625" style="6" customWidth="1"/>
    <col min="2780" max="3029" width="9.109375" style="6"/>
    <col min="3030" max="3030" width="7.44140625" style="6" customWidth="1"/>
    <col min="3031" max="3031" width="51.88671875" style="6" customWidth="1"/>
    <col min="3032" max="3032" width="7.44140625" style="6" customWidth="1"/>
    <col min="3033" max="3033" width="11.33203125" style="6" customWidth="1"/>
    <col min="3034" max="3034" width="12.5546875" style="6" customWidth="1"/>
    <col min="3035" max="3035" width="16.44140625" style="6" customWidth="1"/>
    <col min="3036" max="3285" width="9.109375" style="6"/>
    <col min="3286" max="3286" width="7.44140625" style="6" customWidth="1"/>
    <col min="3287" max="3287" width="51.88671875" style="6" customWidth="1"/>
    <col min="3288" max="3288" width="7.44140625" style="6" customWidth="1"/>
    <col min="3289" max="3289" width="11.33203125" style="6" customWidth="1"/>
    <col min="3290" max="3290" width="12.5546875" style="6" customWidth="1"/>
    <col min="3291" max="3291" width="16.44140625" style="6" customWidth="1"/>
    <col min="3292" max="3541" width="9.109375" style="6"/>
    <col min="3542" max="3542" width="7.44140625" style="6" customWidth="1"/>
    <col min="3543" max="3543" width="51.88671875" style="6" customWidth="1"/>
    <col min="3544" max="3544" width="7.44140625" style="6" customWidth="1"/>
    <col min="3545" max="3545" width="11.33203125" style="6" customWidth="1"/>
    <col min="3546" max="3546" width="12.5546875" style="6" customWidth="1"/>
    <col min="3547" max="3547" width="16.44140625" style="6" customWidth="1"/>
    <col min="3548" max="3797" width="9.109375" style="6"/>
    <col min="3798" max="3798" width="7.44140625" style="6" customWidth="1"/>
    <col min="3799" max="3799" width="51.88671875" style="6" customWidth="1"/>
    <col min="3800" max="3800" width="7.44140625" style="6" customWidth="1"/>
    <col min="3801" max="3801" width="11.33203125" style="6" customWidth="1"/>
    <col min="3802" max="3802" width="12.5546875" style="6" customWidth="1"/>
    <col min="3803" max="3803" width="16.44140625" style="6" customWidth="1"/>
    <col min="3804" max="4053" width="9.109375" style="6"/>
    <col min="4054" max="4054" width="7.44140625" style="6" customWidth="1"/>
    <col min="4055" max="4055" width="51.88671875" style="6" customWidth="1"/>
    <col min="4056" max="4056" width="7.44140625" style="6" customWidth="1"/>
    <col min="4057" max="4057" width="11.33203125" style="6" customWidth="1"/>
    <col min="4058" max="4058" width="12.5546875" style="6" customWidth="1"/>
    <col min="4059" max="4059" width="16.44140625" style="6" customWidth="1"/>
    <col min="4060" max="4309" width="9.109375" style="6"/>
    <col min="4310" max="4310" width="7.44140625" style="6" customWidth="1"/>
    <col min="4311" max="4311" width="51.88671875" style="6" customWidth="1"/>
    <col min="4312" max="4312" width="7.44140625" style="6" customWidth="1"/>
    <col min="4313" max="4313" width="11.33203125" style="6" customWidth="1"/>
    <col min="4314" max="4314" width="12.5546875" style="6" customWidth="1"/>
    <col min="4315" max="4315" width="16.44140625" style="6" customWidth="1"/>
    <col min="4316" max="4565" width="9.109375" style="6"/>
    <col min="4566" max="4566" width="7.44140625" style="6" customWidth="1"/>
    <col min="4567" max="4567" width="51.88671875" style="6" customWidth="1"/>
    <col min="4568" max="4568" width="7.44140625" style="6" customWidth="1"/>
    <col min="4569" max="4569" width="11.33203125" style="6" customWidth="1"/>
    <col min="4570" max="4570" width="12.5546875" style="6" customWidth="1"/>
    <col min="4571" max="4571" width="16.44140625" style="6" customWidth="1"/>
    <col min="4572" max="4821" width="9.109375" style="6"/>
    <col min="4822" max="4822" width="7.44140625" style="6" customWidth="1"/>
    <col min="4823" max="4823" width="51.88671875" style="6" customWidth="1"/>
    <col min="4824" max="4824" width="7.44140625" style="6" customWidth="1"/>
    <col min="4825" max="4825" width="11.33203125" style="6" customWidth="1"/>
    <col min="4826" max="4826" width="12.5546875" style="6" customWidth="1"/>
    <col min="4827" max="4827" width="16.44140625" style="6" customWidth="1"/>
    <col min="4828" max="5077" width="9.109375" style="6"/>
    <col min="5078" max="5078" width="7.44140625" style="6" customWidth="1"/>
    <col min="5079" max="5079" width="51.88671875" style="6" customWidth="1"/>
    <col min="5080" max="5080" width="7.44140625" style="6" customWidth="1"/>
    <col min="5081" max="5081" width="11.33203125" style="6" customWidth="1"/>
    <col min="5082" max="5082" width="12.5546875" style="6" customWidth="1"/>
    <col min="5083" max="5083" width="16.44140625" style="6" customWidth="1"/>
    <col min="5084" max="5333" width="9.109375" style="6"/>
    <col min="5334" max="5334" width="7.44140625" style="6" customWidth="1"/>
    <col min="5335" max="5335" width="51.88671875" style="6" customWidth="1"/>
    <col min="5336" max="5336" width="7.44140625" style="6" customWidth="1"/>
    <col min="5337" max="5337" width="11.33203125" style="6" customWidth="1"/>
    <col min="5338" max="5338" width="12.5546875" style="6" customWidth="1"/>
    <col min="5339" max="5339" width="16.44140625" style="6" customWidth="1"/>
    <col min="5340" max="5589" width="9.109375" style="6"/>
    <col min="5590" max="5590" width="7.44140625" style="6" customWidth="1"/>
    <col min="5591" max="5591" width="51.88671875" style="6" customWidth="1"/>
    <col min="5592" max="5592" width="7.44140625" style="6" customWidth="1"/>
    <col min="5593" max="5593" width="11.33203125" style="6" customWidth="1"/>
    <col min="5594" max="5594" width="12.5546875" style="6" customWidth="1"/>
    <col min="5595" max="5595" width="16.44140625" style="6" customWidth="1"/>
    <col min="5596" max="5845" width="9.109375" style="6"/>
    <col min="5846" max="5846" width="7.44140625" style="6" customWidth="1"/>
    <col min="5847" max="5847" width="51.88671875" style="6" customWidth="1"/>
    <col min="5848" max="5848" width="7.44140625" style="6" customWidth="1"/>
    <col min="5849" max="5849" width="11.33203125" style="6" customWidth="1"/>
    <col min="5850" max="5850" width="12.5546875" style="6" customWidth="1"/>
    <col min="5851" max="5851" width="16.44140625" style="6" customWidth="1"/>
    <col min="5852" max="6101" width="9.109375" style="6"/>
    <col min="6102" max="6102" width="7.44140625" style="6" customWidth="1"/>
    <col min="6103" max="6103" width="51.88671875" style="6" customWidth="1"/>
    <col min="6104" max="6104" width="7.44140625" style="6" customWidth="1"/>
    <col min="6105" max="6105" width="11.33203125" style="6" customWidth="1"/>
    <col min="6106" max="6106" width="12.5546875" style="6" customWidth="1"/>
    <col min="6107" max="6107" width="16.44140625" style="6" customWidth="1"/>
    <col min="6108" max="6357" width="9.109375" style="6"/>
    <col min="6358" max="6358" width="7.44140625" style="6" customWidth="1"/>
    <col min="6359" max="6359" width="51.88671875" style="6" customWidth="1"/>
    <col min="6360" max="6360" width="7.44140625" style="6" customWidth="1"/>
    <col min="6361" max="6361" width="11.33203125" style="6" customWidth="1"/>
    <col min="6362" max="6362" width="12.5546875" style="6" customWidth="1"/>
    <col min="6363" max="6363" width="16.44140625" style="6" customWidth="1"/>
    <col min="6364" max="6613" width="9.109375" style="6"/>
    <col min="6614" max="6614" width="7.44140625" style="6" customWidth="1"/>
    <col min="6615" max="6615" width="51.88671875" style="6" customWidth="1"/>
    <col min="6616" max="6616" width="7.44140625" style="6" customWidth="1"/>
    <col min="6617" max="6617" width="11.33203125" style="6" customWidth="1"/>
    <col min="6618" max="6618" width="12.5546875" style="6" customWidth="1"/>
    <col min="6619" max="6619" width="16.44140625" style="6" customWidth="1"/>
    <col min="6620" max="6869" width="9.109375" style="6"/>
    <col min="6870" max="6870" width="7.44140625" style="6" customWidth="1"/>
    <col min="6871" max="6871" width="51.88671875" style="6" customWidth="1"/>
    <col min="6872" max="6872" width="7.44140625" style="6" customWidth="1"/>
    <col min="6873" max="6873" width="11.33203125" style="6" customWidth="1"/>
    <col min="6874" max="6874" width="12.5546875" style="6" customWidth="1"/>
    <col min="6875" max="6875" width="16.44140625" style="6" customWidth="1"/>
    <col min="6876" max="7125" width="9.109375" style="6"/>
    <col min="7126" max="7126" width="7.44140625" style="6" customWidth="1"/>
    <col min="7127" max="7127" width="51.88671875" style="6" customWidth="1"/>
    <col min="7128" max="7128" width="7.44140625" style="6" customWidth="1"/>
    <col min="7129" max="7129" width="11.33203125" style="6" customWidth="1"/>
    <col min="7130" max="7130" width="12.5546875" style="6" customWidth="1"/>
    <col min="7131" max="7131" width="16.44140625" style="6" customWidth="1"/>
    <col min="7132" max="7381" width="9.109375" style="6"/>
    <col min="7382" max="7382" width="7.44140625" style="6" customWidth="1"/>
    <col min="7383" max="7383" width="51.88671875" style="6" customWidth="1"/>
    <col min="7384" max="7384" width="7.44140625" style="6" customWidth="1"/>
    <col min="7385" max="7385" width="11.33203125" style="6" customWidth="1"/>
    <col min="7386" max="7386" width="12.5546875" style="6" customWidth="1"/>
    <col min="7387" max="7387" width="16.44140625" style="6" customWidth="1"/>
    <col min="7388" max="7637" width="9.109375" style="6"/>
    <col min="7638" max="7638" width="7.44140625" style="6" customWidth="1"/>
    <col min="7639" max="7639" width="51.88671875" style="6" customWidth="1"/>
    <col min="7640" max="7640" width="7.44140625" style="6" customWidth="1"/>
    <col min="7641" max="7641" width="11.33203125" style="6" customWidth="1"/>
    <col min="7642" max="7642" width="12.5546875" style="6" customWidth="1"/>
    <col min="7643" max="7643" width="16.44140625" style="6" customWidth="1"/>
    <col min="7644" max="7893" width="9.109375" style="6"/>
    <col min="7894" max="7894" width="7.44140625" style="6" customWidth="1"/>
    <col min="7895" max="7895" width="51.88671875" style="6" customWidth="1"/>
    <col min="7896" max="7896" width="7.44140625" style="6" customWidth="1"/>
    <col min="7897" max="7897" width="11.33203125" style="6" customWidth="1"/>
    <col min="7898" max="7898" width="12.5546875" style="6" customWidth="1"/>
    <col min="7899" max="7899" width="16.44140625" style="6" customWidth="1"/>
    <col min="7900" max="8149" width="9.109375" style="6"/>
    <col min="8150" max="8150" width="7.44140625" style="6" customWidth="1"/>
    <col min="8151" max="8151" width="51.88671875" style="6" customWidth="1"/>
    <col min="8152" max="8152" width="7.44140625" style="6" customWidth="1"/>
    <col min="8153" max="8153" width="11.33203125" style="6" customWidth="1"/>
    <col min="8154" max="8154" width="12.5546875" style="6" customWidth="1"/>
    <col min="8155" max="8155" width="16.44140625" style="6" customWidth="1"/>
    <col min="8156" max="8405" width="9.109375" style="6"/>
    <col min="8406" max="8406" width="7.44140625" style="6" customWidth="1"/>
    <col min="8407" max="8407" width="51.88671875" style="6" customWidth="1"/>
    <col min="8408" max="8408" width="7.44140625" style="6" customWidth="1"/>
    <col min="8409" max="8409" width="11.33203125" style="6" customWidth="1"/>
    <col min="8410" max="8410" width="12.5546875" style="6" customWidth="1"/>
    <col min="8411" max="8411" width="16.44140625" style="6" customWidth="1"/>
    <col min="8412" max="8661" width="9.109375" style="6"/>
    <col min="8662" max="8662" width="7.44140625" style="6" customWidth="1"/>
    <col min="8663" max="8663" width="51.88671875" style="6" customWidth="1"/>
    <col min="8664" max="8664" width="7.44140625" style="6" customWidth="1"/>
    <col min="8665" max="8665" width="11.33203125" style="6" customWidth="1"/>
    <col min="8666" max="8666" width="12.5546875" style="6" customWidth="1"/>
    <col min="8667" max="8667" width="16.44140625" style="6" customWidth="1"/>
    <col min="8668" max="8917" width="9.109375" style="6"/>
    <col min="8918" max="8918" width="7.44140625" style="6" customWidth="1"/>
    <col min="8919" max="8919" width="51.88671875" style="6" customWidth="1"/>
    <col min="8920" max="8920" width="7.44140625" style="6" customWidth="1"/>
    <col min="8921" max="8921" width="11.33203125" style="6" customWidth="1"/>
    <col min="8922" max="8922" width="12.5546875" style="6" customWidth="1"/>
    <col min="8923" max="8923" width="16.44140625" style="6" customWidth="1"/>
    <col min="8924" max="9173" width="9.109375" style="6"/>
    <col min="9174" max="9174" width="7.44140625" style="6" customWidth="1"/>
    <col min="9175" max="9175" width="51.88671875" style="6" customWidth="1"/>
    <col min="9176" max="9176" width="7.44140625" style="6" customWidth="1"/>
    <col min="9177" max="9177" width="11.33203125" style="6" customWidth="1"/>
    <col min="9178" max="9178" width="12.5546875" style="6" customWidth="1"/>
    <col min="9179" max="9179" width="16.44140625" style="6" customWidth="1"/>
    <col min="9180" max="9429" width="9.109375" style="6"/>
    <col min="9430" max="9430" width="7.44140625" style="6" customWidth="1"/>
    <col min="9431" max="9431" width="51.88671875" style="6" customWidth="1"/>
    <col min="9432" max="9432" width="7.44140625" style="6" customWidth="1"/>
    <col min="9433" max="9433" width="11.33203125" style="6" customWidth="1"/>
    <col min="9434" max="9434" width="12.5546875" style="6" customWidth="1"/>
    <col min="9435" max="9435" width="16.44140625" style="6" customWidth="1"/>
    <col min="9436" max="9685" width="9.109375" style="6"/>
    <col min="9686" max="9686" width="7.44140625" style="6" customWidth="1"/>
    <col min="9687" max="9687" width="51.88671875" style="6" customWidth="1"/>
    <col min="9688" max="9688" width="7.44140625" style="6" customWidth="1"/>
    <col min="9689" max="9689" width="11.33203125" style="6" customWidth="1"/>
    <col min="9690" max="9690" width="12.5546875" style="6" customWidth="1"/>
    <col min="9691" max="9691" width="16.44140625" style="6" customWidth="1"/>
    <col min="9692" max="9941" width="9.109375" style="6"/>
    <col min="9942" max="9942" width="7.44140625" style="6" customWidth="1"/>
    <col min="9943" max="9943" width="51.88671875" style="6" customWidth="1"/>
    <col min="9944" max="9944" width="7.44140625" style="6" customWidth="1"/>
    <col min="9945" max="9945" width="11.33203125" style="6" customWidth="1"/>
    <col min="9946" max="9946" width="12.5546875" style="6" customWidth="1"/>
    <col min="9947" max="9947" width="16.44140625" style="6" customWidth="1"/>
    <col min="9948" max="10197" width="9.109375" style="6"/>
    <col min="10198" max="10198" width="7.44140625" style="6" customWidth="1"/>
    <col min="10199" max="10199" width="51.88671875" style="6" customWidth="1"/>
    <col min="10200" max="10200" width="7.44140625" style="6" customWidth="1"/>
    <col min="10201" max="10201" width="11.33203125" style="6" customWidth="1"/>
    <col min="10202" max="10202" width="12.5546875" style="6" customWidth="1"/>
    <col min="10203" max="10203" width="16.44140625" style="6" customWidth="1"/>
    <col min="10204" max="10453" width="9.109375" style="6"/>
    <col min="10454" max="10454" width="7.44140625" style="6" customWidth="1"/>
    <col min="10455" max="10455" width="51.88671875" style="6" customWidth="1"/>
    <col min="10456" max="10456" width="7.44140625" style="6" customWidth="1"/>
    <col min="10457" max="10457" width="11.33203125" style="6" customWidth="1"/>
    <col min="10458" max="10458" width="12.5546875" style="6" customWidth="1"/>
    <col min="10459" max="10459" width="16.44140625" style="6" customWidth="1"/>
    <col min="10460" max="10709" width="9.109375" style="6"/>
    <col min="10710" max="10710" width="7.44140625" style="6" customWidth="1"/>
    <col min="10711" max="10711" width="51.88671875" style="6" customWidth="1"/>
    <col min="10712" max="10712" width="7.44140625" style="6" customWidth="1"/>
    <col min="10713" max="10713" width="11.33203125" style="6" customWidth="1"/>
    <col min="10714" max="10714" width="12.5546875" style="6" customWidth="1"/>
    <col min="10715" max="10715" width="16.44140625" style="6" customWidth="1"/>
    <col min="10716" max="10965" width="9.109375" style="6"/>
    <col min="10966" max="10966" width="7.44140625" style="6" customWidth="1"/>
    <col min="10967" max="10967" width="51.88671875" style="6" customWidth="1"/>
    <col min="10968" max="10968" width="7.44140625" style="6" customWidth="1"/>
    <col min="10969" max="10969" width="11.33203125" style="6" customWidth="1"/>
    <col min="10970" max="10970" width="12.5546875" style="6" customWidth="1"/>
    <col min="10971" max="10971" width="16.44140625" style="6" customWidth="1"/>
    <col min="10972" max="11221" width="9.109375" style="6"/>
    <col min="11222" max="11222" width="7.44140625" style="6" customWidth="1"/>
    <col min="11223" max="11223" width="51.88671875" style="6" customWidth="1"/>
    <col min="11224" max="11224" width="7.44140625" style="6" customWidth="1"/>
    <col min="11225" max="11225" width="11.33203125" style="6" customWidth="1"/>
    <col min="11226" max="11226" width="12.5546875" style="6" customWidth="1"/>
    <col min="11227" max="11227" width="16.44140625" style="6" customWidth="1"/>
    <col min="11228" max="11477" width="9.109375" style="6"/>
    <col min="11478" max="11478" width="7.44140625" style="6" customWidth="1"/>
    <col min="11479" max="11479" width="51.88671875" style="6" customWidth="1"/>
    <col min="11480" max="11480" width="7.44140625" style="6" customWidth="1"/>
    <col min="11481" max="11481" width="11.33203125" style="6" customWidth="1"/>
    <col min="11482" max="11482" width="12.5546875" style="6" customWidth="1"/>
    <col min="11483" max="11483" width="16.44140625" style="6" customWidth="1"/>
    <col min="11484" max="11733" width="9.109375" style="6"/>
    <col min="11734" max="11734" width="7.44140625" style="6" customWidth="1"/>
    <col min="11735" max="11735" width="51.88671875" style="6" customWidth="1"/>
    <col min="11736" max="11736" width="7.44140625" style="6" customWidth="1"/>
    <col min="11737" max="11737" width="11.33203125" style="6" customWidth="1"/>
    <col min="11738" max="11738" width="12.5546875" style="6" customWidth="1"/>
    <col min="11739" max="11739" width="16.44140625" style="6" customWidth="1"/>
    <col min="11740" max="11989" width="9.109375" style="6"/>
    <col min="11990" max="11990" width="7.44140625" style="6" customWidth="1"/>
    <col min="11991" max="11991" width="51.88671875" style="6" customWidth="1"/>
    <col min="11992" max="11992" width="7.44140625" style="6" customWidth="1"/>
    <col min="11993" max="11993" width="11.33203125" style="6" customWidth="1"/>
    <col min="11994" max="11994" width="12.5546875" style="6" customWidth="1"/>
    <col min="11995" max="11995" width="16.44140625" style="6" customWidth="1"/>
    <col min="11996" max="12245" width="9.109375" style="6"/>
    <col min="12246" max="12246" width="7.44140625" style="6" customWidth="1"/>
    <col min="12247" max="12247" width="51.88671875" style="6" customWidth="1"/>
    <col min="12248" max="12248" width="7.44140625" style="6" customWidth="1"/>
    <col min="12249" max="12249" width="11.33203125" style="6" customWidth="1"/>
    <col min="12250" max="12250" width="12.5546875" style="6" customWidth="1"/>
    <col min="12251" max="12251" width="16.44140625" style="6" customWidth="1"/>
    <col min="12252" max="12501" width="9.109375" style="6"/>
    <col min="12502" max="12502" width="7.44140625" style="6" customWidth="1"/>
    <col min="12503" max="12503" width="51.88671875" style="6" customWidth="1"/>
    <col min="12504" max="12504" width="7.44140625" style="6" customWidth="1"/>
    <col min="12505" max="12505" width="11.33203125" style="6" customWidth="1"/>
    <col min="12506" max="12506" width="12.5546875" style="6" customWidth="1"/>
    <col min="12507" max="12507" width="16.44140625" style="6" customWidth="1"/>
    <col min="12508" max="12757" width="9.109375" style="6"/>
    <col min="12758" max="12758" width="7.44140625" style="6" customWidth="1"/>
    <col min="12759" max="12759" width="51.88671875" style="6" customWidth="1"/>
    <col min="12760" max="12760" width="7.44140625" style="6" customWidth="1"/>
    <col min="12761" max="12761" width="11.33203125" style="6" customWidth="1"/>
    <col min="12762" max="12762" width="12.5546875" style="6" customWidth="1"/>
    <col min="12763" max="12763" width="16.44140625" style="6" customWidth="1"/>
    <col min="12764" max="13013" width="9.109375" style="6"/>
    <col min="13014" max="13014" width="7.44140625" style="6" customWidth="1"/>
    <col min="13015" max="13015" width="51.88671875" style="6" customWidth="1"/>
    <col min="13016" max="13016" width="7.44140625" style="6" customWidth="1"/>
    <col min="13017" max="13017" width="11.33203125" style="6" customWidth="1"/>
    <col min="13018" max="13018" width="12.5546875" style="6" customWidth="1"/>
    <col min="13019" max="13019" width="16.44140625" style="6" customWidth="1"/>
    <col min="13020" max="13269" width="9.109375" style="6"/>
    <col min="13270" max="13270" width="7.44140625" style="6" customWidth="1"/>
    <col min="13271" max="13271" width="51.88671875" style="6" customWidth="1"/>
    <col min="13272" max="13272" width="7.44140625" style="6" customWidth="1"/>
    <col min="13273" max="13273" width="11.33203125" style="6" customWidth="1"/>
    <col min="13274" max="13274" width="12.5546875" style="6" customWidth="1"/>
    <col min="13275" max="13275" width="16.44140625" style="6" customWidth="1"/>
    <col min="13276" max="13525" width="9.109375" style="6"/>
    <col min="13526" max="13526" width="7.44140625" style="6" customWidth="1"/>
    <col min="13527" max="13527" width="51.88671875" style="6" customWidth="1"/>
    <col min="13528" max="13528" width="7.44140625" style="6" customWidth="1"/>
    <col min="13529" max="13529" width="11.33203125" style="6" customWidth="1"/>
    <col min="13530" max="13530" width="12.5546875" style="6" customWidth="1"/>
    <col min="13531" max="13531" width="16.44140625" style="6" customWidth="1"/>
    <col min="13532" max="13781" width="9.109375" style="6"/>
    <col min="13782" max="13782" width="7.44140625" style="6" customWidth="1"/>
    <col min="13783" max="13783" width="51.88671875" style="6" customWidth="1"/>
    <col min="13784" max="13784" width="7.44140625" style="6" customWidth="1"/>
    <col min="13785" max="13785" width="11.33203125" style="6" customWidth="1"/>
    <col min="13786" max="13786" width="12.5546875" style="6" customWidth="1"/>
    <col min="13787" max="13787" width="16.44140625" style="6" customWidth="1"/>
    <col min="13788" max="14037" width="9.109375" style="6"/>
    <col min="14038" max="14038" width="7.44140625" style="6" customWidth="1"/>
    <col min="14039" max="14039" width="51.88671875" style="6" customWidth="1"/>
    <col min="14040" max="14040" width="7.44140625" style="6" customWidth="1"/>
    <col min="14041" max="14041" width="11.33203125" style="6" customWidth="1"/>
    <col min="14042" max="14042" width="12.5546875" style="6" customWidth="1"/>
    <col min="14043" max="14043" width="16.44140625" style="6" customWidth="1"/>
    <col min="14044" max="14293" width="9.109375" style="6"/>
    <col min="14294" max="14294" width="7.44140625" style="6" customWidth="1"/>
    <col min="14295" max="14295" width="51.88671875" style="6" customWidth="1"/>
    <col min="14296" max="14296" width="7.44140625" style="6" customWidth="1"/>
    <col min="14297" max="14297" width="11.33203125" style="6" customWidth="1"/>
    <col min="14298" max="14298" width="12.5546875" style="6" customWidth="1"/>
    <col min="14299" max="14299" width="16.44140625" style="6" customWidth="1"/>
    <col min="14300" max="14549" width="9.109375" style="6"/>
    <col min="14550" max="14550" width="7.44140625" style="6" customWidth="1"/>
    <col min="14551" max="14551" width="51.88671875" style="6" customWidth="1"/>
    <col min="14552" max="14552" width="7.44140625" style="6" customWidth="1"/>
    <col min="14553" max="14553" width="11.33203125" style="6" customWidth="1"/>
    <col min="14554" max="14554" width="12.5546875" style="6" customWidth="1"/>
    <col min="14555" max="14555" width="16.44140625" style="6" customWidth="1"/>
    <col min="14556" max="14805" width="9.109375" style="6"/>
    <col min="14806" max="14806" width="7.44140625" style="6" customWidth="1"/>
    <col min="14807" max="14807" width="51.88671875" style="6" customWidth="1"/>
    <col min="14808" max="14808" width="7.44140625" style="6" customWidth="1"/>
    <col min="14809" max="14809" width="11.33203125" style="6" customWidth="1"/>
    <col min="14810" max="14810" width="12.5546875" style="6" customWidth="1"/>
    <col min="14811" max="14811" width="16.44140625" style="6" customWidth="1"/>
    <col min="14812" max="15061" width="9.109375" style="6"/>
    <col min="15062" max="15062" width="7.44140625" style="6" customWidth="1"/>
    <col min="15063" max="15063" width="51.88671875" style="6" customWidth="1"/>
    <col min="15064" max="15064" width="7.44140625" style="6" customWidth="1"/>
    <col min="15065" max="15065" width="11.33203125" style="6" customWidth="1"/>
    <col min="15066" max="15066" width="12.5546875" style="6" customWidth="1"/>
    <col min="15067" max="15067" width="16.44140625" style="6" customWidth="1"/>
    <col min="15068" max="15317" width="9.109375" style="6"/>
    <col min="15318" max="15318" width="7.44140625" style="6" customWidth="1"/>
    <col min="15319" max="15319" width="51.88671875" style="6" customWidth="1"/>
    <col min="15320" max="15320" width="7.44140625" style="6" customWidth="1"/>
    <col min="15321" max="15321" width="11.33203125" style="6" customWidth="1"/>
    <col min="15322" max="15322" width="12.5546875" style="6" customWidth="1"/>
    <col min="15323" max="15323" width="16.44140625" style="6" customWidth="1"/>
    <col min="15324" max="15573" width="9.109375" style="6"/>
    <col min="15574" max="15574" width="7.44140625" style="6" customWidth="1"/>
    <col min="15575" max="15575" width="51.88671875" style="6" customWidth="1"/>
    <col min="15576" max="15576" width="7.44140625" style="6" customWidth="1"/>
    <col min="15577" max="15577" width="11.33203125" style="6" customWidth="1"/>
    <col min="15578" max="15578" width="12.5546875" style="6" customWidth="1"/>
    <col min="15579" max="15579" width="16.44140625" style="6" customWidth="1"/>
    <col min="15580" max="15829" width="9.109375" style="6"/>
    <col min="15830" max="15830" width="7.44140625" style="6" customWidth="1"/>
    <col min="15831" max="15831" width="51.88671875" style="6" customWidth="1"/>
    <col min="15832" max="15832" width="7.44140625" style="6" customWidth="1"/>
    <col min="15833" max="15833" width="11.33203125" style="6" customWidth="1"/>
    <col min="15834" max="15834" width="12.5546875" style="6" customWidth="1"/>
    <col min="15835" max="15835" width="16.44140625" style="6" customWidth="1"/>
    <col min="15836" max="16085" width="9.109375" style="6"/>
    <col min="16086" max="16086" width="7.44140625" style="6" customWidth="1"/>
    <col min="16087" max="16087" width="51.88671875" style="6" customWidth="1"/>
    <col min="16088" max="16088" width="7.44140625" style="6" customWidth="1"/>
    <col min="16089" max="16089" width="11.33203125" style="6" customWidth="1"/>
    <col min="16090" max="16090" width="12.5546875" style="6" customWidth="1"/>
    <col min="16091" max="16091" width="16.44140625" style="6" customWidth="1"/>
    <col min="16092" max="16384" width="9.109375" style="6"/>
  </cols>
  <sheetData>
    <row r="1" spans="1:6" s="37" customFormat="1" ht="22.8" x14ac:dyDescent="0.3">
      <c r="A1" s="52" t="s">
        <v>1</v>
      </c>
      <c r="B1" s="53" t="s">
        <v>2</v>
      </c>
      <c r="C1" s="54" t="s">
        <v>100</v>
      </c>
      <c r="D1" s="55" t="s">
        <v>3</v>
      </c>
      <c r="E1" s="56" t="s">
        <v>95</v>
      </c>
      <c r="F1" s="55" t="s">
        <v>96</v>
      </c>
    </row>
    <row r="2" spans="1:6" x14ac:dyDescent="0.25">
      <c r="A2" s="50"/>
      <c r="C2" s="38"/>
      <c r="D2" s="39"/>
      <c r="E2" s="40"/>
      <c r="F2" s="39"/>
    </row>
    <row r="3" spans="1:6" x14ac:dyDescent="0.25">
      <c r="D3" s="51"/>
    </row>
    <row r="5" spans="1:6" x14ac:dyDescent="0.25">
      <c r="A5" s="45"/>
      <c r="B5" s="23" t="s">
        <v>669</v>
      </c>
    </row>
    <row r="7" spans="1:6" x14ac:dyDescent="0.25">
      <c r="A7" s="45" t="s">
        <v>6</v>
      </c>
      <c r="B7" s="19" t="s">
        <v>670</v>
      </c>
      <c r="C7" s="22"/>
      <c r="D7" s="42"/>
      <c r="E7" s="49"/>
      <c r="F7" s="42">
        <f>SUM('Skladište 1'!F480)</f>
        <v>709141.05</v>
      </c>
    </row>
    <row r="8" spans="1:6" x14ac:dyDescent="0.25">
      <c r="A8" s="45" t="s">
        <v>11</v>
      </c>
      <c r="B8" s="23" t="s">
        <v>671</v>
      </c>
      <c r="C8" s="22"/>
      <c r="D8" s="42"/>
      <c r="E8" s="49"/>
      <c r="F8" s="42">
        <f>SUM('Skladište 2'!F404)</f>
        <v>470716.4</v>
      </c>
    </row>
    <row r="9" spans="1:6" x14ac:dyDescent="0.25">
      <c r="A9" s="45" t="s">
        <v>12</v>
      </c>
      <c r="B9" s="19" t="s">
        <v>672</v>
      </c>
      <c r="C9" s="22"/>
      <c r="D9" s="42"/>
      <c r="E9" s="49"/>
      <c r="F9" s="42">
        <f>SUM('Skladište 5'!F405)</f>
        <v>483963.79</v>
      </c>
    </row>
    <row r="10" spans="1:6" x14ac:dyDescent="0.25">
      <c r="A10" s="45"/>
      <c r="B10" s="19"/>
      <c r="C10" s="22"/>
      <c r="D10" s="42"/>
      <c r="E10" s="49"/>
      <c r="F10" s="42"/>
    </row>
    <row r="11" spans="1:6" x14ac:dyDescent="0.25">
      <c r="A11" s="45"/>
      <c r="B11" s="44" t="s">
        <v>673</v>
      </c>
      <c r="C11" s="22"/>
      <c r="D11" s="42"/>
      <c r="E11" s="49"/>
      <c r="F11" s="42">
        <f>SUM(F7:F9)</f>
        <v>1663821.2400000002</v>
      </c>
    </row>
    <row r="12" spans="1:6" x14ac:dyDescent="0.25">
      <c r="B12" s="50" t="s">
        <v>92</v>
      </c>
      <c r="F12" s="3">
        <f>F11*25%</f>
        <v>415955.31000000006</v>
      </c>
    </row>
    <row r="13" spans="1:6" x14ac:dyDescent="0.25">
      <c r="A13" s="45"/>
      <c r="B13" s="44" t="s">
        <v>674</v>
      </c>
      <c r="C13" s="22"/>
      <c r="D13" s="42"/>
      <c r="E13" s="47"/>
      <c r="F13" s="42">
        <f>SUM(F11:F12)</f>
        <v>2079776.5500000003</v>
      </c>
    </row>
    <row r="19" spans="4:4" x14ac:dyDescent="0.25">
      <c r="D19" s="3" t="s">
        <v>188</v>
      </c>
    </row>
  </sheetData>
  <sheetProtection algorithmName="SHA-512" hashValue="9O+iKUb8gTqiO8jnZZ+TP9sx7y4F3pcfrrVoRwPf9Bs+p08xHB85+02qfOCV6be3Yc7HBkF2ynkMZbjlmWLv/Q==" saltValue="NHxI60hHcljxj3ycgsbaaA==" spinCount="100000" sheet="1" objects="1" scenarios="1" selectLockedCells="1"/>
  <printOptions horizontalCentered="1" gridLines="1"/>
  <pageMargins left="0.70866141732283472" right="0.70866141732283472" top="0.74803149606299213" bottom="0.74803149606299213" header="0.31496062992125984" footer="0.31496062992125984"/>
  <pageSetup paperSize="9" scale="90" orientation="portrait" r:id="rId1"/>
  <headerFooter>
    <oddHeader>&amp;L&amp;"Arial,Uobičajeno"&amp;10Ministarstvo unutarnjih poslova RH&amp;R&amp;"Arial,Uobičajeno"&amp;10Logistički centar civilne zaštite u Jastrebarskom</oddHeader>
    <oddFooter>&amp;L&amp;"Arial,Uobičajeno"&amp;10Rekapitulacija radova na uređenju skladišta br. 1, 2 i 5&amp;R&amp;"Arial,Uobičajeno"&amp;10stranica &amp;P od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8"/>
  <sheetViews>
    <sheetView showZeros="0" workbookViewId="0">
      <selection activeCell="E13" sqref="E13"/>
    </sheetView>
  </sheetViews>
  <sheetFormatPr defaultRowHeight="13.2" x14ac:dyDescent="0.25"/>
  <cols>
    <col min="1" max="1" width="6.109375" style="32" customWidth="1"/>
    <col min="2" max="2" width="50.6640625" style="1" customWidth="1"/>
    <col min="3" max="3" width="5.6640625" style="2" customWidth="1"/>
    <col min="4" max="4" width="9.6640625" style="3" customWidth="1"/>
    <col min="5" max="5" width="10.88671875" style="34" customWidth="1"/>
    <col min="6" max="6" width="13.6640625" style="3" customWidth="1"/>
    <col min="7" max="213" width="9.109375" style="6"/>
    <col min="214" max="214" width="7.44140625" style="6" customWidth="1"/>
    <col min="215" max="215" width="51.88671875" style="6" customWidth="1"/>
    <col min="216" max="216" width="7.44140625" style="6" customWidth="1"/>
    <col min="217" max="217" width="11.33203125" style="6" customWidth="1"/>
    <col min="218" max="218" width="12.5546875" style="6" customWidth="1"/>
    <col min="219" max="219" width="16.44140625" style="6" customWidth="1"/>
    <col min="220" max="469" width="9.109375" style="6"/>
    <col min="470" max="470" width="7.44140625" style="6" customWidth="1"/>
    <col min="471" max="471" width="51.88671875" style="6" customWidth="1"/>
    <col min="472" max="472" width="7.44140625" style="6" customWidth="1"/>
    <col min="473" max="473" width="11.33203125" style="6" customWidth="1"/>
    <col min="474" max="474" width="12.5546875" style="6" customWidth="1"/>
    <col min="475" max="475" width="16.44140625" style="6" customWidth="1"/>
    <col min="476" max="725" width="9.109375" style="6"/>
    <col min="726" max="726" width="7.44140625" style="6" customWidth="1"/>
    <col min="727" max="727" width="51.88671875" style="6" customWidth="1"/>
    <col min="728" max="728" width="7.44140625" style="6" customWidth="1"/>
    <col min="729" max="729" width="11.33203125" style="6" customWidth="1"/>
    <col min="730" max="730" width="12.5546875" style="6" customWidth="1"/>
    <col min="731" max="731" width="16.44140625" style="6" customWidth="1"/>
    <col min="732" max="981" width="9.109375" style="6"/>
    <col min="982" max="982" width="7.44140625" style="6" customWidth="1"/>
    <col min="983" max="983" width="51.88671875" style="6" customWidth="1"/>
    <col min="984" max="984" width="7.44140625" style="6" customWidth="1"/>
    <col min="985" max="985" width="11.33203125" style="6" customWidth="1"/>
    <col min="986" max="986" width="12.5546875" style="6" customWidth="1"/>
    <col min="987" max="987" width="16.44140625" style="6" customWidth="1"/>
    <col min="988" max="1237" width="9.109375" style="6"/>
    <col min="1238" max="1238" width="7.44140625" style="6" customWidth="1"/>
    <col min="1239" max="1239" width="51.88671875" style="6" customWidth="1"/>
    <col min="1240" max="1240" width="7.44140625" style="6" customWidth="1"/>
    <col min="1241" max="1241" width="11.33203125" style="6" customWidth="1"/>
    <col min="1242" max="1242" width="12.5546875" style="6" customWidth="1"/>
    <col min="1243" max="1243" width="16.44140625" style="6" customWidth="1"/>
    <col min="1244" max="1493" width="9.109375" style="6"/>
    <col min="1494" max="1494" width="7.44140625" style="6" customWidth="1"/>
    <col min="1495" max="1495" width="51.88671875" style="6" customWidth="1"/>
    <col min="1496" max="1496" width="7.44140625" style="6" customWidth="1"/>
    <col min="1497" max="1497" width="11.33203125" style="6" customWidth="1"/>
    <col min="1498" max="1498" width="12.5546875" style="6" customWidth="1"/>
    <col min="1499" max="1499" width="16.44140625" style="6" customWidth="1"/>
    <col min="1500" max="1749" width="9.109375" style="6"/>
    <col min="1750" max="1750" width="7.44140625" style="6" customWidth="1"/>
    <col min="1751" max="1751" width="51.88671875" style="6" customWidth="1"/>
    <col min="1752" max="1752" width="7.44140625" style="6" customWidth="1"/>
    <col min="1753" max="1753" width="11.33203125" style="6" customWidth="1"/>
    <col min="1754" max="1754" width="12.5546875" style="6" customWidth="1"/>
    <col min="1755" max="1755" width="16.44140625" style="6" customWidth="1"/>
    <col min="1756" max="2005" width="9.109375" style="6"/>
    <col min="2006" max="2006" width="7.44140625" style="6" customWidth="1"/>
    <col min="2007" max="2007" width="51.88671875" style="6" customWidth="1"/>
    <col min="2008" max="2008" width="7.44140625" style="6" customWidth="1"/>
    <col min="2009" max="2009" width="11.33203125" style="6" customWidth="1"/>
    <col min="2010" max="2010" width="12.5546875" style="6" customWidth="1"/>
    <col min="2011" max="2011" width="16.44140625" style="6" customWidth="1"/>
    <col min="2012" max="2261" width="9.109375" style="6"/>
    <col min="2262" max="2262" width="7.44140625" style="6" customWidth="1"/>
    <col min="2263" max="2263" width="51.88671875" style="6" customWidth="1"/>
    <col min="2264" max="2264" width="7.44140625" style="6" customWidth="1"/>
    <col min="2265" max="2265" width="11.33203125" style="6" customWidth="1"/>
    <col min="2266" max="2266" width="12.5546875" style="6" customWidth="1"/>
    <col min="2267" max="2267" width="16.44140625" style="6" customWidth="1"/>
    <col min="2268" max="2517" width="9.109375" style="6"/>
    <col min="2518" max="2518" width="7.44140625" style="6" customWidth="1"/>
    <col min="2519" max="2519" width="51.88671875" style="6" customWidth="1"/>
    <col min="2520" max="2520" width="7.44140625" style="6" customWidth="1"/>
    <col min="2521" max="2521" width="11.33203125" style="6" customWidth="1"/>
    <col min="2522" max="2522" width="12.5546875" style="6" customWidth="1"/>
    <col min="2523" max="2523" width="16.44140625" style="6" customWidth="1"/>
    <col min="2524" max="2773" width="9.109375" style="6"/>
    <col min="2774" max="2774" width="7.44140625" style="6" customWidth="1"/>
    <col min="2775" max="2775" width="51.88671875" style="6" customWidth="1"/>
    <col min="2776" max="2776" width="7.44140625" style="6" customWidth="1"/>
    <col min="2777" max="2777" width="11.33203125" style="6" customWidth="1"/>
    <col min="2778" max="2778" width="12.5546875" style="6" customWidth="1"/>
    <col min="2779" max="2779" width="16.44140625" style="6" customWidth="1"/>
    <col min="2780" max="3029" width="9.109375" style="6"/>
    <col min="3030" max="3030" width="7.44140625" style="6" customWidth="1"/>
    <col min="3031" max="3031" width="51.88671875" style="6" customWidth="1"/>
    <col min="3032" max="3032" width="7.44140625" style="6" customWidth="1"/>
    <col min="3033" max="3033" width="11.33203125" style="6" customWidth="1"/>
    <col min="3034" max="3034" width="12.5546875" style="6" customWidth="1"/>
    <col min="3035" max="3035" width="16.44140625" style="6" customWidth="1"/>
    <col min="3036" max="3285" width="9.109375" style="6"/>
    <col min="3286" max="3286" width="7.44140625" style="6" customWidth="1"/>
    <col min="3287" max="3287" width="51.88671875" style="6" customWidth="1"/>
    <col min="3288" max="3288" width="7.44140625" style="6" customWidth="1"/>
    <col min="3289" max="3289" width="11.33203125" style="6" customWidth="1"/>
    <col min="3290" max="3290" width="12.5546875" style="6" customWidth="1"/>
    <col min="3291" max="3291" width="16.44140625" style="6" customWidth="1"/>
    <col min="3292" max="3541" width="9.109375" style="6"/>
    <col min="3542" max="3542" width="7.44140625" style="6" customWidth="1"/>
    <col min="3543" max="3543" width="51.88671875" style="6" customWidth="1"/>
    <col min="3544" max="3544" width="7.44140625" style="6" customWidth="1"/>
    <col min="3545" max="3545" width="11.33203125" style="6" customWidth="1"/>
    <col min="3546" max="3546" width="12.5546875" style="6" customWidth="1"/>
    <col min="3547" max="3547" width="16.44140625" style="6" customWidth="1"/>
    <col min="3548" max="3797" width="9.109375" style="6"/>
    <col min="3798" max="3798" width="7.44140625" style="6" customWidth="1"/>
    <col min="3799" max="3799" width="51.88671875" style="6" customWidth="1"/>
    <col min="3800" max="3800" width="7.44140625" style="6" customWidth="1"/>
    <col min="3801" max="3801" width="11.33203125" style="6" customWidth="1"/>
    <col min="3802" max="3802" width="12.5546875" style="6" customWidth="1"/>
    <col min="3803" max="3803" width="16.44140625" style="6" customWidth="1"/>
    <col min="3804" max="4053" width="9.109375" style="6"/>
    <col min="4054" max="4054" width="7.44140625" style="6" customWidth="1"/>
    <col min="4055" max="4055" width="51.88671875" style="6" customWidth="1"/>
    <col min="4056" max="4056" width="7.44140625" style="6" customWidth="1"/>
    <col min="4057" max="4057" width="11.33203125" style="6" customWidth="1"/>
    <col min="4058" max="4058" width="12.5546875" style="6" customWidth="1"/>
    <col min="4059" max="4059" width="16.44140625" style="6" customWidth="1"/>
    <col min="4060" max="4309" width="9.109375" style="6"/>
    <col min="4310" max="4310" width="7.44140625" style="6" customWidth="1"/>
    <col min="4311" max="4311" width="51.88671875" style="6" customWidth="1"/>
    <col min="4312" max="4312" width="7.44140625" style="6" customWidth="1"/>
    <col min="4313" max="4313" width="11.33203125" style="6" customWidth="1"/>
    <col min="4314" max="4314" width="12.5546875" style="6" customWidth="1"/>
    <col min="4315" max="4315" width="16.44140625" style="6" customWidth="1"/>
    <col min="4316" max="4565" width="9.109375" style="6"/>
    <col min="4566" max="4566" width="7.44140625" style="6" customWidth="1"/>
    <col min="4567" max="4567" width="51.88671875" style="6" customWidth="1"/>
    <col min="4568" max="4568" width="7.44140625" style="6" customWidth="1"/>
    <col min="4569" max="4569" width="11.33203125" style="6" customWidth="1"/>
    <col min="4570" max="4570" width="12.5546875" style="6" customWidth="1"/>
    <col min="4571" max="4571" width="16.44140625" style="6" customWidth="1"/>
    <col min="4572" max="4821" width="9.109375" style="6"/>
    <col min="4822" max="4822" width="7.44140625" style="6" customWidth="1"/>
    <col min="4823" max="4823" width="51.88671875" style="6" customWidth="1"/>
    <col min="4824" max="4824" width="7.44140625" style="6" customWidth="1"/>
    <col min="4825" max="4825" width="11.33203125" style="6" customWidth="1"/>
    <col min="4826" max="4826" width="12.5546875" style="6" customWidth="1"/>
    <col min="4827" max="4827" width="16.44140625" style="6" customWidth="1"/>
    <col min="4828" max="5077" width="9.109375" style="6"/>
    <col min="5078" max="5078" width="7.44140625" style="6" customWidth="1"/>
    <col min="5079" max="5079" width="51.88671875" style="6" customWidth="1"/>
    <col min="5080" max="5080" width="7.44140625" style="6" customWidth="1"/>
    <col min="5081" max="5081" width="11.33203125" style="6" customWidth="1"/>
    <col min="5082" max="5082" width="12.5546875" style="6" customWidth="1"/>
    <col min="5083" max="5083" width="16.44140625" style="6" customWidth="1"/>
    <col min="5084" max="5333" width="9.109375" style="6"/>
    <col min="5334" max="5334" width="7.44140625" style="6" customWidth="1"/>
    <col min="5335" max="5335" width="51.88671875" style="6" customWidth="1"/>
    <col min="5336" max="5336" width="7.44140625" style="6" customWidth="1"/>
    <col min="5337" max="5337" width="11.33203125" style="6" customWidth="1"/>
    <col min="5338" max="5338" width="12.5546875" style="6" customWidth="1"/>
    <col min="5339" max="5339" width="16.44140625" style="6" customWidth="1"/>
    <col min="5340" max="5589" width="9.109375" style="6"/>
    <col min="5590" max="5590" width="7.44140625" style="6" customWidth="1"/>
    <col min="5591" max="5591" width="51.88671875" style="6" customWidth="1"/>
    <col min="5592" max="5592" width="7.44140625" style="6" customWidth="1"/>
    <col min="5593" max="5593" width="11.33203125" style="6" customWidth="1"/>
    <col min="5594" max="5594" width="12.5546875" style="6" customWidth="1"/>
    <col min="5595" max="5595" width="16.44140625" style="6" customWidth="1"/>
    <col min="5596" max="5845" width="9.109375" style="6"/>
    <col min="5846" max="5846" width="7.44140625" style="6" customWidth="1"/>
    <col min="5847" max="5847" width="51.88671875" style="6" customWidth="1"/>
    <col min="5848" max="5848" width="7.44140625" style="6" customWidth="1"/>
    <col min="5849" max="5849" width="11.33203125" style="6" customWidth="1"/>
    <col min="5850" max="5850" width="12.5546875" style="6" customWidth="1"/>
    <col min="5851" max="5851" width="16.44140625" style="6" customWidth="1"/>
    <col min="5852" max="6101" width="9.109375" style="6"/>
    <col min="6102" max="6102" width="7.44140625" style="6" customWidth="1"/>
    <col min="6103" max="6103" width="51.88671875" style="6" customWidth="1"/>
    <col min="6104" max="6104" width="7.44140625" style="6" customWidth="1"/>
    <col min="6105" max="6105" width="11.33203125" style="6" customWidth="1"/>
    <col min="6106" max="6106" width="12.5546875" style="6" customWidth="1"/>
    <col min="6107" max="6107" width="16.44140625" style="6" customWidth="1"/>
    <col min="6108" max="6357" width="9.109375" style="6"/>
    <col min="6358" max="6358" width="7.44140625" style="6" customWidth="1"/>
    <col min="6359" max="6359" width="51.88671875" style="6" customWidth="1"/>
    <col min="6360" max="6360" width="7.44140625" style="6" customWidth="1"/>
    <col min="6361" max="6361" width="11.33203125" style="6" customWidth="1"/>
    <col min="6362" max="6362" width="12.5546875" style="6" customWidth="1"/>
    <col min="6363" max="6363" width="16.44140625" style="6" customWidth="1"/>
    <col min="6364" max="6613" width="9.109375" style="6"/>
    <col min="6614" max="6614" width="7.44140625" style="6" customWidth="1"/>
    <col min="6615" max="6615" width="51.88671875" style="6" customWidth="1"/>
    <col min="6616" max="6616" width="7.44140625" style="6" customWidth="1"/>
    <col min="6617" max="6617" width="11.33203125" style="6" customWidth="1"/>
    <col min="6618" max="6618" width="12.5546875" style="6" customWidth="1"/>
    <col min="6619" max="6619" width="16.44140625" style="6" customWidth="1"/>
    <col min="6620" max="6869" width="9.109375" style="6"/>
    <col min="6870" max="6870" width="7.44140625" style="6" customWidth="1"/>
    <col min="6871" max="6871" width="51.88671875" style="6" customWidth="1"/>
    <col min="6872" max="6872" width="7.44140625" style="6" customWidth="1"/>
    <col min="6873" max="6873" width="11.33203125" style="6" customWidth="1"/>
    <col min="6874" max="6874" width="12.5546875" style="6" customWidth="1"/>
    <col min="6875" max="6875" width="16.44140625" style="6" customWidth="1"/>
    <col min="6876" max="7125" width="9.109375" style="6"/>
    <col min="7126" max="7126" width="7.44140625" style="6" customWidth="1"/>
    <col min="7127" max="7127" width="51.88671875" style="6" customWidth="1"/>
    <col min="7128" max="7128" width="7.44140625" style="6" customWidth="1"/>
    <col min="7129" max="7129" width="11.33203125" style="6" customWidth="1"/>
    <col min="7130" max="7130" width="12.5546875" style="6" customWidth="1"/>
    <col min="7131" max="7131" width="16.44140625" style="6" customWidth="1"/>
    <col min="7132" max="7381" width="9.109375" style="6"/>
    <col min="7382" max="7382" width="7.44140625" style="6" customWidth="1"/>
    <col min="7383" max="7383" width="51.88671875" style="6" customWidth="1"/>
    <col min="7384" max="7384" width="7.44140625" style="6" customWidth="1"/>
    <col min="7385" max="7385" width="11.33203125" style="6" customWidth="1"/>
    <col min="7386" max="7386" width="12.5546875" style="6" customWidth="1"/>
    <col min="7387" max="7387" width="16.44140625" style="6" customWidth="1"/>
    <col min="7388" max="7637" width="9.109375" style="6"/>
    <col min="7638" max="7638" width="7.44140625" style="6" customWidth="1"/>
    <col min="7639" max="7639" width="51.88671875" style="6" customWidth="1"/>
    <col min="7640" max="7640" width="7.44140625" style="6" customWidth="1"/>
    <col min="7641" max="7641" width="11.33203125" style="6" customWidth="1"/>
    <col min="7642" max="7642" width="12.5546875" style="6" customWidth="1"/>
    <col min="7643" max="7643" width="16.44140625" style="6" customWidth="1"/>
    <col min="7644" max="7893" width="9.109375" style="6"/>
    <col min="7894" max="7894" width="7.44140625" style="6" customWidth="1"/>
    <col min="7895" max="7895" width="51.88671875" style="6" customWidth="1"/>
    <col min="7896" max="7896" width="7.44140625" style="6" customWidth="1"/>
    <col min="7897" max="7897" width="11.33203125" style="6" customWidth="1"/>
    <col min="7898" max="7898" width="12.5546875" style="6" customWidth="1"/>
    <col min="7899" max="7899" width="16.44140625" style="6" customWidth="1"/>
    <col min="7900" max="8149" width="9.109375" style="6"/>
    <col min="8150" max="8150" width="7.44140625" style="6" customWidth="1"/>
    <col min="8151" max="8151" width="51.88671875" style="6" customWidth="1"/>
    <col min="8152" max="8152" width="7.44140625" style="6" customWidth="1"/>
    <col min="8153" max="8153" width="11.33203125" style="6" customWidth="1"/>
    <col min="8154" max="8154" width="12.5546875" style="6" customWidth="1"/>
    <col min="8155" max="8155" width="16.44140625" style="6" customWidth="1"/>
    <col min="8156" max="8405" width="9.109375" style="6"/>
    <col min="8406" max="8406" width="7.44140625" style="6" customWidth="1"/>
    <col min="8407" max="8407" width="51.88671875" style="6" customWidth="1"/>
    <col min="8408" max="8408" width="7.44140625" style="6" customWidth="1"/>
    <col min="8409" max="8409" width="11.33203125" style="6" customWidth="1"/>
    <col min="8410" max="8410" width="12.5546875" style="6" customWidth="1"/>
    <col min="8411" max="8411" width="16.44140625" style="6" customWidth="1"/>
    <col min="8412" max="8661" width="9.109375" style="6"/>
    <col min="8662" max="8662" width="7.44140625" style="6" customWidth="1"/>
    <col min="8663" max="8663" width="51.88671875" style="6" customWidth="1"/>
    <col min="8664" max="8664" width="7.44140625" style="6" customWidth="1"/>
    <col min="8665" max="8665" width="11.33203125" style="6" customWidth="1"/>
    <col min="8666" max="8666" width="12.5546875" style="6" customWidth="1"/>
    <col min="8667" max="8667" width="16.44140625" style="6" customWidth="1"/>
    <col min="8668" max="8917" width="9.109375" style="6"/>
    <col min="8918" max="8918" width="7.44140625" style="6" customWidth="1"/>
    <col min="8919" max="8919" width="51.88671875" style="6" customWidth="1"/>
    <col min="8920" max="8920" width="7.44140625" style="6" customWidth="1"/>
    <col min="8921" max="8921" width="11.33203125" style="6" customWidth="1"/>
    <col min="8922" max="8922" width="12.5546875" style="6" customWidth="1"/>
    <col min="8923" max="8923" width="16.44140625" style="6" customWidth="1"/>
    <col min="8924" max="9173" width="9.109375" style="6"/>
    <col min="9174" max="9174" width="7.44140625" style="6" customWidth="1"/>
    <col min="9175" max="9175" width="51.88671875" style="6" customWidth="1"/>
    <col min="9176" max="9176" width="7.44140625" style="6" customWidth="1"/>
    <col min="9177" max="9177" width="11.33203125" style="6" customWidth="1"/>
    <col min="9178" max="9178" width="12.5546875" style="6" customWidth="1"/>
    <col min="9179" max="9179" width="16.44140625" style="6" customWidth="1"/>
    <col min="9180" max="9429" width="9.109375" style="6"/>
    <col min="9430" max="9430" width="7.44140625" style="6" customWidth="1"/>
    <col min="9431" max="9431" width="51.88671875" style="6" customWidth="1"/>
    <col min="9432" max="9432" width="7.44140625" style="6" customWidth="1"/>
    <col min="9433" max="9433" width="11.33203125" style="6" customWidth="1"/>
    <col min="9434" max="9434" width="12.5546875" style="6" customWidth="1"/>
    <col min="9435" max="9435" width="16.44140625" style="6" customWidth="1"/>
    <col min="9436" max="9685" width="9.109375" style="6"/>
    <col min="9686" max="9686" width="7.44140625" style="6" customWidth="1"/>
    <col min="9687" max="9687" width="51.88671875" style="6" customWidth="1"/>
    <col min="9688" max="9688" width="7.44140625" style="6" customWidth="1"/>
    <col min="9689" max="9689" width="11.33203125" style="6" customWidth="1"/>
    <col min="9690" max="9690" width="12.5546875" style="6" customWidth="1"/>
    <col min="9691" max="9691" width="16.44140625" style="6" customWidth="1"/>
    <col min="9692" max="9941" width="9.109375" style="6"/>
    <col min="9942" max="9942" width="7.44140625" style="6" customWidth="1"/>
    <col min="9943" max="9943" width="51.88671875" style="6" customWidth="1"/>
    <col min="9944" max="9944" width="7.44140625" style="6" customWidth="1"/>
    <col min="9945" max="9945" width="11.33203125" style="6" customWidth="1"/>
    <col min="9946" max="9946" width="12.5546875" style="6" customWidth="1"/>
    <col min="9947" max="9947" width="16.44140625" style="6" customWidth="1"/>
    <col min="9948" max="10197" width="9.109375" style="6"/>
    <col min="10198" max="10198" width="7.44140625" style="6" customWidth="1"/>
    <col min="10199" max="10199" width="51.88671875" style="6" customWidth="1"/>
    <col min="10200" max="10200" width="7.44140625" style="6" customWidth="1"/>
    <col min="10201" max="10201" width="11.33203125" style="6" customWidth="1"/>
    <col min="10202" max="10202" width="12.5546875" style="6" customWidth="1"/>
    <col min="10203" max="10203" width="16.44140625" style="6" customWidth="1"/>
    <col min="10204" max="10453" width="9.109375" style="6"/>
    <col min="10454" max="10454" width="7.44140625" style="6" customWidth="1"/>
    <col min="10455" max="10455" width="51.88671875" style="6" customWidth="1"/>
    <col min="10456" max="10456" width="7.44140625" style="6" customWidth="1"/>
    <col min="10457" max="10457" width="11.33203125" style="6" customWidth="1"/>
    <col min="10458" max="10458" width="12.5546875" style="6" customWidth="1"/>
    <col min="10459" max="10459" width="16.44140625" style="6" customWidth="1"/>
    <col min="10460" max="10709" width="9.109375" style="6"/>
    <col min="10710" max="10710" width="7.44140625" style="6" customWidth="1"/>
    <col min="10711" max="10711" width="51.88671875" style="6" customWidth="1"/>
    <col min="10712" max="10712" width="7.44140625" style="6" customWidth="1"/>
    <col min="10713" max="10713" width="11.33203125" style="6" customWidth="1"/>
    <col min="10714" max="10714" width="12.5546875" style="6" customWidth="1"/>
    <col min="10715" max="10715" width="16.44140625" style="6" customWidth="1"/>
    <col min="10716" max="10965" width="9.109375" style="6"/>
    <col min="10966" max="10966" width="7.44140625" style="6" customWidth="1"/>
    <col min="10967" max="10967" width="51.88671875" style="6" customWidth="1"/>
    <col min="10968" max="10968" width="7.44140625" style="6" customWidth="1"/>
    <col min="10969" max="10969" width="11.33203125" style="6" customWidth="1"/>
    <col min="10970" max="10970" width="12.5546875" style="6" customWidth="1"/>
    <col min="10971" max="10971" width="16.44140625" style="6" customWidth="1"/>
    <col min="10972" max="11221" width="9.109375" style="6"/>
    <col min="11222" max="11222" width="7.44140625" style="6" customWidth="1"/>
    <col min="11223" max="11223" width="51.88671875" style="6" customWidth="1"/>
    <col min="11224" max="11224" width="7.44140625" style="6" customWidth="1"/>
    <col min="11225" max="11225" width="11.33203125" style="6" customWidth="1"/>
    <col min="11226" max="11226" width="12.5546875" style="6" customWidth="1"/>
    <col min="11227" max="11227" width="16.44140625" style="6" customWidth="1"/>
    <col min="11228" max="11477" width="9.109375" style="6"/>
    <col min="11478" max="11478" width="7.44140625" style="6" customWidth="1"/>
    <col min="11479" max="11479" width="51.88671875" style="6" customWidth="1"/>
    <col min="11480" max="11480" width="7.44140625" style="6" customWidth="1"/>
    <col min="11481" max="11481" width="11.33203125" style="6" customWidth="1"/>
    <col min="11482" max="11482" width="12.5546875" style="6" customWidth="1"/>
    <col min="11483" max="11483" width="16.44140625" style="6" customWidth="1"/>
    <col min="11484" max="11733" width="9.109375" style="6"/>
    <col min="11734" max="11734" width="7.44140625" style="6" customWidth="1"/>
    <col min="11735" max="11735" width="51.88671875" style="6" customWidth="1"/>
    <col min="11736" max="11736" width="7.44140625" style="6" customWidth="1"/>
    <col min="11737" max="11737" width="11.33203125" style="6" customWidth="1"/>
    <col min="11738" max="11738" width="12.5546875" style="6" customWidth="1"/>
    <col min="11739" max="11739" width="16.44140625" style="6" customWidth="1"/>
    <col min="11740" max="11989" width="9.109375" style="6"/>
    <col min="11990" max="11990" width="7.44140625" style="6" customWidth="1"/>
    <col min="11991" max="11991" width="51.88671875" style="6" customWidth="1"/>
    <col min="11992" max="11992" width="7.44140625" style="6" customWidth="1"/>
    <col min="11993" max="11993" width="11.33203125" style="6" customWidth="1"/>
    <col min="11994" max="11994" width="12.5546875" style="6" customWidth="1"/>
    <col min="11995" max="11995" width="16.44140625" style="6" customWidth="1"/>
    <col min="11996" max="12245" width="9.109375" style="6"/>
    <col min="12246" max="12246" width="7.44140625" style="6" customWidth="1"/>
    <col min="12247" max="12247" width="51.88671875" style="6" customWidth="1"/>
    <col min="12248" max="12248" width="7.44140625" style="6" customWidth="1"/>
    <col min="12249" max="12249" width="11.33203125" style="6" customWidth="1"/>
    <col min="12250" max="12250" width="12.5546875" style="6" customWidth="1"/>
    <col min="12251" max="12251" width="16.44140625" style="6" customWidth="1"/>
    <col min="12252" max="12501" width="9.109375" style="6"/>
    <col min="12502" max="12502" width="7.44140625" style="6" customWidth="1"/>
    <col min="12503" max="12503" width="51.88671875" style="6" customWidth="1"/>
    <col min="12504" max="12504" width="7.44140625" style="6" customWidth="1"/>
    <col min="12505" max="12505" width="11.33203125" style="6" customWidth="1"/>
    <col min="12506" max="12506" width="12.5546875" style="6" customWidth="1"/>
    <col min="12507" max="12507" width="16.44140625" style="6" customWidth="1"/>
    <col min="12508" max="12757" width="9.109375" style="6"/>
    <col min="12758" max="12758" width="7.44140625" style="6" customWidth="1"/>
    <col min="12759" max="12759" width="51.88671875" style="6" customWidth="1"/>
    <col min="12760" max="12760" width="7.44140625" style="6" customWidth="1"/>
    <col min="12761" max="12761" width="11.33203125" style="6" customWidth="1"/>
    <col min="12762" max="12762" width="12.5546875" style="6" customWidth="1"/>
    <col min="12763" max="12763" width="16.44140625" style="6" customWidth="1"/>
    <col min="12764" max="13013" width="9.109375" style="6"/>
    <col min="13014" max="13014" width="7.44140625" style="6" customWidth="1"/>
    <col min="13015" max="13015" width="51.88671875" style="6" customWidth="1"/>
    <col min="13016" max="13016" width="7.44140625" style="6" customWidth="1"/>
    <col min="13017" max="13017" width="11.33203125" style="6" customWidth="1"/>
    <col min="13018" max="13018" width="12.5546875" style="6" customWidth="1"/>
    <col min="13019" max="13019" width="16.44140625" style="6" customWidth="1"/>
    <col min="13020" max="13269" width="9.109375" style="6"/>
    <col min="13270" max="13270" width="7.44140625" style="6" customWidth="1"/>
    <col min="13271" max="13271" width="51.88671875" style="6" customWidth="1"/>
    <col min="13272" max="13272" width="7.44140625" style="6" customWidth="1"/>
    <col min="13273" max="13273" width="11.33203125" style="6" customWidth="1"/>
    <col min="13274" max="13274" width="12.5546875" style="6" customWidth="1"/>
    <col min="13275" max="13275" width="16.44140625" style="6" customWidth="1"/>
    <col min="13276" max="13525" width="9.109375" style="6"/>
    <col min="13526" max="13526" width="7.44140625" style="6" customWidth="1"/>
    <col min="13527" max="13527" width="51.88671875" style="6" customWidth="1"/>
    <col min="13528" max="13528" width="7.44140625" style="6" customWidth="1"/>
    <col min="13529" max="13529" width="11.33203125" style="6" customWidth="1"/>
    <col min="13530" max="13530" width="12.5546875" style="6" customWidth="1"/>
    <col min="13531" max="13531" width="16.44140625" style="6" customWidth="1"/>
    <col min="13532" max="13781" width="9.109375" style="6"/>
    <col min="13782" max="13782" width="7.44140625" style="6" customWidth="1"/>
    <col min="13783" max="13783" width="51.88671875" style="6" customWidth="1"/>
    <col min="13784" max="13784" width="7.44140625" style="6" customWidth="1"/>
    <col min="13785" max="13785" width="11.33203125" style="6" customWidth="1"/>
    <col min="13786" max="13786" width="12.5546875" style="6" customWidth="1"/>
    <col min="13787" max="13787" width="16.44140625" style="6" customWidth="1"/>
    <col min="13788" max="14037" width="9.109375" style="6"/>
    <col min="14038" max="14038" width="7.44140625" style="6" customWidth="1"/>
    <col min="14039" max="14039" width="51.88671875" style="6" customWidth="1"/>
    <col min="14040" max="14040" width="7.44140625" style="6" customWidth="1"/>
    <col min="14041" max="14041" width="11.33203125" style="6" customWidth="1"/>
    <col min="14042" max="14042" width="12.5546875" style="6" customWidth="1"/>
    <col min="14043" max="14043" width="16.44140625" style="6" customWidth="1"/>
    <col min="14044" max="14293" width="9.109375" style="6"/>
    <col min="14294" max="14294" width="7.44140625" style="6" customWidth="1"/>
    <col min="14295" max="14295" width="51.88671875" style="6" customWidth="1"/>
    <col min="14296" max="14296" width="7.44140625" style="6" customWidth="1"/>
    <col min="14297" max="14297" width="11.33203125" style="6" customWidth="1"/>
    <col min="14298" max="14298" width="12.5546875" style="6" customWidth="1"/>
    <col min="14299" max="14299" width="16.44140625" style="6" customWidth="1"/>
    <col min="14300" max="14549" width="9.109375" style="6"/>
    <col min="14550" max="14550" width="7.44140625" style="6" customWidth="1"/>
    <col min="14551" max="14551" width="51.88671875" style="6" customWidth="1"/>
    <col min="14552" max="14552" width="7.44140625" style="6" customWidth="1"/>
    <col min="14553" max="14553" width="11.33203125" style="6" customWidth="1"/>
    <col min="14554" max="14554" width="12.5546875" style="6" customWidth="1"/>
    <col min="14555" max="14555" width="16.44140625" style="6" customWidth="1"/>
    <col min="14556" max="14805" width="9.109375" style="6"/>
    <col min="14806" max="14806" width="7.44140625" style="6" customWidth="1"/>
    <col min="14807" max="14807" width="51.88671875" style="6" customWidth="1"/>
    <col min="14808" max="14808" width="7.44140625" style="6" customWidth="1"/>
    <col min="14809" max="14809" width="11.33203125" style="6" customWidth="1"/>
    <col min="14810" max="14810" width="12.5546875" style="6" customWidth="1"/>
    <col min="14811" max="14811" width="16.44140625" style="6" customWidth="1"/>
    <col min="14812" max="15061" width="9.109375" style="6"/>
    <col min="15062" max="15062" width="7.44140625" style="6" customWidth="1"/>
    <col min="15063" max="15063" width="51.88671875" style="6" customWidth="1"/>
    <col min="15064" max="15064" width="7.44140625" style="6" customWidth="1"/>
    <col min="15065" max="15065" width="11.33203125" style="6" customWidth="1"/>
    <col min="15066" max="15066" width="12.5546875" style="6" customWidth="1"/>
    <col min="15067" max="15067" width="16.44140625" style="6" customWidth="1"/>
    <col min="15068" max="15317" width="9.109375" style="6"/>
    <col min="15318" max="15318" width="7.44140625" style="6" customWidth="1"/>
    <col min="15319" max="15319" width="51.88671875" style="6" customWidth="1"/>
    <col min="15320" max="15320" width="7.44140625" style="6" customWidth="1"/>
    <col min="15321" max="15321" width="11.33203125" style="6" customWidth="1"/>
    <col min="15322" max="15322" width="12.5546875" style="6" customWidth="1"/>
    <col min="15323" max="15323" width="16.44140625" style="6" customWidth="1"/>
    <col min="15324" max="15573" width="9.109375" style="6"/>
    <col min="15574" max="15574" width="7.44140625" style="6" customWidth="1"/>
    <col min="15575" max="15575" width="51.88671875" style="6" customWidth="1"/>
    <col min="15576" max="15576" width="7.44140625" style="6" customWidth="1"/>
    <col min="15577" max="15577" width="11.33203125" style="6" customWidth="1"/>
    <col min="15578" max="15578" width="12.5546875" style="6" customWidth="1"/>
    <col min="15579" max="15579" width="16.44140625" style="6" customWidth="1"/>
    <col min="15580" max="15829" width="9.109375" style="6"/>
    <col min="15830" max="15830" width="7.44140625" style="6" customWidth="1"/>
    <col min="15831" max="15831" width="51.88671875" style="6" customWidth="1"/>
    <col min="15832" max="15832" width="7.44140625" style="6" customWidth="1"/>
    <col min="15833" max="15833" width="11.33203125" style="6" customWidth="1"/>
    <col min="15834" max="15834" width="12.5546875" style="6" customWidth="1"/>
    <col min="15835" max="15835" width="16.44140625" style="6" customWidth="1"/>
    <col min="15836" max="16085" width="9.109375" style="6"/>
    <col min="16086" max="16086" width="7.44140625" style="6" customWidth="1"/>
    <col min="16087" max="16087" width="51.88671875" style="6" customWidth="1"/>
    <col min="16088" max="16088" width="7.44140625" style="6" customWidth="1"/>
    <col min="16089" max="16089" width="11.33203125" style="6" customWidth="1"/>
    <col min="16090" max="16090" width="12.5546875" style="6" customWidth="1"/>
    <col min="16091" max="16091" width="16.44140625" style="6" customWidth="1"/>
    <col min="16092" max="16384" width="9.109375" style="6"/>
  </cols>
  <sheetData>
    <row r="1" spans="1:6" s="37" customFormat="1" ht="22.8" x14ac:dyDescent="0.3">
      <c r="A1" s="52" t="s">
        <v>1</v>
      </c>
      <c r="B1" s="53" t="s">
        <v>2</v>
      </c>
      <c r="C1" s="54" t="s">
        <v>100</v>
      </c>
      <c r="D1" s="55" t="s">
        <v>3</v>
      </c>
      <c r="E1" s="56" t="s">
        <v>95</v>
      </c>
      <c r="F1" s="55" t="s">
        <v>96</v>
      </c>
    </row>
    <row r="2" spans="1:6" x14ac:dyDescent="0.25">
      <c r="A2" s="50"/>
      <c r="C2" s="38"/>
      <c r="D2" s="39"/>
      <c r="E2" s="40"/>
      <c r="F2" s="39"/>
    </row>
    <row r="3" spans="1:6" x14ac:dyDescent="0.25">
      <c r="D3" s="51"/>
    </row>
    <row r="5" spans="1:6" x14ac:dyDescent="0.25">
      <c r="A5" s="45"/>
      <c r="B5" s="23" t="s">
        <v>675</v>
      </c>
    </row>
    <row r="7" spans="1:6" x14ac:dyDescent="0.25">
      <c r="A7" s="45" t="s">
        <v>6</v>
      </c>
      <c r="B7" s="19" t="s">
        <v>676</v>
      </c>
      <c r="C7" s="22"/>
      <c r="D7" s="42"/>
      <c r="E7" s="49"/>
      <c r="F7" s="42">
        <f>SUM('Skladište 6'!F408)</f>
        <v>480536.2</v>
      </c>
    </row>
    <row r="8" spans="1:6" x14ac:dyDescent="0.25">
      <c r="A8" s="45" t="s">
        <v>11</v>
      </c>
      <c r="B8" s="23" t="s">
        <v>677</v>
      </c>
      <c r="C8" s="22"/>
      <c r="D8" s="42"/>
      <c r="E8" s="49"/>
      <c r="F8" s="42">
        <f>SUM('Otvoreni platoi 4 i 5'!F99)</f>
        <v>633387</v>
      </c>
    </row>
    <row r="9" spans="1:6" x14ac:dyDescent="0.25">
      <c r="A9" s="45"/>
      <c r="B9" s="19"/>
      <c r="C9" s="22"/>
      <c r="D9" s="42"/>
      <c r="E9" s="49"/>
      <c r="F9" s="42"/>
    </row>
    <row r="10" spans="1:6" x14ac:dyDescent="0.25">
      <c r="A10" s="45"/>
      <c r="B10" s="44" t="s">
        <v>678</v>
      </c>
      <c r="C10" s="22"/>
      <c r="D10" s="42"/>
      <c r="E10" s="49"/>
      <c r="F10" s="42">
        <f>SUM(F7:F8)</f>
        <v>1113923.2</v>
      </c>
    </row>
    <row r="11" spans="1:6" x14ac:dyDescent="0.25">
      <c r="B11" s="50" t="s">
        <v>92</v>
      </c>
      <c r="F11" s="3">
        <f>F10*25%</f>
        <v>278480.8</v>
      </c>
    </row>
    <row r="12" spans="1:6" ht="15" customHeight="1" x14ac:dyDescent="0.25">
      <c r="A12" s="45"/>
      <c r="B12" s="35" t="s">
        <v>679</v>
      </c>
      <c r="C12" s="22"/>
      <c r="D12" s="42"/>
      <c r="E12" s="47"/>
      <c r="F12" s="42">
        <f>SUM(F10:F11)</f>
        <v>1392404</v>
      </c>
    </row>
    <row r="18" spans="4:4" x14ac:dyDescent="0.25">
      <c r="D18" s="3" t="s">
        <v>188</v>
      </c>
    </row>
  </sheetData>
  <sheetProtection algorithmName="SHA-512" hashValue="7vZ5cvqsWpdjN2wIqXtFJEthvz/Ar/wavBbvgsK2AKc1CtIeXm5+MKYIMCvrRa/UsKC9mgSXUBeLX0hefQRxXw==" saltValue="tyn9G0gV424pITpWyMzjLg==" spinCount="100000" sheet="1" objects="1" scenarios="1" selectLockedCells="1"/>
  <printOptions horizontalCentered="1" gridLines="1"/>
  <pageMargins left="0.70866141732283472" right="0.70866141732283472" top="0.74803149606299213" bottom="0.74803149606299213" header="0.31496062992125984" footer="0.31496062992125984"/>
  <pageSetup paperSize="9" scale="90" orientation="portrait" r:id="rId1"/>
  <headerFooter>
    <oddHeader>&amp;L&amp;"Arial,Uobičajeno"&amp;10Ministarstvo unutarnjih poslova RH&amp;R&amp;"Arial,Uobičajeno"&amp;10Logistički centar civilne zaštite u Jastrebarskom</oddHeader>
    <oddFooter>&amp;L&amp;"Arial,Uobičajeno"&amp;10Rekapitulacija radova na uređenju skladišta br. 6 i otvorenih platoa br. 4 i 5&amp;R&amp;"Arial,Uobičajeno"&amp;10stranica &amp;P od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21"/>
  <sheetViews>
    <sheetView showZeros="0" tabSelected="1" workbookViewId="0">
      <selection activeCell="E11" sqref="E11"/>
    </sheetView>
  </sheetViews>
  <sheetFormatPr defaultRowHeight="13.2" x14ac:dyDescent="0.25"/>
  <cols>
    <col min="1" max="1" width="6.109375" style="32" customWidth="1"/>
    <col min="2" max="2" width="50.6640625" style="1" customWidth="1"/>
    <col min="3" max="3" width="5.6640625" style="2" customWidth="1"/>
    <col min="4" max="4" width="9.6640625" style="3" customWidth="1"/>
    <col min="5" max="5" width="10.88671875" style="34" customWidth="1"/>
    <col min="6" max="6" width="13.6640625" style="3" customWidth="1"/>
    <col min="7" max="213" width="9.109375" style="6"/>
    <col min="214" max="214" width="7.44140625" style="6" customWidth="1"/>
    <col min="215" max="215" width="51.88671875" style="6" customWidth="1"/>
    <col min="216" max="216" width="7.44140625" style="6" customWidth="1"/>
    <col min="217" max="217" width="11.33203125" style="6" customWidth="1"/>
    <col min="218" max="218" width="12.5546875" style="6" customWidth="1"/>
    <col min="219" max="219" width="16.44140625" style="6" customWidth="1"/>
    <col min="220" max="469" width="9.109375" style="6"/>
    <col min="470" max="470" width="7.44140625" style="6" customWidth="1"/>
    <col min="471" max="471" width="51.88671875" style="6" customWidth="1"/>
    <col min="472" max="472" width="7.44140625" style="6" customWidth="1"/>
    <col min="473" max="473" width="11.33203125" style="6" customWidth="1"/>
    <col min="474" max="474" width="12.5546875" style="6" customWidth="1"/>
    <col min="475" max="475" width="16.44140625" style="6" customWidth="1"/>
    <col min="476" max="725" width="9.109375" style="6"/>
    <col min="726" max="726" width="7.44140625" style="6" customWidth="1"/>
    <col min="727" max="727" width="51.88671875" style="6" customWidth="1"/>
    <col min="728" max="728" width="7.44140625" style="6" customWidth="1"/>
    <col min="729" max="729" width="11.33203125" style="6" customWidth="1"/>
    <col min="730" max="730" width="12.5546875" style="6" customWidth="1"/>
    <col min="731" max="731" width="16.44140625" style="6" customWidth="1"/>
    <col min="732" max="981" width="9.109375" style="6"/>
    <col min="982" max="982" width="7.44140625" style="6" customWidth="1"/>
    <col min="983" max="983" width="51.88671875" style="6" customWidth="1"/>
    <col min="984" max="984" width="7.44140625" style="6" customWidth="1"/>
    <col min="985" max="985" width="11.33203125" style="6" customWidth="1"/>
    <col min="986" max="986" width="12.5546875" style="6" customWidth="1"/>
    <col min="987" max="987" width="16.44140625" style="6" customWidth="1"/>
    <col min="988" max="1237" width="9.109375" style="6"/>
    <col min="1238" max="1238" width="7.44140625" style="6" customWidth="1"/>
    <col min="1239" max="1239" width="51.88671875" style="6" customWidth="1"/>
    <col min="1240" max="1240" width="7.44140625" style="6" customWidth="1"/>
    <col min="1241" max="1241" width="11.33203125" style="6" customWidth="1"/>
    <col min="1242" max="1242" width="12.5546875" style="6" customWidth="1"/>
    <col min="1243" max="1243" width="16.44140625" style="6" customWidth="1"/>
    <col min="1244" max="1493" width="9.109375" style="6"/>
    <col min="1494" max="1494" width="7.44140625" style="6" customWidth="1"/>
    <col min="1495" max="1495" width="51.88671875" style="6" customWidth="1"/>
    <col min="1496" max="1496" width="7.44140625" style="6" customWidth="1"/>
    <col min="1497" max="1497" width="11.33203125" style="6" customWidth="1"/>
    <col min="1498" max="1498" width="12.5546875" style="6" customWidth="1"/>
    <col min="1499" max="1499" width="16.44140625" style="6" customWidth="1"/>
    <col min="1500" max="1749" width="9.109375" style="6"/>
    <col min="1750" max="1750" width="7.44140625" style="6" customWidth="1"/>
    <col min="1751" max="1751" width="51.88671875" style="6" customWidth="1"/>
    <col min="1752" max="1752" width="7.44140625" style="6" customWidth="1"/>
    <col min="1753" max="1753" width="11.33203125" style="6" customWidth="1"/>
    <col min="1754" max="1754" width="12.5546875" style="6" customWidth="1"/>
    <col min="1755" max="1755" width="16.44140625" style="6" customWidth="1"/>
    <col min="1756" max="2005" width="9.109375" style="6"/>
    <col min="2006" max="2006" width="7.44140625" style="6" customWidth="1"/>
    <col min="2007" max="2007" width="51.88671875" style="6" customWidth="1"/>
    <col min="2008" max="2008" width="7.44140625" style="6" customWidth="1"/>
    <col min="2009" max="2009" width="11.33203125" style="6" customWidth="1"/>
    <col min="2010" max="2010" width="12.5546875" style="6" customWidth="1"/>
    <col min="2011" max="2011" width="16.44140625" style="6" customWidth="1"/>
    <col min="2012" max="2261" width="9.109375" style="6"/>
    <col min="2262" max="2262" width="7.44140625" style="6" customWidth="1"/>
    <col min="2263" max="2263" width="51.88671875" style="6" customWidth="1"/>
    <col min="2264" max="2264" width="7.44140625" style="6" customWidth="1"/>
    <col min="2265" max="2265" width="11.33203125" style="6" customWidth="1"/>
    <col min="2266" max="2266" width="12.5546875" style="6" customWidth="1"/>
    <col min="2267" max="2267" width="16.44140625" style="6" customWidth="1"/>
    <col min="2268" max="2517" width="9.109375" style="6"/>
    <col min="2518" max="2518" width="7.44140625" style="6" customWidth="1"/>
    <col min="2519" max="2519" width="51.88671875" style="6" customWidth="1"/>
    <col min="2520" max="2520" width="7.44140625" style="6" customWidth="1"/>
    <col min="2521" max="2521" width="11.33203125" style="6" customWidth="1"/>
    <col min="2522" max="2522" width="12.5546875" style="6" customWidth="1"/>
    <col min="2523" max="2523" width="16.44140625" style="6" customWidth="1"/>
    <col min="2524" max="2773" width="9.109375" style="6"/>
    <col min="2774" max="2774" width="7.44140625" style="6" customWidth="1"/>
    <col min="2775" max="2775" width="51.88671875" style="6" customWidth="1"/>
    <col min="2776" max="2776" width="7.44140625" style="6" customWidth="1"/>
    <col min="2777" max="2777" width="11.33203125" style="6" customWidth="1"/>
    <col min="2778" max="2778" width="12.5546875" style="6" customWidth="1"/>
    <col min="2779" max="2779" width="16.44140625" style="6" customWidth="1"/>
    <col min="2780" max="3029" width="9.109375" style="6"/>
    <col min="3030" max="3030" width="7.44140625" style="6" customWidth="1"/>
    <col min="3031" max="3031" width="51.88671875" style="6" customWidth="1"/>
    <col min="3032" max="3032" width="7.44140625" style="6" customWidth="1"/>
    <col min="3033" max="3033" width="11.33203125" style="6" customWidth="1"/>
    <col min="3034" max="3034" width="12.5546875" style="6" customWidth="1"/>
    <col min="3035" max="3035" width="16.44140625" style="6" customWidth="1"/>
    <col min="3036" max="3285" width="9.109375" style="6"/>
    <col min="3286" max="3286" width="7.44140625" style="6" customWidth="1"/>
    <col min="3287" max="3287" width="51.88671875" style="6" customWidth="1"/>
    <col min="3288" max="3288" width="7.44140625" style="6" customWidth="1"/>
    <col min="3289" max="3289" width="11.33203125" style="6" customWidth="1"/>
    <col min="3290" max="3290" width="12.5546875" style="6" customWidth="1"/>
    <col min="3291" max="3291" width="16.44140625" style="6" customWidth="1"/>
    <col min="3292" max="3541" width="9.109375" style="6"/>
    <col min="3542" max="3542" width="7.44140625" style="6" customWidth="1"/>
    <col min="3543" max="3543" width="51.88671875" style="6" customWidth="1"/>
    <col min="3544" max="3544" width="7.44140625" style="6" customWidth="1"/>
    <col min="3545" max="3545" width="11.33203125" style="6" customWidth="1"/>
    <col min="3546" max="3546" width="12.5546875" style="6" customWidth="1"/>
    <col min="3547" max="3547" width="16.44140625" style="6" customWidth="1"/>
    <col min="3548" max="3797" width="9.109375" style="6"/>
    <col min="3798" max="3798" width="7.44140625" style="6" customWidth="1"/>
    <col min="3799" max="3799" width="51.88671875" style="6" customWidth="1"/>
    <col min="3800" max="3800" width="7.44140625" style="6" customWidth="1"/>
    <col min="3801" max="3801" width="11.33203125" style="6" customWidth="1"/>
    <col min="3802" max="3802" width="12.5546875" style="6" customWidth="1"/>
    <col min="3803" max="3803" width="16.44140625" style="6" customWidth="1"/>
    <col min="3804" max="4053" width="9.109375" style="6"/>
    <col min="4054" max="4054" width="7.44140625" style="6" customWidth="1"/>
    <col min="4055" max="4055" width="51.88671875" style="6" customWidth="1"/>
    <col min="4056" max="4056" width="7.44140625" style="6" customWidth="1"/>
    <col min="4057" max="4057" width="11.33203125" style="6" customWidth="1"/>
    <col min="4058" max="4058" width="12.5546875" style="6" customWidth="1"/>
    <col min="4059" max="4059" width="16.44140625" style="6" customWidth="1"/>
    <col min="4060" max="4309" width="9.109375" style="6"/>
    <col min="4310" max="4310" width="7.44140625" style="6" customWidth="1"/>
    <col min="4311" max="4311" width="51.88671875" style="6" customWidth="1"/>
    <col min="4312" max="4312" width="7.44140625" style="6" customWidth="1"/>
    <col min="4313" max="4313" width="11.33203125" style="6" customWidth="1"/>
    <col min="4314" max="4314" width="12.5546875" style="6" customWidth="1"/>
    <col min="4315" max="4315" width="16.44140625" style="6" customWidth="1"/>
    <col min="4316" max="4565" width="9.109375" style="6"/>
    <col min="4566" max="4566" width="7.44140625" style="6" customWidth="1"/>
    <col min="4567" max="4567" width="51.88671875" style="6" customWidth="1"/>
    <col min="4568" max="4568" width="7.44140625" style="6" customWidth="1"/>
    <col min="4569" max="4569" width="11.33203125" style="6" customWidth="1"/>
    <col min="4570" max="4570" width="12.5546875" style="6" customWidth="1"/>
    <col min="4571" max="4571" width="16.44140625" style="6" customWidth="1"/>
    <col min="4572" max="4821" width="9.109375" style="6"/>
    <col min="4822" max="4822" width="7.44140625" style="6" customWidth="1"/>
    <col min="4823" max="4823" width="51.88671875" style="6" customWidth="1"/>
    <col min="4824" max="4824" width="7.44140625" style="6" customWidth="1"/>
    <col min="4825" max="4825" width="11.33203125" style="6" customWidth="1"/>
    <col min="4826" max="4826" width="12.5546875" style="6" customWidth="1"/>
    <col min="4827" max="4827" width="16.44140625" style="6" customWidth="1"/>
    <col min="4828" max="5077" width="9.109375" style="6"/>
    <col min="5078" max="5078" width="7.44140625" style="6" customWidth="1"/>
    <col min="5079" max="5079" width="51.88671875" style="6" customWidth="1"/>
    <col min="5080" max="5080" width="7.44140625" style="6" customWidth="1"/>
    <col min="5081" max="5081" width="11.33203125" style="6" customWidth="1"/>
    <col min="5082" max="5082" width="12.5546875" style="6" customWidth="1"/>
    <col min="5083" max="5083" width="16.44140625" style="6" customWidth="1"/>
    <col min="5084" max="5333" width="9.109375" style="6"/>
    <col min="5334" max="5334" width="7.44140625" style="6" customWidth="1"/>
    <col min="5335" max="5335" width="51.88671875" style="6" customWidth="1"/>
    <col min="5336" max="5336" width="7.44140625" style="6" customWidth="1"/>
    <col min="5337" max="5337" width="11.33203125" style="6" customWidth="1"/>
    <col min="5338" max="5338" width="12.5546875" style="6" customWidth="1"/>
    <col min="5339" max="5339" width="16.44140625" style="6" customWidth="1"/>
    <col min="5340" max="5589" width="9.109375" style="6"/>
    <col min="5590" max="5590" width="7.44140625" style="6" customWidth="1"/>
    <col min="5591" max="5591" width="51.88671875" style="6" customWidth="1"/>
    <col min="5592" max="5592" width="7.44140625" style="6" customWidth="1"/>
    <col min="5593" max="5593" width="11.33203125" style="6" customWidth="1"/>
    <col min="5594" max="5594" width="12.5546875" style="6" customWidth="1"/>
    <col min="5595" max="5595" width="16.44140625" style="6" customWidth="1"/>
    <col min="5596" max="5845" width="9.109375" style="6"/>
    <col min="5846" max="5846" width="7.44140625" style="6" customWidth="1"/>
    <col min="5847" max="5847" width="51.88671875" style="6" customWidth="1"/>
    <col min="5848" max="5848" width="7.44140625" style="6" customWidth="1"/>
    <col min="5849" max="5849" width="11.33203125" style="6" customWidth="1"/>
    <col min="5850" max="5850" width="12.5546875" style="6" customWidth="1"/>
    <col min="5851" max="5851" width="16.44140625" style="6" customWidth="1"/>
    <col min="5852" max="6101" width="9.109375" style="6"/>
    <col min="6102" max="6102" width="7.44140625" style="6" customWidth="1"/>
    <col min="6103" max="6103" width="51.88671875" style="6" customWidth="1"/>
    <col min="6104" max="6104" width="7.44140625" style="6" customWidth="1"/>
    <col min="6105" max="6105" width="11.33203125" style="6" customWidth="1"/>
    <col min="6106" max="6106" width="12.5546875" style="6" customWidth="1"/>
    <col min="6107" max="6107" width="16.44140625" style="6" customWidth="1"/>
    <col min="6108" max="6357" width="9.109375" style="6"/>
    <col min="6358" max="6358" width="7.44140625" style="6" customWidth="1"/>
    <col min="6359" max="6359" width="51.88671875" style="6" customWidth="1"/>
    <col min="6360" max="6360" width="7.44140625" style="6" customWidth="1"/>
    <col min="6361" max="6361" width="11.33203125" style="6" customWidth="1"/>
    <col min="6362" max="6362" width="12.5546875" style="6" customWidth="1"/>
    <col min="6363" max="6363" width="16.44140625" style="6" customWidth="1"/>
    <col min="6364" max="6613" width="9.109375" style="6"/>
    <col min="6614" max="6614" width="7.44140625" style="6" customWidth="1"/>
    <col min="6615" max="6615" width="51.88671875" style="6" customWidth="1"/>
    <col min="6616" max="6616" width="7.44140625" style="6" customWidth="1"/>
    <col min="6617" max="6617" width="11.33203125" style="6" customWidth="1"/>
    <col min="6618" max="6618" width="12.5546875" style="6" customWidth="1"/>
    <col min="6619" max="6619" width="16.44140625" style="6" customWidth="1"/>
    <col min="6620" max="6869" width="9.109375" style="6"/>
    <col min="6870" max="6870" width="7.44140625" style="6" customWidth="1"/>
    <col min="6871" max="6871" width="51.88671875" style="6" customWidth="1"/>
    <col min="6872" max="6872" width="7.44140625" style="6" customWidth="1"/>
    <col min="6873" max="6873" width="11.33203125" style="6" customWidth="1"/>
    <col min="6874" max="6874" width="12.5546875" style="6" customWidth="1"/>
    <col min="6875" max="6875" width="16.44140625" style="6" customWidth="1"/>
    <col min="6876" max="7125" width="9.109375" style="6"/>
    <col min="7126" max="7126" width="7.44140625" style="6" customWidth="1"/>
    <col min="7127" max="7127" width="51.88671875" style="6" customWidth="1"/>
    <col min="7128" max="7128" width="7.44140625" style="6" customWidth="1"/>
    <col min="7129" max="7129" width="11.33203125" style="6" customWidth="1"/>
    <col min="7130" max="7130" width="12.5546875" style="6" customWidth="1"/>
    <col min="7131" max="7131" width="16.44140625" style="6" customWidth="1"/>
    <col min="7132" max="7381" width="9.109375" style="6"/>
    <col min="7382" max="7382" width="7.44140625" style="6" customWidth="1"/>
    <col min="7383" max="7383" width="51.88671875" style="6" customWidth="1"/>
    <col min="7384" max="7384" width="7.44140625" style="6" customWidth="1"/>
    <col min="7385" max="7385" width="11.33203125" style="6" customWidth="1"/>
    <col min="7386" max="7386" width="12.5546875" style="6" customWidth="1"/>
    <col min="7387" max="7387" width="16.44140625" style="6" customWidth="1"/>
    <col min="7388" max="7637" width="9.109375" style="6"/>
    <col min="7638" max="7638" width="7.44140625" style="6" customWidth="1"/>
    <col min="7639" max="7639" width="51.88671875" style="6" customWidth="1"/>
    <col min="7640" max="7640" width="7.44140625" style="6" customWidth="1"/>
    <col min="7641" max="7641" width="11.33203125" style="6" customWidth="1"/>
    <col min="7642" max="7642" width="12.5546875" style="6" customWidth="1"/>
    <col min="7643" max="7643" width="16.44140625" style="6" customWidth="1"/>
    <col min="7644" max="7893" width="9.109375" style="6"/>
    <col min="7894" max="7894" width="7.44140625" style="6" customWidth="1"/>
    <col min="7895" max="7895" width="51.88671875" style="6" customWidth="1"/>
    <col min="7896" max="7896" width="7.44140625" style="6" customWidth="1"/>
    <col min="7897" max="7897" width="11.33203125" style="6" customWidth="1"/>
    <col min="7898" max="7898" width="12.5546875" style="6" customWidth="1"/>
    <col min="7899" max="7899" width="16.44140625" style="6" customWidth="1"/>
    <col min="7900" max="8149" width="9.109375" style="6"/>
    <col min="8150" max="8150" width="7.44140625" style="6" customWidth="1"/>
    <col min="8151" max="8151" width="51.88671875" style="6" customWidth="1"/>
    <col min="8152" max="8152" width="7.44140625" style="6" customWidth="1"/>
    <col min="8153" max="8153" width="11.33203125" style="6" customWidth="1"/>
    <col min="8154" max="8154" width="12.5546875" style="6" customWidth="1"/>
    <col min="8155" max="8155" width="16.44140625" style="6" customWidth="1"/>
    <col min="8156" max="8405" width="9.109375" style="6"/>
    <col min="8406" max="8406" width="7.44140625" style="6" customWidth="1"/>
    <col min="8407" max="8407" width="51.88671875" style="6" customWidth="1"/>
    <col min="8408" max="8408" width="7.44140625" style="6" customWidth="1"/>
    <col min="8409" max="8409" width="11.33203125" style="6" customWidth="1"/>
    <col min="8410" max="8410" width="12.5546875" style="6" customWidth="1"/>
    <col min="8411" max="8411" width="16.44140625" style="6" customWidth="1"/>
    <col min="8412" max="8661" width="9.109375" style="6"/>
    <col min="8662" max="8662" width="7.44140625" style="6" customWidth="1"/>
    <col min="8663" max="8663" width="51.88671875" style="6" customWidth="1"/>
    <col min="8664" max="8664" width="7.44140625" style="6" customWidth="1"/>
    <col min="8665" max="8665" width="11.33203125" style="6" customWidth="1"/>
    <col min="8666" max="8666" width="12.5546875" style="6" customWidth="1"/>
    <col min="8667" max="8667" width="16.44140625" style="6" customWidth="1"/>
    <col min="8668" max="8917" width="9.109375" style="6"/>
    <col min="8918" max="8918" width="7.44140625" style="6" customWidth="1"/>
    <col min="8919" max="8919" width="51.88671875" style="6" customWidth="1"/>
    <col min="8920" max="8920" width="7.44140625" style="6" customWidth="1"/>
    <col min="8921" max="8921" width="11.33203125" style="6" customWidth="1"/>
    <col min="8922" max="8922" width="12.5546875" style="6" customWidth="1"/>
    <col min="8923" max="8923" width="16.44140625" style="6" customWidth="1"/>
    <col min="8924" max="9173" width="9.109375" style="6"/>
    <col min="9174" max="9174" width="7.44140625" style="6" customWidth="1"/>
    <col min="9175" max="9175" width="51.88671875" style="6" customWidth="1"/>
    <col min="9176" max="9176" width="7.44140625" style="6" customWidth="1"/>
    <col min="9177" max="9177" width="11.33203125" style="6" customWidth="1"/>
    <col min="9178" max="9178" width="12.5546875" style="6" customWidth="1"/>
    <col min="9179" max="9179" width="16.44140625" style="6" customWidth="1"/>
    <col min="9180" max="9429" width="9.109375" style="6"/>
    <col min="9430" max="9430" width="7.44140625" style="6" customWidth="1"/>
    <col min="9431" max="9431" width="51.88671875" style="6" customWidth="1"/>
    <col min="9432" max="9432" width="7.44140625" style="6" customWidth="1"/>
    <col min="9433" max="9433" width="11.33203125" style="6" customWidth="1"/>
    <col min="9434" max="9434" width="12.5546875" style="6" customWidth="1"/>
    <col min="9435" max="9435" width="16.44140625" style="6" customWidth="1"/>
    <col min="9436" max="9685" width="9.109375" style="6"/>
    <col min="9686" max="9686" width="7.44140625" style="6" customWidth="1"/>
    <col min="9687" max="9687" width="51.88671875" style="6" customWidth="1"/>
    <col min="9688" max="9688" width="7.44140625" style="6" customWidth="1"/>
    <col min="9689" max="9689" width="11.33203125" style="6" customWidth="1"/>
    <col min="9690" max="9690" width="12.5546875" style="6" customWidth="1"/>
    <col min="9691" max="9691" width="16.44140625" style="6" customWidth="1"/>
    <col min="9692" max="9941" width="9.109375" style="6"/>
    <col min="9942" max="9942" width="7.44140625" style="6" customWidth="1"/>
    <col min="9943" max="9943" width="51.88671875" style="6" customWidth="1"/>
    <col min="9944" max="9944" width="7.44140625" style="6" customWidth="1"/>
    <col min="9945" max="9945" width="11.33203125" style="6" customWidth="1"/>
    <col min="9946" max="9946" width="12.5546875" style="6" customWidth="1"/>
    <col min="9947" max="9947" width="16.44140625" style="6" customWidth="1"/>
    <col min="9948" max="10197" width="9.109375" style="6"/>
    <col min="10198" max="10198" width="7.44140625" style="6" customWidth="1"/>
    <col min="10199" max="10199" width="51.88671875" style="6" customWidth="1"/>
    <col min="10200" max="10200" width="7.44140625" style="6" customWidth="1"/>
    <col min="10201" max="10201" width="11.33203125" style="6" customWidth="1"/>
    <col min="10202" max="10202" width="12.5546875" style="6" customWidth="1"/>
    <col min="10203" max="10203" width="16.44140625" style="6" customWidth="1"/>
    <col min="10204" max="10453" width="9.109375" style="6"/>
    <col min="10454" max="10454" width="7.44140625" style="6" customWidth="1"/>
    <col min="10455" max="10455" width="51.88671875" style="6" customWidth="1"/>
    <col min="10456" max="10456" width="7.44140625" style="6" customWidth="1"/>
    <col min="10457" max="10457" width="11.33203125" style="6" customWidth="1"/>
    <col min="10458" max="10458" width="12.5546875" style="6" customWidth="1"/>
    <col min="10459" max="10459" width="16.44140625" style="6" customWidth="1"/>
    <col min="10460" max="10709" width="9.109375" style="6"/>
    <col min="10710" max="10710" width="7.44140625" style="6" customWidth="1"/>
    <col min="10711" max="10711" width="51.88671875" style="6" customWidth="1"/>
    <col min="10712" max="10712" width="7.44140625" style="6" customWidth="1"/>
    <col min="10713" max="10713" width="11.33203125" style="6" customWidth="1"/>
    <col min="10714" max="10714" width="12.5546875" style="6" customWidth="1"/>
    <col min="10715" max="10715" width="16.44140625" style="6" customWidth="1"/>
    <col min="10716" max="10965" width="9.109375" style="6"/>
    <col min="10966" max="10966" width="7.44140625" style="6" customWidth="1"/>
    <col min="10967" max="10967" width="51.88671875" style="6" customWidth="1"/>
    <col min="10968" max="10968" width="7.44140625" style="6" customWidth="1"/>
    <col min="10969" max="10969" width="11.33203125" style="6" customWidth="1"/>
    <col min="10970" max="10970" width="12.5546875" style="6" customWidth="1"/>
    <col min="10971" max="10971" width="16.44140625" style="6" customWidth="1"/>
    <col min="10972" max="11221" width="9.109375" style="6"/>
    <col min="11222" max="11222" width="7.44140625" style="6" customWidth="1"/>
    <col min="11223" max="11223" width="51.88671875" style="6" customWidth="1"/>
    <col min="11224" max="11224" width="7.44140625" style="6" customWidth="1"/>
    <col min="11225" max="11225" width="11.33203125" style="6" customWidth="1"/>
    <col min="11226" max="11226" width="12.5546875" style="6" customWidth="1"/>
    <col min="11227" max="11227" width="16.44140625" style="6" customWidth="1"/>
    <col min="11228" max="11477" width="9.109375" style="6"/>
    <col min="11478" max="11478" width="7.44140625" style="6" customWidth="1"/>
    <col min="11479" max="11479" width="51.88671875" style="6" customWidth="1"/>
    <col min="11480" max="11480" width="7.44140625" style="6" customWidth="1"/>
    <col min="11481" max="11481" width="11.33203125" style="6" customWidth="1"/>
    <col min="11482" max="11482" width="12.5546875" style="6" customWidth="1"/>
    <col min="11483" max="11483" width="16.44140625" style="6" customWidth="1"/>
    <col min="11484" max="11733" width="9.109375" style="6"/>
    <col min="11734" max="11734" width="7.44140625" style="6" customWidth="1"/>
    <col min="11735" max="11735" width="51.88671875" style="6" customWidth="1"/>
    <col min="11736" max="11736" width="7.44140625" style="6" customWidth="1"/>
    <col min="11737" max="11737" width="11.33203125" style="6" customWidth="1"/>
    <col min="11738" max="11738" width="12.5546875" style="6" customWidth="1"/>
    <col min="11739" max="11739" width="16.44140625" style="6" customWidth="1"/>
    <col min="11740" max="11989" width="9.109375" style="6"/>
    <col min="11990" max="11990" width="7.44140625" style="6" customWidth="1"/>
    <col min="11991" max="11991" width="51.88671875" style="6" customWidth="1"/>
    <col min="11992" max="11992" width="7.44140625" style="6" customWidth="1"/>
    <col min="11993" max="11993" width="11.33203125" style="6" customWidth="1"/>
    <col min="11994" max="11994" width="12.5546875" style="6" customWidth="1"/>
    <col min="11995" max="11995" width="16.44140625" style="6" customWidth="1"/>
    <col min="11996" max="12245" width="9.109375" style="6"/>
    <col min="12246" max="12246" width="7.44140625" style="6" customWidth="1"/>
    <col min="12247" max="12247" width="51.88671875" style="6" customWidth="1"/>
    <col min="12248" max="12248" width="7.44140625" style="6" customWidth="1"/>
    <col min="12249" max="12249" width="11.33203125" style="6" customWidth="1"/>
    <col min="12250" max="12250" width="12.5546875" style="6" customWidth="1"/>
    <col min="12251" max="12251" width="16.44140625" style="6" customWidth="1"/>
    <col min="12252" max="12501" width="9.109375" style="6"/>
    <col min="12502" max="12502" width="7.44140625" style="6" customWidth="1"/>
    <col min="12503" max="12503" width="51.88671875" style="6" customWidth="1"/>
    <col min="12504" max="12504" width="7.44140625" style="6" customWidth="1"/>
    <col min="12505" max="12505" width="11.33203125" style="6" customWidth="1"/>
    <col min="12506" max="12506" width="12.5546875" style="6" customWidth="1"/>
    <col min="12507" max="12507" width="16.44140625" style="6" customWidth="1"/>
    <col min="12508" max="12757" width="9.109375" style="6"/>
    <col min="12758" max="12758" width="7.44140625" style="6" customWidth="1"/>
    <col min="12759" max="12759" width="51.88671875" style="6" customWidth="1"/>
    <col min="12760" max="12760" width="7.44140625" style="6" customWidth="1"/>
    <col min="12761" max="12761" width="11.33203125" style="6" customWidth="1"/>
    <col min="12762" max="12762" width="12.5546875" style="6" customWidth="1"/>
    <col min="12763" max="12763" width="16.44140625" style="6" customWidth="1"/>
    <col min="12764" max="13013" width="9.109375" style="6"/>
    <col min="13014" max="13014" width="7.44140625" style="6" customWidth="1"/>
    <col min="13015" max="13015" width="51.88671875" style="6" customWidth="1"/>
    <col min="13016" max="13016" width="7.44140625" style="6" customWidth="1"/>
    <col min="13017" max="13017" width="11.33203125" style="6" customWidth="1"/>
    <col min="13018" max="13018" width="12.5546875" style="6" customWidth="1"/>
    <col min="13019" max="13019" width="16.44140625" style="6" customWidth="1"/>
    <col min="13020" max="13269" width="9.109375" style="6"/>
    <col min="13270" max="13270" width="7.44140625" style="6" customWidth="1"/>
    <col min="13271" max="13271" width="51.88671875" style="6" customWidth="1"/>
    <col min="13272" max="13272" width="7.44140625" style="6" customWidth="1"/>
    <col min="13273" max="13273" width="11.33203125" style="6" customWidth="1"/>
    <col min="13274" max="13274" width="12.5546875" style="6" customWidth="1"/>
    <col min="13275" max="13275" width="16.44140625" style="6" customWidth="1"/>
    <col min="13276" max="13525" width="9.109375" style="6"/>
    <col min="13526" max="13526" width="7.44140625" style="6" customWidth="1"/>
    <col min="13527" max="13527" width="51.88671875" style="6" customWidth="1"/>
    <col min="13528" max="13528" width="7.44140625" style="6" customWidth="1"/>
    <col min="13529" max="13529" width="11.33203125" style="6" customWidth="1"/>
    <col min="13530" max="13530" width="12.5546875" style="6" customWidth="1"/>
    <col min="13531" max="13531" width="16.44140625" style="6" customWidth="1"/>
    <col min="13532" max="13781" width="9.109375" style="6"/>
    <col min="13782" max="13782" width="7.44140625" style="6" customWidth="1"/>
    <col min="13783" max="13783" width="51.88671875" style="6" customWidth="1"/>
    <col min="13784" max="13784" width="7.44140625" style="6" customWidth="1"/>
    <col min="13785" max="13785" width="11.33203125" style="6" customWidth="1"/>
    <col min="13786" max="13786" width="12.5546875" style="6" customWidth="1"/>
    <col min="13787" max="13787" width="16.44140625" style="6" customWidth="1"/>
    <col min="13788" max="14037" width="9.109375" style="6"/>
    <col min="14038" max="14038" width="7.44140625" style="6" customWidth="1"/>
    <col min="14039" max="14039" width="51.88671875" style="6" customWidth="1"/>
    <col min="14040" max="14040" width="7.44140625" style="6" customWidth="1"/>
    <col min="14041" max="14041" width="11.33203125" style="6" customWidth="1"/>
    <col min="14042" max="14042" width="12.5546875" style="6" customWidth="1"/>
    <col min="14043" max="14043" width="16.44140625" style="6" customWidth="1"/>
    <col min="14044" max="14293" width="9.109375" style="6"/>
    <col min="14294" max="14294" width="7.44140625" style="6" customWidth="1"/>
    <col min="14295" max="14295" width="51.88671875" style="6" customWidth="1"/>
    <col min="14296" max="14296" width="7.44140625" style="6" customWidth="1"/>
    <col min="14297" max="14297" width="11.33203125" style="6" customWidth="1"/>
    <col min="14298" max="14298" width="12.5546875" style="6" customWidth="1"/>
    <col min="14299" max="14299" width="16.44140625" style="6" customWidth="1"/>
    <col min="14300" max="14549" width="9.109375" style="6"/>
    <col min="14550" max="14550" width="7.44140625" style="6" customWidth="1"/>
    <col min="14551" max="14551" width="51.88671875" style="6" customWidth="1"/>
    <col min="14552" max="14552" width="7.44140625" style="6" customWidth="1"/>
    <col min="14553" max="14553" width="11.33203125" style="6" customWidth="1"/>
    <col min="14554" max="14554" width="12.5546875" style="6" customWidth="1"/>
    <col min="14555" max="14555" width="16.44140625" style="6" customWidth="1"/>
    <col min="14556" max="14805" width="9.109375" style="6"/>
    <col min="14806" max="14806" width="7.44140625" style="6" customWidth="1"/>
    <col min="14807" max="14807" width="51.88671875" style="6" customWidth="1"/>
    <col min="14808" max="14808" width="7.44140625" style="6" customWidth="1"/>
    <col min="14809" max="14809" width="11.33203125" style="6" customWidth="1"/>
    <col min="14810" max="14810" width="12.5546875" style="6" customWidth="1"/>
    <col min="14811" max="14811" width="16.44140625" style="6" customWidth="1"/>
    <col min="14812" max="15061" width="9.109375" style="6"/>
    <col min="15062" max="15062" width="7.44140625" style="6" customWidth="1"/>
    <col min="15063" max="15063" width="51.88671875" style="6" customWidth="1"/>
    <col min="15064" max="15064" width="7.44140625" style="6" customWidth="1"/>
    <col min="15065" max="15065" width="11.33203125" style="6" customWidth="1"/>
    <col min="15066" max="15066" width="12.5546875" style="6" customWidth="1"/>
    <col min="15067" max="15067" width="16.44140625" style="6" customWidth="1"/>
    <col min="15068" max="15317" width="9.109375" style="6"/>
    <col min="15318" max="15318" width="7.44140625" style="6" customWidth="1"/>
    <col min="15319" max="15319" width="51.88671875" style="6" customWidth="1"/>
    <col min="15320" max="15320" width="7.44140625" style="6" customWidth="1"/>
    <col min="15321" max="15321" width="11.33203125" style="6" customWidth="1"/>
    <col min="15322" max="15322" width="12.5546875" style="6" customWidth="1"/>
    <col min="15323" max="15323" width="16.44140625" style="6" customWidth="1"/>
    <col min="15324" max="15573" width="9.109375" style="6"/>
    <col min="15574" max="15574" width="7.44140625" style="6" customWidth="1"/>
    <col min="15575" max="15575" width="51.88671875" style="6" customWidth="1"/>
    <col min="15576" max="15576" width="7.44140625" style="6" customWidth="1"/>
    <col min="15577" max="15577" width="11.33203125" style="6" customWidth="1"/>
    <col min="15578" max="15578" width="12.5546875" style="6" customWidth="1"/>
    <col min="15579" max="15579" width="16.44140625" style="6" customWidth="1"/>
    <col min="15580" max="15829" width="9.109375" style="6"/>
    <col min="15830" max="15830" width="7.44140625" style="6" customWidth="1"/>
    <col min="15831" max="15831" width="51.88671875" style="6" customWidth="1"/>
    <col min="15832" max="15832" width="7.44140625" style="6" customWidth="1"/>
    <col min="15833" max="15833" width="11.33203125" style="6" customWidth="1"/>
    <col min="15834" max="15834" width="12.5546875" style="6" customWidth="1"/>
    <col min="15835" max="15835" width="16.44140625" style="6" customWidth="1"/>
    <col min="15836" max="16085" width="9.109375" style="6"/>
    <col min="16086" max="16086" width="7.44140625" style="6" customWidth="1"/>
    <col min="16087" max="16087" width="51.88671875" style="6" customWidth="1"/>
    <col min="16088" max="16088" width="7.44140625" style="6" customWidth="1"/>
    <col min="16089" max="16089" width="11.33203125" style="6" customWidth="1"/>
    <col min="16090" max="16090" width="12.5546875" style="6" customWidth="1"/>
    <col min="16091" max="16091" width="16.44140625" style="6" customWidth="1"/>
    <col min="16092" max="16384" width="9.109375" style="6"/>
  </cols>
  <sheetData>
    <row r="1" spans="1:6" s="37" customFormat="1" ht="22.8" x14ac:dyDescent="0.3">
      <c r="A1" s="52" t="s">
        <v>1</v>
      </c>
      <c r="B1" s="53" t="s">
        <v>2</v>
      </c>
      <c r="C1" s="54" t="s">
        <v>100</v>
      </c>
      <c r="D1" s="55" t="s">
        <v>3</v>
      </c>
      <c r="E1" s="56" t="s">
        <v>95</v>
      </c>
      <c r="F1" s="55" t="s">
        <v>96</v>
      </c>
    </row>
    <row r="2" spans="1:6" x14ac:dyDescent="0.25">
      <c r="A2" s="50"/>
      <c r="C2" s="38"/>
      <c r="D2" s="39"/>
      <c r="E2" s="40"/>
      <c r="F2" s="39"/>
    </row>
    <row r="3" spans="1:6" x14ac:dyDescent="0.25">
      <c r="D3" s="51"/>
    </row>
    <row r="5" spans="1:6" x14ac:dyDescent="0.25">
      <c r="A5" s="45"/>
      <c r="B5" s="23" t="s">
        <v>680</v>
      </c>
    </row>
    <row r="7" spans="1:6" x14ac:dyDescent="0.25">
      <c r="A7" s="45" t="s">
        <v>6</v>
      </c>
      <c r="B7" s="19" t="s">
        <v>670</v>
      </c>
      <c r="C7" s="22"/>
      <c r="D7" s="42"/>
      <c r="E7" s="49"/>
      <c r="F7" s="42">
        <f>SUM('Skladište 1'!F480)</f>
        <v>709141.05</v>
      </c>
    </row>
    <row r="8" spans="1:6" x14ac:dyDescent="0.25">
      <c r="A8" s="45" t="s">
        <v>11</v>
      </c>
      <c r="B8" s="23" t="s">
        <v>671</v>
      </c>
      <c r="C8" s="22"/>
      <c r="D8" s="42"/>
      <c r="E8" s="49"/>
      <c r="F8" s="42">
        <f>SUM('Skladište 2'!F404)</f>
        <v>470716.4</v>
      </c>
    </row>
    <row r="9" spans="1:6" x14ac:dyDescent="0.25">
      <c r="A9" s="45" t="s">
        <v>12</v>
      </c>
      <c r="B9" s="19" t="s">
        <v>672</v>
      </c>
      <c r="C9" s="22"/>
      <c r="D9" s="42"/>
      <c r="E9" s="49"/>
      <c r="F9" s="42">
        <f>SUM('Skladište 5'!F405)</f>
        <v>483963.79</v>
      </c>
    </row>
    <row r="10" spans="1:6" x14ac:dyDescent="0.25">
      <c r="A10" s="45" t="s">
        <v>13</v>
      </c>
      <c r="B10" s="19" t="s">
        <v>676</v>
      </c>
      <c r="C10" s="22"/>
      <c r="D10" s="42"/>
      <c r="E10" s="49"/>
      <c r="F10" s="42">
        <f>SUM('Skladište 6'!F408)</f>
        <v>480536.2</v>
      </c>
    </row>
    <row r="11" spans="1:6" x14ac:dyDescent="0.25">
      <c r="A11" s="45" t="s">
        <v>14</v>
      </c>
      <c r="B11" s="19" t="s">
        <v>677</v>
      </c>
      <c r="C11" s="22"/>
      <c r="D11" s="42"/>
      <c r="E11" s="49"/>
      <c r="F11" s="42">
        <f>SUM('Otvoreni platoi 4 i 5'!F99)</f>
        <v>633387</v>
      </c>
    </row>
    <row r="12" spans="1:6" x14ac:dyDescent="0.25">
      <c r="A12" s="45"/>
      <c r="B12" s="19"/>
      <c r="C12" s="22"/>
      <c r="D12" s="42"/>
      <c r="E12" s="49"/>
      <c r="F12" s="42"/>
    </row>
    <row r="13" spans="1:6" x14ac:dyDescent="0.25">
      <c r="A13" s="45"/>
      <c r="B13" s="35" t="s">
        <v>681</v>
      </c>
      <c r="C13" s="22"/>
      <c r="D13" s="42"/>
      <c r="E13" s="49"/>
      <c r="F13" s="42">
        <f>SUM(F7:F11)</f>
        <v>2777744.4400000004</v>
      </c>
    </row>
    <row r="14" spans="1:6" x14ac:dyDescent="0.25">
      <c r="B14" s="50" t="s">
        <v>92</v>
      </c>
      <c r="F14" s="3">
        <f>F13*25%</f>
        <v>694436.1100000001</v>
      </c>
    </row>
    <row r="15" spans="1:6" x14ac:dyDescent="0.25">
      <c r="A15" s="45"/>
      <c r="B15" s="35" t="s">
        <v>682</v>
      </c>
      <c r="C15" s="22"/>
      <c r="D15" s="42"/>
      <c r="E15" s="47"/>
      <c r="F15" s="58">
        <f>SUM(F13:F14)</f>
        <v>3472180.5500000007</v>
      </c>
    </row>
    <row r="21" spans="4:4" x14ac:dyDescent="0.25">
      <c r="D21" s="3" t="s">
        <v>188</v>
      </c>
    </row>
  </sheetData>
  <sheetProtection algorithmName="SHA-512" hashValue="3DeXYdpC8Q7pIhN1s//j+GlPJDWv5ZXUGtGnzULqKafE4G7vfygdm6gbDaP63NDDrgLq3nVuuUvKl+tRiHrnRQ==" saltValue="le/vqEoR7af9+OzSM2Tc0A==" spinCount="100000" sheet="1" objects="1" scenarios="1" selectLockedCells="1"/>
  <printOptions horizontalCentered="1" gridLines="1"/>
  <pageMargins left="0.70866141732283472" right="0.70866141732283472" top="0.74803149606299213" bottom="0.74803149606299213" header="0.31496062992125984" footer="0.31496062992125984"/>
  <pageSetup paperSize="9" scale="90" orientation="portrait" r:id="rId1"/>
  <headerFooter>
    <oddHeader>&amp;L&amp;"Arial,Uobičajeno"&amp;10Ministarstvo unutarnjih poslova RH&amp;R&amp;"Arial,Uobičajeno"&amp;10Logistički centar civilne zaštite u Jastrebarskom</oddHeader>
    <oddFooter>&amp;L&amp;"Arial,Uobičajeno"&amp;10Zbirna rekapitulacija radova na uređenju skladišta br. 1, 2, 5, 6 i otvorenih platoa br. 4 i 5&amp;R&amp;"Arial,Uobičajeno"&amp;10stranica &amp;P od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Radni listovi</vt:lpstr>
      </vt:variant>
      <vt:variant>
        <vt:i4>9</vt:i4>
      </vt:variant>
      <vt:variant>
        <vt:lpstr>Imenovani rasponi</vt:lpstr>
      </vt:variant>
      <vt:variant>
        <vt:i4>9</vt:i4>
      </vt:variant>
    </vt:vector>
  </HeadingPairs>
  <TitlesOfParts>
    <vt:vector size="18" baseType="lpstr">
      <vt:lpstr>Naslovna i opći uvjeti</vt:lpstr>
      <vt:lpstr>Skladište 1</vt:lpstr>
      <vt:lpstr>Skladište 2</vt:lpstr>
      <vt:lpstr>Skladište 5</vt:lpstr>
      <vt:lpstr>Skladište 6</vt:lpstr>
      <vt:lpstr>Otvoreni platoi 4 i 5</vt:lpstr>
      <vt:lpstr>RKPT_1, 2 i 5</vt:lpstr>
      <vt:lpstr>RKPT_6, OP 4 i 5</vt:lpstr>
      <vt:lpstr>Zbirna RKPT</vt:lpstr>
      <vt:lpstr>'Naslovna i opći uvjeti'!Ispis_naslova</vt:lpstr>
      <vt:lpstr>'Otvoreni platoi 4 i 5'!Ispis_naslova</vt:lpstr>
      <vt:lpstr>'RKPT_1, 2 i 5'!Ispis_naslova</vt:lpstr>
      <vt:lpstr>'RKPT_6, OP 4 i 5'!Ispis_naslova</vt:lpstr>
      <vt:lpstr>'Skladište 1'!Ispis_naslova</vt:lpstr>
      <vt:lpstr>'Skladište 2'!Ispis_naslova</vt:lpstr>
      <vt:lpstr>'Skladište 5'!Ispis_naslova</vt:lpstr>
      <vt:lpstr>'Skladište 6'!Ispis_naslova</vt:lpstr>
      <vt:lpstr>'Zbirna RKPT'!Ispis_naslova</vt:lpstr>
    </vt:vector>
  </TitlesOfParts>
  <Company>MUP RH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Šandrk Franjo</dc:creator>
  <cp:lastModifiedBy>office</cp:lastModifiedBy>
  <cp:lastPrinted>2025-09-12T08:54:55Z</cp:lastPrinted>
  <dcterms:created xsi:type="dcterms:W3CDTF">2017-05-03T08:03:36Z</dcterms:created>
  <dcterms:modified xsi:type="dcterms:W3CDTF">2025-10-20T15:59:09Z</dcterms:modified>
</cp:coreProperties>
</file>